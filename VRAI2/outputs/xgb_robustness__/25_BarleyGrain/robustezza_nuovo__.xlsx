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ss\Desktop\ricerca\federati\deep-nir\src\deep_nir\VRAI2\outputs\xgb_robustness__\25_BarleyGrain\"/>
    </mc:Choice>
  </mc:AlternateContent>
  <xr:revisionPtr revIDLastSave="0" documentId="13_ncr:1_{322BA5C2-1D11-4821-B3B0-09CEDCA38094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Temperature Variation" sheetId="1" r:id="rId1"/>
    <sheet name="Repeatability1" sheetId="2" r:id="rId2"/>
    <sheet name="Repeatability2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1" i="1" l="1"/>
  <c r="BY21" i="1"/>
  <c r="BX21" i="1"/>
  <c r="BW21" i="1"/>
  <c r="BZ20" i="1"/>
  <c r="BY20" i="1"/>
  <c r="BX20" i="1"/>
  <c r="BW20" i="1"/>
  <c r="BZ19" i="1"/>
  <c r="BY19" i="1"/>
  <c r="BX19" i="1"/>
  <c r="BW19" i="1"/>
  <c r="BZ18" i="1"/>
  <c r="BY18" i="1"/>
  <c r="BX18" i="1"/>
  <c r="BW18" i="1"/>
  <c r="BZ17" i="1"/>
  <c r="BY17" i="1"/>
  <c r="BX17" i="1"/>
  <c r="BW17" i="1"/>
  <c r="BZ16" i="1"/>
  <c r="BY16" i="1"/>
  <c r="BX16" i="1"/>
  <c r="BW16" i="1"/>
  <c r="BZ15" i="1"/>
  <c r="BY15" i="1"/>
  <c r="BX15" i="1"/>
  <c r="BW15" i="1"/>
  <c r="BZ14" i="1"/>
  <c r="BY14" i="1"/>
  <c r="BX14" i="1"/>
  <c r="BW14" i="1"/>
  <c r="BZ13" i="1"/>
  <c r="BY13" i="1"/>
  <c r="BX13" i="1"/>
  <c r="BW13" i="1"/>
  <c r="BZ12" i="1"/>
  <c r="BY12" i="1"/>
  <c r="BX12" i="1"/>
  <c r="BW12" i="1"/>
  <c r="BZ11" i="1"/>
  <c r="BY11" i="1"/>
  <c r="BX11" i="1"/>
  <c r="BW11" i="1"/>
  <c r="BZ10" i="1"/>
  <c r="BY10" i="1"/>
  <c r="BX10" i="1"/>
  <c r="BW10" i="1"/>
  <c r="BZ9" i="1"/>
  <c r="BY9" i="1"/>
  <c r="BX9" i="1"/>
  <c r="BW9" i="1"/>
  <c r="BZ8" i="1"/>
  <c r="BY8" i="1"/>
  <c r="BX8" i="1"/>
  <c r="BW8" i="1"/>
  <c r="BQ21" i="1"/>
  <c r="BP21" i="1"/>
  <c r="BO21" i="1"/>
  <c r="BN21" i="1"/>
  <c r="BQ20" i="1"/>
  <c r="BP20" i="1"/>
  <c r="BO20" i="1"/>
  <c r="BN20" i="1"/>
  <c r="BQ19" i="1"/>
  <c r="BP19" i="1"/>
  <c r="BO19" i="1"/>
  <c r="BN19" i="1"/>
  <c r="BQ18" i="1"/>
  <c r="BP18" i="1"/>
  <c r="BO18" i="1"/>
  <c r="BN18" i="1"/>
  <c r="BQ17" i="1"/>
  <c r="BP17" i="1"/>
  <c r="BO17" i="1"/>
  <c r="BN17" i="1"/>
  <c r="BQ16" i="1"/>
  <c r="BP16" i="1"/>
  <c r="BO16" i="1"/>
  <c r="BN16" i="1"/>
  <c r="BQ15" i="1"/>
  <c r="BP15" i="1"/>
  <c r="BO15" i="1"/>
  <c r="BN15" i="1"/>
  <c r="BQ14" i="1"/>
  <c r="BP14" i="1"/>
  <c r="BO14" i="1"/>
  <c r="BN14" i="1"/>
  <c r="BQ13" i="1"/>
  <c r="BP13" i="1"/>
  <c r="BO13" i="1"/>
  <c r="BN13" i="1"/>
  <c r="BQ12" i="1"/>
  <c r="BP12" i="1"/>
  <c r="BO12" i="1"/>
  <c r="BN12" i="1"/>
  <c r="BQ11" i="1"/>
  <c r="BP11" i="1"/>
  <c r="BO11" i="1"/>
  <c r="BN11" i="1"/>
  <c r="BQ10" i="1"/>
  <c r="BP10" i="1"/>
  <c r="BO10" i="1"/>
  <c r="BN10" i="1"/>
  <c r="BQ9" i="1"/>
  <c r="BP9" i="1"/>
  <c r="BO9" i="1"/>
  <c r="BN9" i="1"/>
  <c r="BQ8" i="1"/>
  <c r="BP8" i="1"/>
  <c r="BO8" i="1"/>
  <c r="BN8" i="1"/>
  <c r="BH21" i="1"/>
  <c r="BG21" i="1"/>
  <c r="BF21" i="1"/>
  <c r="BE21" i="1"/>
  <c r="BH20" i="1"/>
  <c r="BG20" i="1"/>
  <c r="BF20" i="1"/>
  <c r="BE20" i="1"/>
  <c r="BH19" i="1"/>
  <c r="BG19" i="1"/>
  <c r="BF19" i="1"/>
  <c r="BE19" i="1"/>
  <c r="BH18" i="1"/>
  <c r="BG18" i="1"/>
  <c r="BF18" i="1"/>
  <c r="BE18" i="1"/>
  <c r="BH17" i="1"/>
  <c r="BG17" i="1"/>
  <c r="BF17" i="1"/>
  <c r="BE17" i="1"/>
  <c r="BH16" i="1"/>
  <c r="BG16" i="1"/>
  <c r="BF16" i="1"/>
  <c r="BE16" i="1"/>
  <c r="BH15" i="1"/>
  <c r="BG15" i="1"/>
  <c r="BF15" i="1"/>
  <c r="BE15" i="1"/>
  <c r="BH14" i="1"/>
  <c r="BG14" i="1"/>
  <c r="BF14" i="1"/>
  <c r="BE14" i="1"/>
  <c r="BH13" i="1"/>
  <c r="BG13" i="1"/>
  <c r="BF13" i="1"/>
  <c r="BE13" i="1"/>
  <c r="BH12" i="1"/>
  <c r="BG12" i="1"/>
  <c r="BF12" i="1"/>
  <c r="BE12" i="1"/>
  <c r="BH11" i="1"/>
  <c r="BG11" i="1"/>
  <c r="BF11" i="1"/>
  <c r="BE11" i="1"/>
  <c r="BH10" i="1"/>
  <c r="BG10" i="1"/>
  <c r="BF10" i="1"/>
  <c r="BE10" i="1"/>
  <c r="BH9" i="1"/>
  <c r="BG9" i="1"/>
  <c r="BF9" i="1"/>
  <c r="BE9" i="1"/>
  <c r="BH8" i="1"/>
  <c r="BG8" i="1"/>
  <c r="BF8" i="1"/>
  <c r="BE8" i="1"/>
  <c r="AY21" i="1"/>
  <c r="AX21" i="1"/>
  <c r="AW21" i="1"/>
  <c r="AV21" i="1"/>
  <c r="AY20" i="1"/>
  <c r="AX20" i="1"/>
  <c r="AW20" i="1"/>
  <c r="AV20" i="1"/>
  <c r="AY19" i="1"/>
  <c r="AX19" i="1"/>
  <c r="AW19" i="1"/>
  <c r="AV19" i="1"/>
  <c r="AY18" i="1"/>
  <c r="AX18" i="1"/>
  <c r="AW18" i="1"/>
  <c r="AV18" i="1"/>
  <c r="AY17" i="1"/>
  <c r="AX17" i="1"/>
  <c r="AW17" i="1"/>
  <c r="AV17" i="1"/>
  <c r="AY16" i="1"/>
  <c r="AX16" i="1"/>
  <c r="AW16" i="1"/>
  <c r="AV16" i="1"/>
  <c r="AY15" i="1"/>
  <c r="AX15" i="1"/>
  <c r="AW15" i="1"/>
  <c r="AV15" i="1"/>
  <c r="AY14" i="1"/>
  <c r="AX14" i="1"/>
  <c r="AW14" i="1"/>
  <c r="AV14" i="1"/>
  <c r="AY13" i="1"/>
  <c r="AX13" i="1"/>
  <c r="AW13" i="1"/>
  <c r="AV13" i="1"/>
  <c r="AY12" i="1"/>
  <c r="AX12" i="1"/>
  <c r="AW12" i="1"/>
  <c r="AV12" i="1"/>
  <c r="AY11" i="1"/>
  <c r="AX11" i="1"/>
  <c r="AW11" i="1"/>
  <c r="AV11" i="1"/>
  <c r="AY10" i="1"/>
  <c r="AX10" i="1"/>
  <c r="AW10" i="1"/>
  <c r="AV10" i="1"/>
  <c r="AY9" i="1"/>
  <c r="AX9" i="1"/>
  <c r="AW9" i="1"/>
  <c r="AV9" i="1"/>
  <c r="AY8" i="1"/>
  <c r="AX8" i="1"/>
  <c r="AW8" i="1"/>
  <c r="AV8" i="1"/>
  <c r="AP21" i="1"/>
  <c r="AO21" i="1"/>
  <c r="AN21" i="1"/>
  <c r="AM21" i="1"/>
  <c r="AP20" i="1"/>
  <c r="AO20" i="1"/>
  <c r="AN20" i="1"/>
  <c r="AM20" i="1"/>
  <c r="AP19" i="1"/>
  <c r="AO19" i="1"/>
  <c r="AN19" i="1"/>
  <c r="AM19" i="1"/>
  <c r="AP18" i="1"/>
  <c r="AO18" i="1"/>
  <c r="AN18" i="1"/>
  <c r="AM18" i="1"/>
  <c r="AP17" i="1"/>
  <c r="AO17" i="1"/>
  <c r="AN17" i="1"/>
  <c r="AM17" i="1"/>
  <c r="AP16" i="1"/>
  <c r="AO16" i="1"/>
  <c r="AN16" i="1"/>
  <c r="AM16" i="1"/>
  <c r="AP15" i="1"/>
  <c r="AO15" i="1"/>
  <c r="AN15" i="1"/>
  <c r="AM15" i="1"/>
  <c r="AP14" i="1"/>
  <c r="AO14" i="1"/>
  <c r="AN14" i="1"/>
  <c r="AM14" i="1"/>
  <c r="AP13" i="1"/>
  <c r="AO13" i="1"/>
  <c r="AN13" i="1"/>
  <c r="AM13" i="1"/>
  <c r="AP12" i="1"/>
  <c r="AO12" i="1"/>
  <c r="AN12" i="1"/>
  <c r="AM12" i="1"/>
  <c r="AP11" i="1"/>
  <c r="AO11" i="1"/>
  <c r="AN11" i="1"/>
  <c r="AM11" i="1"/>
  <c r="AP10" i="1"/>
  <c r="AO10" i="1"/>
  <c r="AN10" i="1"/>
  <c r="AM10" i="1"/>
  <c r="AP9" i="1"/>
  <c r="AO9" i="1"/>
  <c r="AN9" i="1"/>
  <c r="AM9" i="1"/>
  <c r="AP8" i="1"/>
  <c r="AO8" i="1"/>
  <c r="AN8" i="1"/>
  <c r="AM8" i="1"/>
  <c r="AG21" i="1"/>
  <c r="AF21" i="1"/>
  <c r="AE21" i="1"/>
  <c r="AD21" i="1"/>
  <c r="AG20" i="1"/>
  <c r="AF20" i="1"/>
  <c r="AE20" i="1"/>
  <c r="AD20" i="1"/>
  <c r="AG19" i="1"/>
  <c r="AF19" i="1"/>
  <c r="AE19" i="1"/>
  <c r="AD19" i="1"/>
  <c r="AG18" i="1"/>
  <c r="AF18" i="1"/>
  <c r="AE18" i="1"/>
  <c r="AD18" i="1"/>
  <c r="AG17" i="1"/>
  <c r="AF17" i="1"/>
  <c r="AE17" i="1"/>
  <c r="AD17" i="1"/>
  <c r="AG16" i="1"/>
  <c r="AF16" i="1"/>
  <c r="AE16" i="1"/>
  <c r="AD16" i="1"/>
  <c r="AG15" i="1"/>
  <c r="AF15" i="1"/>
  <c r="AE15" i="1"/>
  <c r="AD15" i="1"/>
  <c r="AG14" i="1"/>
  <c r="AF14" i="1"/>
  <c r="AE14" i="1"/>
  <c r="AD14" i="1"/>
  <c r="AG13" i="1"/>
  <c r="AF13" i="1"/>
  <c r="AE13" i="1"/>
  <c r="AD13" i="1"/>
  <c r="AG12" i="1"/>
  <c r="AF12" i="1"/>
  <c r="AE12" i="1"/>
  <c r="AD12" i="1"/>
  <c r="AG11" i="1"/>
  <c r="AF11" i="1"/>
  <c r="AE11" i="1"/>
  <c r="AD11" i="1"/>
  <c r="AG10" i="1"/>
  <c r="AF10" i="1"/>
  <c r="AE10" i="1"/>
  <c r="AD10" i="1"/>
  <c r="AG9" i="1"/>
  <c r="AF9" i="1"/>
  <c r="AE9" i="1"/>
  <c r="AD9" i="1"/>
  <c r="AG8" i="1"/>
  <c r="AF8" i="1"/>
  <c r="AE8" i="1"/>
  <c r="AD8" i="1"/>
  <c r="X21" i="1"/>
  <c r="W21" i="1"/>
  <c r="V21" i="1"/>
  <c r="U21" i="1"/>
  <c r="X20" i="1"/>
  <c r="W20" i="1"/>
  <c r="V20" i="1"/>
  <c r="U20" i="1"/>
  <c r="X19" i="1"/>
  <c r="W19" i="1"/>
  <c r="V19" i="1"/>
  <c r="U19" i="1"/>
  <c r="X18" i="1"/>
  <c r="W18" i="1"/>
  <c r="V18" i="1"/>
  <c r="U18" i="1"/>
  <c r="X17" i="1"/>
  <c r="W17" i="1"/>
  <c r="V17" i="1"/>
  <c r="U17" i="1"/>
  <c r="X16" i="1"/>
  <c r="W16" i="1"/>
  <c r="V16" i="1"/>
  <c r="U16" i="1"/>
  <c r="X15" i="1"/>
  <c r="W15" i="1"/>
  <c r="V15" i="1"/>
  <c r="U15" i="1"/>
  <c r="X14" i="1"/>
  <c r="W14" i="1"/>
  <c r="V14" i="1"/>
  <c r="U14" i="1"/>
  <c r="X13" i="1"/>
  <c r="W13" i="1"/>
  <c r="V13" i="1"/>
  <c r="U13" i="1"/>
  <c r="X12" i="1"/>
  <c r="W12" i="1"/>
  <c r="V12" i="1"/>
  <c r="U12" i="1"/>
  <c r="X11" i="1"/>
  <c r="W11" i="1"/>
  <c r="V11" i="1"/>
  <c r="U11" i="1"/>
  <c r="X10" i="1"/>
  <c r="W10" i="1"/>
  <c r="V10" i="1"/>
  <c r="U10" i="1"/>
  <c r="X9" i="1"/>
  <c r="W9" i="1"/>
  <c r="V9" i="1"/>
  <c r="U9" i="1"/>
  <c r="X8" i="1"/>
  <c r="W8" i="1"/>
  <c r="V8" i="1"/>
  <c r="U8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CD62" i="2" l="1"/>
  <c r="CC62" i="2"/>
  <c r="CB62" i="2"/>
  <c r="CA62" i="2"/>
  <c r="BT62" i="2"/>
  <c r="BS62" i="2"/>
  <c r="BO7" i="2" s="1"/>
  <c r="BR62" i="2"/>
  <c r="BQ62" i="2"/>
  <c r="BM7" i="2" s="1"/>
  <c r="BJ62" i="2"/>
  <c r="BI62" i="2"/>
  <c r="BH62" i="2"/>
  <c r="BG62" i="2"/>
  <c r="AZ62" i="2"/>
  <c r="AY62" i="2"/>
  <c r="AX62" i="2"/>
  <c r="AW62" i="2"/>
  <c r="AP62" i="2"/>
  <c r="AO62" i="2"/>
  <c r="AN62" i="2"/>
  <c r="AM62" i="2"/>
  <c r="AF62" i="2"/>
  <c r="AE62" i="2"/>
  <c r="AD62" i="2"/>
  <c r="AC62" i="2"/>
  <c r="V62" i="2"/>
  <c r="U62" i="2"/>
  <c r="T62" i="2"/>
  <c r="S62" i="2"/>
  <c r="L62" i="2"/>
  <c r="K62" i="2"/>
  <c r="J62" i="2"/>
  <c r="I62" i="2"/>
  <c r="CD61" i="2"/>
  <c r="CC61" i="2"/>
  <c r="CB61" i="2"/>
  <c r="CA61" i="2"/>
  <c r="BT61" i="2"/>
  <c r="BS61" i="2"/>
  <c r="BR61" i="2"/>
  <c r="BQ61" i="2"/>
  <c r="BJ61" i="2"/>
  <c r="BI61" i="2"/>
  <c r="BH61" i="2"/>
  <c r="BG61" i="2"/>
  <c r="AZ61" i="2"/>
  <c r="AY61" i="2"/>
  <c r="AX61" i="2"/>
  <c r="AW61" i="2"/>
  <c r="AP61" i="2"/>
  <c r="AO61" i="2"/>
  <c r="AN61" i="2"/>
  <c r="AM61" i="2"/>
  <c r="AF61" i="2"/>
  <c r="AE61" i="2"/>
  <c r="AD61" i="2"/>
  <c r="AC61" i="2"/>
  <c r="V61" i="2"/>
  <c r="U61" i="2"/>
  <c r="T61" i="2"/>
  <c r="S61" i="2"/>
  <c r="L61" i="2"/>
  <c r="K61" i="2"/>
  <c r="J61" i="2"/>
  <c r="I61" i="2"/>
  <c r="CD60" i="2"/>
  <c r="CC60" i="2"/>
  <c r="CB60" i="2"/>
  <c r="CA60" i="2"/>
  <c r="BT60" i="2"/>
  <c r="BS60" i="2"/>
  <c r="BR60" i="2"/>
  <c r="BQ60" i="2"/>
  <c r="BJ60" i="2"/>
  <c r="BI60" i="2"/>
  <c r="BH60" i="2"/>
  <c r="BG60" i="2"/>
  <c r="AZ60" i="2"/>
  <c r="AY60" i="2"/>
  <c r="AX60" i="2"/>
  <c r="AW60" i="2"/>
  <c r="AP60" i="2"/>
  <c r="AO60" i="2"/>
  <c r="AN60" i="2"/>
  <c r="AM60" i="2"/>
  <c r="AF60" i="2"/>
  <c r="AE60" i="2"/>
  <c r="AD60" i="2"/>
  <c r="AC60" i="2"/>
  <c r="V60" i="2"/>
  <c r="U60" i="2"/>
  <c r="T60" i="2"/>
  <c r="S60" i="2"/>
  <c r="L60" i="2"/>
  <c r="K60" i="2"/>
  <c r="J60" i="2"/>
  <c r="I60" i="2"/>
  <c r="CD59" i="2"/>
  <c r="CC59" i="2"/>
  <c r="CB59" i="2"/>
  <c r="CA59" i="2"/>
  <c r="BT59" i="2"/>
  <c r="BS59" i="2"/>
  <c r="BR59" i="2"/>
  <c r="BQ59" i="2"/>
  <c r="BJ59" i="2"/>
  <c r="BI59" i="2"/>
  <c r="BH59" i="2"/>
  <c r="BG59" i="2"/>
  <c r="AZ59" i="2"/>
  <c r="AY59" i="2"/>
  <c r="AX59" i="2"/>
  <c r="AW59" i="2"/>
  <c r="AP59" i="2"/>
  <c r="AO59" i="2"/>
  <c r="AN59" i="2"/>
  <c r="AM59" i="2"/>
  <c r="AF59" i="2"/>
  <c r="AE59" i="2"/>
  <c r="AD59" i="2"/>
  <c r="AC59" i="2"/>
  <c r="V59" i="2"/>
  <c r="U59" i="2"/>
  <c r="T59" i="2"/>
  <c r="S59" i="2"/>
  <c r="L59" i="2"/>
  <c r="K59" i="2"/>
  <c r="J59" i="2"/>
  <c r="I59" i="2"/>
  <c r="CD58" i="2"/>
  <c r="CC58" i="2"/>
  <c r="CB58" i="2"/>
  <c r="CA58" i="2"/>
  <c r="BT58" i="2"/>
  <c r="BS58" i="2"/>
  <c r="BR58" i="2"/>
  <c r="BQ58" i="2"/>
  <c r="BJ58" i="2"/>
  <c r="BI58" i="2"/>
  <c r="BH58" i="2"/>
  <c r="BG58" i="2"/>
  <c r="AZ58" i="2"/>
  <c r="AY58" i="2"/>
  <c r="AX58" i="2"/>
  <c r="AW58" i="2"/>
  <c r="AP58" i="2"/>
  <c r="AO58" i="2"/>
  <c r="AN58" i="2"/>
  <c r="AM58" i="2"/>
  <c r="AF58" i="2"/>
  <c r="AE58" i="2"/>
  <c r="AD58" i="2"/>
  <c r="AC58" i="2"/>
  <c r="V58" i="2"/>
  <c r="U58" i="2"/>
  <c r="T58" i="2"/>
  <c r="S58" i="2"/>
  <c r="L58" i="2"/>
  <c r="K58" i="2"/>
  <c r="J58" i="2"/>
  <c r="I58" i="2"/>
  <c r="CD57" i="2"/>
  <c r="CC57" i="2"/>
  <c r="CB57" i="2"/>
  <c r="CA57" i="2"/>
  <c r="BT57" i="2"/>
  <c r="BS57" i="2"/>
  <c r="BR57" i="2"/>
  <c r="BQ57" i="2"/>
  <c r="BJ57" i="2"/>
  <c r="BI57" i="2"/>
  <c r="BH57" i="2"/>
  <c r="BG57" i="2"/>
  <c r="AZ57" i="2"/>
  <c r="AY57" i="2"/>
  <c r="AX57" i="2"/>
  <c r="AW57" i="2"/>
  <c r="AP57" i="2"/>
  <c r="AO57" i="2"/>
  <c r="AN57" i="2"/>
  <c r="AM57" i="2"/>
  <c r="AF57" i="2"/>
  <c r="AE57" i="2"/>
  <c r="AD57" i="2"/>
  <c r="AC57" i="2"/>
  <c r="V57" i="2"/>
  <c r="U57" i="2"/>
  <c r="T57" i="2"/>
  <c r="S57" i="2"/>
  <c r="L57" i="2"/>
  <c r="K57" i="2"/>
  <c r="J57" i="2"/>
  <c r="I57" i="2"/>
  <c r="CD56" i="2"/>
  <c r="CC56" i="2"/>
  <c r="CB56" i="2"/>
  <c r="CA56" i="2"/>
  <c r="BT56" i="2"/>
  <c r="BS56" i="2"/>
  <c r="BR56" i="2"/>
  <c r="BQ56" i="2"/>
  <c r="BJ56" i="2"/>
  <c r="BI56" i="2"/>
  <c r="BH56" i="2"/>
  <c r="BG56" i="2"/>
  <c r="AZ56" i="2"/>
  <c r="AY56" i="2"/>
  <c r="AX56" i="2"/>
  <c r="AW56" i="2"/>
  <c r="AP56" i="2"/>
  <c r="AO56" i="2"/>
  <c r="AN56" i="2"/>
  <c r="AM56" i="2"/>
  <c r="AF56" i="2"/>
  <c r="AE56" i="2"/>
  <c r="AD56" i="2"/>
  <c r="AC56" i="2"/>
  <c r="V56" i="2"/>
  <c r="U56" i="2"/>
  <c r="T56" i="2"/>
  <c r="S56" i="2"/>
  <c r="L56" i="2"/>
  <c r="K56" i="2"/>
  <c r="J56" i="2"/>
  <c r="I56" i="2"/>
  <c r="CD55" i="2"/>
  <c r="CC55" i="2"/>
  <c r="CB55" i="2"/>
  <c r="CA55" i="2"/>
  <c r="BT55" i="2"/>
  <c r="BS55" i="2"/>
  <c r="BR55" i="2"/>
  <c r="BQ55" i="2"/>
  <c r="BJ55" i="2"/>
  <c r="BI55" i="2"/>
  <c r="BH55" i="2"/>
  <c r="BG55" i="2"/>
  <c r="AZ55" i="2"/>
  <c r="AY55" i="2"/>
  <c r="AX55" i="2"/>
  <c r="AW55" i="2"/>
  <c r="AP55" i="2"/>
  <c r="AO55" i="2"/>
  <c r="AN55" i="2"/>
  <c r="AM55" i="2"/>
  <c r="AF55" i="2"/>
  <c r="AE55" i="2"/>
  <c r="AD55" i="2"/>
  <c r="AC55" i="2"/>
  <c r="V55" i="2"/>
  <c r="U55" i="2"/>
  <c r="T55" i="2"/>
  <c r="S55" i="2"/>
  <c r="L55" i="2"/>
  <c r="K55" i="2"/>
  <c r="J55" i="2"/>
  <c r="I55" i="2"/>
  <c r="CD54" i="2"/>
  <c r="CC54" i="2"/>
  <c r="CB54" i="2"/>
  <c r="CA54" i="2"/>
  <c r="BT54" i="2"/>
  <c r="BS54" i="2"/>
  <c r="BR54" i="2"/>
  <c r="BQ54" i="2"/>
  <c r="BJ54" i="2"/>
  <c r="BI54" i="2"/>
  <c r="BH54" i="2"/>
  <c r="BG54" i="2"/>
  <c r="AZ54" i="2"/>
  <c r="AY54" i="2"/>
  <c r="AX54" i="2"/>
  <c r="AW54" i="2"/>
  <c r="AP54" i="2"/>
  <c r="AO54" i="2"/>
  <c r="AN54" i="2"/>
  <c r="AM54" i="2"/>
  <c r="AF54" i="2"/>
  <c r="AE54" i="2"/>
  <c r="AD54" i="2"/>
  <c r="AC54" i="2"/>
  <c r="V54" i="2"/>
  <c r="U54" i="2"/>
  <c r="T54" i="2"/>
  <c r="S54" i="2"/>
  <c r="L54" i="2"/>
  <c r="K54" i="2"/>
  <c r="J54" i="2"/>
  <c r="I54" i="2"/>
  <c r="CD53" i="2"/>
  <c r="CC53" i="2"/>
  <c r="CB53" i="2"/>
  <c r="CA53" i="2"/>
  <c r="BT53" i="2"/>
  <c r="BS53" i="2"/>
  <c r="BR53" i="2"/>
  <c r="BQ53" i="2"/>
  <c r="BJ53" i="2"/>
  <c r="BI53" i="2"/>
  <c r="BH53" i="2"/>
  <c r="BG53" i="2"/>
  <c r="AZ53" i="2"/>
  <c r="AY53" i="2"/>
  <c r="AX53" i="2"/>
  <c r="AW53" i="2"/>
  <c r="AP53" i="2"/>
  <c r="AO53" i="2"/>
  <c r="AN53" i="2"/>
  <c r="AM53" i="2"/>
  <c r="AF53" i="2"/>
  <c r="AE53" i="2"/>
  <c r="AD53" i="2"/>
  <c r="AC53" i="2"/>
  <c r="V53" i="2"/>
  <c r="U53" i="2"/>
  <c r="T53" i="2"/>
  <c r="S53" i="2"/>
  <c r="L53" i="2"/>
  <c r="K53" i="2"/>
  <c r="J53" i="2"/>
  <c r="I53" i="2"/>
  <c r="CD52" i="2"/>
  <c r="CC52" i="2"/>
  <c r="CB52" i="2"/>
  <c r="CA52" i="2"/>
  <c r="BT52" i="2"/>
  <c r="BS52" i="2"/>
  <c r="BR52" i="2"/>
  <c r="BQ52" i="2"/>
  <c r="BJ52" i="2"/>
  <c r="BI52" i="2"/>
  <c r="BH52" i="2"/>
  <c r="BG52" i="2"/>
  <c r="AZ52" i="2"/>
  <c r="AY52" i="2"/>
  <c r="AX52" i="2"/>
  <c r="AW52" i="2"/>
  <c r="AP52" i="2"/>
  <c r="AO52" i="2"/>
  <c r="AN52" i="2"/>
  <c r="AM52" i="2"/>
  <c r="AF52" i="2"/>
  <c r="AE52" i="2"/>
  <c r="AD52" i="2"/>
  <c r="AC52" i="2"/>
  <c r="V52" i="2"/>
  <c r="U52" i="2"/>
  <c r="T52" i="2"/>
  <c r="S52" i="2"/>
  <c r="L52" i="2"/>
  <c r="K52" i="2"/>
  <c r="J52" i="2"/>
  <c r="I52" i="2"/>
  <c r="CD51" i="2"/>
  <c r="CC51" i="2"/>
  <c r="CB51" i="2"/>
  <c r="CA51" i="2"/>
  <c r="BT51" i="2"/>
  <c r="BS51" i="2"/>
  <c r="BR51" i="2"/>
  <c r="BQ51" i="2"/>
  <c r="BJ51" i="2"/>
  <c r="BI51" i="2"/>
  <c r="BH51" i="2"/>
  <c r="BG51" i="2"/>
  <c r="AZ51" i="2"/>
  <c r="AY51" i="2"/>
  <c r="AX51" i="2"/>
  <c r="AW51" i="2"/>
  <c r="AP51" i="2"/>
  <c r="AO51" i="2"/>
  <c r="AN51" i="2"/>
  <c r="AM51" i="2"/>
  <c r="AF51" i="2"/>
  <c r="AE51" i="2"/>
  <c r="AD51" i="2"/>
  <c r="AC51" i="2"/>
  <c r="V51" i="2"/>
  <c r="U51" i="2"/>
  <c r="T51" i="2"/>
  <c r="S51" i="2"/>
  <c r="L51" i="2"/>
  <c r="K51" i="2"/>
  <c r="J51" i="2"/>
  <c r="I51" i="2"/>
  <c r="CD50" i="2"/>
  <c r="CC50" i="2"/>
  <c r="CB50" i="2"/>
  <c r="CA50" i="2"/>
  <c r="BT50" i="2"/>
  <c r="BS50" i="2"/>
  <c r="BR50" i="2"/>
  <c r="BQ50" i="2"/>
  <c r="BJ50" i="2"/>
  <c r="BI50" i="2"/>
  <c r="BH50" i="2"/>
  <c r="BG50" i="2"/>
  <c r="AZ50" i="2"/>
  <c r="AY50" i="2"/>
  <c r="AX50" i="2"/>
  <c r="AW50" i="2"/>
  <c r="AP50" i="2"/>
  <c r="AO50" i="2"/>
  <c r="AN50" i="2"/>
  <c r="AM50" i="2"/>
  <c r="AF50" i="2"/>
  <c r="AE50" i="2"/>
  <c r="AD50" i="2"/>
  <c r="AC50" i="2"/>
  <c r="V50" i="2"/>
  <c r="U50" i="2"/>
  <c r="T50" i="2"/>
  <c r="S50" i="2"/>
  <c r="L50" i="2"/>
  <c r="K50" i="2"/>
  <c r="J50" i="2"/>
  <c r="I50" i="2"/>
  <c r="CD49" i="2"/>
  <c r="CC49" i="2"/>
  <c r="CB49" i="2"/>
  <c r="CA49" i="2"/>
  <c r="BT49" i="2"/>
  <c r="BS49" i="2"/>
  <c r="BR49" i="2"/>
  <c r="BQ49" i="2"/>
  <c r="BJ49" i="2"/>
  <c r="BI49" i="2"/>
  <c r="BH49" i="2"/>
  <c r="BG49" i="2"/>
  <c r="AZ49" i="2"/>
  <c r="AY49" i="2"/>
  <c r="AX49" i="2"/>
  <c r="AW49" i="2"/>
  <c r="AP49" i="2"/>
  <c r="AO49" i="2"/>
  <c r="AN49" i="2"/>
  <c r="AM49" i="2"/>
  <c r="AF49" i="2"/>
  <c r="AE49" i="2"/>
  <c r="AD49" i="2"/>
  <c r="AC49" i="2"/>
  <c r="V49" i="2"/>
  <c r="U49" i="2"/>
  <c r="T49" i="2"/>
  <c r="S49" i="2"/>
  <c r="L49" i="2"/>
  <c r="K49" i="2"/>
  <c r="J49" i="2"/>
  <c r="I49" i="2"/>
  <c r="CC48" i="2"/>
  <c r="CB48" i="2"/>
  <c r="CA48" i="2"/>
  <c r="BS48" i="2"/>
  <c r="BR48" i="2"/>
  <c r="BQ48" i="2"/>
  <c r="BI48" i="2"/>
  <c r="BH48" i="2"/>
  <c r="BG48" i="2"/>
  <c r="AY48" i="2"/>
  <c r="AX48" i="2"/>
  <c r="AW48" i="2"/>
  <c r="AO48" i="2"/>
  <c r="AN48" i="2"/>
  <c r="AM48" i="2"/>
  <c r="AE48" i="2"/>
  <c r="AD48" i="2"/>
  <c r="AC48" i="2"/>
  <c r="U48" i="2"/>
  <c r="T48" i="2"/>
  <c r="S48" i="2"/>
  <c r="K48" i="2"/>
  <c r="J48" i="2"/>
  <c r="I48" i="2"/>
  <c r="CC47" i="2"/>
  <c r="CB47" i="2"/>
  <c r="CA47" i="2"/>
  <c r="BS47" i="2"/>
  <c r="BR47" i="2"/>
  <c r="BQ47" i="2"/>
  <c r="BI47" i="2"/>
  <c r="BH47" i="2"/>
  <c r="BG47" i="2"/>
  <c r="AY47" i="2"/>
  <c r="AX47" i="2"/>
  <c r="AW47" i="2"/>
  <c r="AO47" i="2"/>
  <c r="AN47" i="2"/>
  <c r="AM47" i="2"/>
  <c r="AE47" i="2"/>
  <c r="AD47" i="2"/>
  <c r="AC47" i="2"/>
  <c r="U47" i="2"/>
  <c r="T47" i="2"/>
  <c r="S47" i="2"/>
  <c r="K47" i="2"/>
  <c r="J47" i="2"/>
  <c r="I47" i="2"/>
  <c r="CC46" i="2"/>
  <c r="CB46" i="2"/>
  <c r="CA46" i="2"/>
  <c r="BS46" i="2"/>
  <c r="BR46" i="2"/>
  <c r="BQ46" i="2"/>
  <c r="BI46" i="2"/>
  <c r="BH46" i="2"/>
  <c r="BG46" i="2"/>
  <c r="AY46" i="2"/>
  <c r="AX46" i="2"/>
  <c r="AW46" i="2"/>
  <c r="AO46" i="2"/>
  <c r="AN46" i="2"/>
  <c r="AM46" i="2"/>
  <c r="AE46" i="2"/>
  <c r="AD46" i="2"/>
  <c r="AC46" i="2"/>
  <c r="U46" i="2"/>
  <c r="T46" i="2"/>
  <c r="S46" i="2"/>
  <c r="K46" i="2"/>
  <c r="J46" i="2"/>
  <c r="I46" i="2"/>
  <c r="CC45" i="2"/>
  <c r="CB45" i="2"/>
  <c r="CA45" i="2"/>
  <c r="BS45" i="2"/>
  <c r="BR45" i="2"/>
  <c r="BQ45" i="2"/>
  <c r="BI45" i="2"/>
  <c r="BH45" i="2"/>
  <c r="BG45" i="2"/>
  <c r="AY45" i="2"/>
  <c r="AX45" i="2"/>
  <c r="AW45" i="2"/>
  <c r="AO45" i="2"/>
  <c r="AN45" i="2"/>
  <c r="AM45" i="2"/>
  <c r="AE45" i="2"/>
  <c r="AD45" i="2"/>
  <c r="AC45" i="2"/>
  <c r="U45" i="2"/>
  <c r="T45" i="2"/>
  <c r="S45" i="2"/>
  <c r="K45" i="2"/>
  <c r="J45" i="2"/>
  <c r="I45" i="2"/>
  <c r="CC44" i="2"/>
  <c r="BY6" i="2" s="1"/>
  <c r="CB44" i="2"/>
  <c r="CA44" i="2"/>
  <c r="BS44" i="2"/>
  <c r="BR44" i="2"/>
  <c r="BQ44" i="2"/>
  <c r="BM6" i="2" s="1"/>
  <c r="BI44" i="2"/>
  <c r="BH44" i="2"/>
  <c r="BD6" i="2" s="1"/>
  <c r="BG44" i="2"/>
  <c r="AY44" i="2"/>
  <c r="AX44" i="2"/>
  <c r="AW44" i="2"/>
  <c r="AO44" i="2"/>
  <c r="AN44" i="2"/>
  <c r="AM44" i="2"/>
  <c r="AI6" i="2" s="1"/>
  <c r="AE44" i="2"/>
  <c r="AD44" i="2"/>
  <c r="Z6" i="2" s="1"/>
  <c r="AC44" i="2"/>
  <c r="U44" i="2"/>
  <c r="T44" i="2"/>
  <c r="S44" i="2"/>
  <c r="K44" i="2"/>
  <c r="G6" i="2" s="1"/>
  <c r="J44" i="2"/>
  <c r="I44" i="2"/>
  <c r="E6" i="2" s="1"/>
  <c r="CC43" i="2"/>
  <c r="CB43" i="2"/>
  <c r="CA43" i="2"/>
  <c r="BW6" i="2" s="1"/>
  <c r="BS43" i="2"/>
  <c r="BR43" i="2"/>
  <c r="BN6" i="2" s="1"/>
  <c r="BQ43" i="2"/>
  <c r="BI43" i="2"/>
  <c r="BE6" i="2" s="1"/>
  <c r="BH43" i="2"/>
  <c r="BG43" i="2"/>
  <c r="AY43" i="2"/>
  <c r="AX43" i="2"/>
  <c r="AW43" i="2"/>
  <c r="AO43" i="2"/>
  <c r="AK6" i="2" s="1"/>
  <c r="AN43" i="2"/>
  <c r="AJ6" i="2" s="1"/>
  <c r="AM43" i="2"/>
  <c r="AE43" i="2"/>
  <c r="AD43" i="2"/>
  <c r="AC43" i="2"/>
  <c r="U43" i="2"/>
  <c r="Q6" i="2" s="1"/>
  <c r="T43" i="2"/>
  <c r="S43" i="2"/>
  <c r="K43" i="2"/>
  <c r="J43" i="2"/>
  <c r="I43" i="2"/>
  <c r="CC42" i="2"/>
  <c r="CB42" i="2"/>
  <c r="CA42" i="2"/>
  <c r="BS42" i="2"/>
  <c r="BR42" i="2"/>
  <c r="BQ42" i="2"/>
  <c r="BI42" i="2"/>
  <c r="BH42" i="2"/>
  <c r="BG42" i="2"/>
  <c r="AY42" i="2"/>
  <c r="AX42" i="2"/>
  <c r="AW42" i="2"/>
  <c r="AO42" i="2"/>
  <c r="AN42" i="2"/>
  <c r="AM42" i="2"/>
  <c r="AE42" i="2"/>
  <c r="AD42" i="2"/>
  <c r="AC42" i="2"/>
  <c r="U42" i="2"/>
  <c r="T42" i="2"/>
  <c r="S42" i="2"/>
  <c r="K42" i="2"/>
  <c r="J42" i="2"/>
  <c r="I42" i="2"/>
  <c r="CC41" i="2"/>
  <c r="CB41" i="2"/>
  <c r="CA41" i="2"/>
  <c r="BS41" i="2"/>
  <c r="BR41" i="2"/>
  <c r="BQ41" i="2"/>
  <c r="BI41" i="2"/>
  <c r="BH41" i="2"/>
  <c r="BG41" i="2"/>
  <c r="AY41" i="2"/>
  <c r="AX41" i="2"/>
  <c r="AW41" i="2"/>
  <c r="AO41" i="2"/>
  <c r="AN41" i="2"/>
  <c r="AM41" i="2"/>
  <c r="AE41" i="2"/>
  <c r="AD41" i="2"/>
  <c r="AC41" i="2"/>
  <c r="U41" i="2"/>
  <c r="T41" i="2"/>
  <c r="S41" i="2"/>
  <c r="K41" i="2"/>
  <c r="J41" i="2"/>
  <c r="I41" i="2"/>
  <c r="CC40" i="2"/>
  <c r="CB40" i="2"/>
  <c r="CA40" i="2"/>
  <c r="BS40" i="2"/>
  <c r="BR40" i="2"/>
  <c r="BQ40" i="2"/>
  <c r="BI40" i="2"/>
  <c r="BH40" i="2"/>
  <c r="BG40" i="2"/>
  <c r="AY40" i="2"/>
  <c r="AX40" i="2"/>
  <c r="AW40" i="2"/>
  <c r="AO40" i="2"/>
  <c r="AN40" i="2"/>
  <c r="AM40" i="2"/>
  <c r="AE40" i="2"/>
  <c r="AD40" i="2"/>
  <c r="AC40" i="2"/>
  <c r="U40" i="2"/>
  <c r="T40" i="2"/>
  <c r="S40" i="2"/>
  <c r="K40" i="2"/>
  <c r="J40" i="2"/>
  <c r="I40" i="2"/>
  <c r="CC39" i="2"/>
  <c r="CB39" i="2"/>
  <c r="CA39" i="2"/>
  <c r="BS39" i="2"/>
  <c r="BR39" i="2"/>
  <c r="BQ39" i="2"/>
  <c r="BI39" i="2"/>
  <c r="BH39" i="2"/>
  <c r="BG39" i="2"/>
  <c r="AY39" i="2"/>
  <c r="AX39" i="2"/>
  <c r="AW39" i="2"/>
  <c r="AO39" i="2"/>
  <c r="AN39" i="2"/>
  <c r="AM39" i="2"/>
  <c r="AE39" i="2"/>
  <c r="AD39" i="2"/>
  <c r="AC39" i="2"/>
  <c r="U39" i="2"/>
  <c r="T39" i="2"/>
  <c r="S39" i="2"/>
  <c r="K39" i="2"/>
  <c r="J39" i="2"/>
  <c r="I39" i="2"/>
  <c r="CC38" i="2"/>
  <c r="CB38" i="2"/>
  <c r="CA38" i="2"/>
  <c r="BS38" i="2"/>
  <c r="BR38" i="2"/>
  <c r="BQ38" i="2"/>
  <c r="BI38" i="2"/>
  <c r="BH38" i="2"/>
  <c r="BG38" i="2"/>
  <c r="AY38" i="2"/>
  <c r="AX38" i="2"/>
  <c r="AW38" i="2"/>
  <c r="AO38" i="2"/>
  <c r="AN38" i="2"/>
  <c r="AM38" i="2"/>
  <c r="AE38" i="2"/>
  <c r="AD38" i="2"/>
  <c r="AC38" i="2"/>
  <c r="U38" i="2"/>
  <c r="T38" i="2"/>
  <c r="S38" i="2"/>
  <c r="K38" i="2"/>
  <c r="J38" i="2"/>
  <c r="I38" i="2"/>
  <c r="CC37" i="2"/>
  <c r="CB37" i="2"/>
  <c r="CA37" i="2"/>
  <c r="BS37" i="2"/>
  <c r="BR37" i="2"/>
  <c r="BQ37" i="2"/>
  <c r="BI37" i="2"/>
  <c r="BH37" i="2"/>
  <c r="BG37" i="2"/>
  <c r="AY37" i="2"/>
  <c r="AX37" i="2"/>
  <c r="AW37" i="2"/>
  <c r="AO37" i="2"/>
  <c r="AN37" i="2"/>
  <c r="AM37" i="2"/>
  <c r="AE37" i="2"/>
  <c r="AD37" i="2"/>
  <c r="AC37" i="2"/>
  <c r="U37" i="2"/>
  <c r="T37" i="2"/>
  <c r="S37" i="2"/>
  <c r="K37" i="2"/>
  <c r="J37" i="2"/>
  <c r="I37" i="2"/>
  <c r="CC36" i="2"/>
  <c r="CB36" i="2"/>
  <c r="CA36" i="2"/>
  <c r="BS36" i="2"/>
  <c r="BR36" i="2"/>
  <c r="BQ36" i="2"/>
  <c r="BI36" i="2"/>
  <c r="BH36" i="2"/>
  <c r="BG36" i="2"/>
  <c r="AY36" i="2"/>
  <c r="AX36" i="2"/>
  <c r="AW36" i="2"/>
  <c r="AO36" i="2"/>
  <c r="AN36" i="2"/>
  <c r="AM36" i="2"/>
  <c r="AE36" i="2"/>
  <c r="AD36" i="2"/>
  <c r="AC36" i="2"/>
  <c r="U36" i="2"/>
  <c r="T36" i="2"/>
  <c r="S36" i="2"/>
  <c r="K36" i="2"/>
  <c r="J36" i="2"/>
  <c r="I36" i="2"/>
  <c r="CC35" i="2"/>
  <c r="CB35" i="2"/>
  <c r="CA35" i="2"/>
  <c r="BS35" i="2"/>
  <c r="BR35" i="2"/>
  <c r="BQ35" i="2"/>
  <c r="BI35" i="2"/>
  <c r="BH35" i="2"/>
  <c r="BG35" i="2"/>
  <c r="AY35" i="2"/>
  <c r="AX35" i="2"/>
  <c r="AW35" i="2"/>
  <c r="AO35" i="2"/>
  <c r="AN35" i="2"/>
  <c r="AM35" i="2"/>
  <c r="AE35" i="2"/>
  <c r="AD35" i="2"/>
  <c r="AC35" i="2"/>
  <c r="U35" i="2"/>
  <c r="T35" i="2"/>
  <c r="S35" i="2"/>
  <c r="K35" i="2"/>
  <c r="J35" i="2"/>
  <c r="I35" i="2"/>
  <c r="CC34" i="2"/>
  <c r="BY5" i="2" s="1"/>
  <c r="CB34" i="2"/>
  <c r="CA34" i="2"/>
  <c r="BS34" i="2"/>
  <c r="BR34" i="2"/>
  <c r="BQ34" i="2"/>
  <c r="BM5" i="2" s="1"/>
  <c r="BI34" i="2"/>
  <c r="BH34" i="2"/>
  <c r="BD5" i="2" s="1"/>
  <c r="BG34" i="2"/>
  <c r="AY34" i="2"/>
  <c r="AX34" i="2"/>
  <c r="AW34" i="2"/>
  <c r="AO34" i="2"/>
  <c r="AN34" i="2"/>
  <c r="AM34" i="2"/>
  <c r="AI5" i="2" s="1"/>
  <c r="AE34" i="2"/>
  <c r="AD34" i="2"/>
  <c r="Z5" i="2" s="1"/>
  <c r="AC34" i="2"/>
  <c r="U34" i="2"/>
  <c r="T34" i="2"/>
  <c r="S34" i="2"/>
  <c r="O5" i="2" s="1"/>
  <c r="K34" i="2"/>
  <c r="G5" i="2" s="1"/>
  <c r="J34" i="2"/>
  <c r="I34" i="2"/>
  <c r="E5" i="2" s="1"/>
  <c r="CC33" i="2"/>
  <c r="CB33" i="2"/>
  <c r="CA33" i="2"/>
  <c r="BW5" i="2" s="1"/>
  <c r="BS33" i="2"/>
  <c r="BR33" i="2"/>
  <c r="BN5" i="2" s="1"/>
  <c r="BQ33" i="2"/>
  <c r="BI33" i="2"/>
  <c r="BE5" i="2" s="1"/>
  <c r="BH33" i="2"/>
  <c r="BG33" i="2"/>
  <c r="AY33" i="2"/>
  <c r="AX33" i="2"/>
  <c r="AW33" i="2"/>
  <c r="AO33" i="2"/>
  <c r="AK5" i="2" s="1"/>
  <c r="AN33" i="2"/>
  <c r="AJ5" i="2" s="1"/>
  <c r="AM33" i="2"/>
  <c r="AE33" i="2"/>
  <c r="AD33" i="2"/>
  <c r="AC33" i="2"/>
  <c r="U33" i="2"/>
  <c r="Q5" i="2" s="1"/>
  <c r="T33" i="2"/>
  <c r="S33" i="2"/>
  <c r="K33" i="2"/>
  <c r="J33" i="2"/>
  <c r="I33" i="2"/>
  <c r="CC32" i="2"/>
  <c r="CB32" i="2"/>
  <c r="CA32" i="2"/>
  <c r="BS32" i="2"/>
  <c r="BR32" i="2"/>
  <c r="BQ32" i="2"/>
  <c r="BI32" i="2"/>
  <c r="BH32" i="2"/>
  <c r="BG32" i="2"/>
  <c r="AY32" i="2"/>
  <c r="AX32" i="2"/>
  <c r="AW32" i="2"/>
  <c r="AO32" i="2"/>
  <c r="AN32" i="2"/>
  <c r="AM32" i="2"/>
  <c r="AE32" i="2"/>
  <c r="AD32" i="2"/>
  <c r="AC32" i="2"/>
  <c r="U32" i="2"/>
  <c r="T32" i="2"/>
  <c r="S32" i="2"/>
  <c r="K32" i="2"/>
  <c r="J32" i="2"/>
  <c r="I32" i="2"/>
  <c r="CC31" i="2"/>
  <c r="CB31" i="2"/>
  <c r="CA31" i="2"/>
  <c r="BS31" i="2"/>
  <c r="BR31" i="2"/>
  <c r="BQ31" i="2"/>
  <c r="BI31" i="2"/>
  <c r="BH31" i="2"/>
  <c r="BG31" i="2"/>
  <c r="AY31" i="2"/>
  <c r="AX31" i="2"/>
  <c r="AW31" i="2"/>
  <c r="AO31" i="2"/>
  <c r="AN31" i="2"/>
  <c r="AM31" i="2"/>
  <c r="AE31" i="2"/>
  <c r="AD31" i="2"/>
  <c r="AC31" i="2"/>
  <c r="U31" i="2"/>
  <c r="T31" i="2"/>
  <c r="S31" i="2"/>
  <c r="K31" i="2"/>
  <c r="J31" i="2"/>
  <c r="I31" i="2"/>
  <c r="CC30" i="2"/>
  <c r="CB30" i="2"/>
  <c r="CA30" i="2"/>
  <c r="BS30" i="2"/>
  <c r="BR30" i="2"/>
  <c r="BQ30" i="2"/>
  <c r="BI30" i="2"/>
  <c r="BH30" i="2"/>
  <c r="BG30" i="2"/>
  <c r="AY30" i="2"/>
  <c r="AX30" i="2"/>
  <c r="AW30" i="2"/>
  <c r="AO30" i="2"/>
  <c r="AN30" i="2"/>
  <c r="AM30" i="2"/>
  <c r="AE30" i="2"/>
  <c r="AD30" i="2"/>
  <c r="AC30" i="2"/>
  <c r="U30" i="2"/>
  <c r="T30" i="2"/>
  <c r="S30" i="2"/>
  <c r="K30" i="2"/>
  <c r="J30" i="2"/>
  <c r="I30" i="2"/>
  <c r="CC29" i="2"/>
  <c r="CB29" i="2"/>
  <c r="CA29" i="2"/>
  <c r="BS29" i="2"/>
  <c r="BR29" i="2"/>
  <c r="BQ29" i="2"/>
  <c r="BI29" i="2"/>
  <c r="BH29" i="2"/>
  <c r="BG29" i="2"/>
  <c r="AY29" i="2"/>
  <c r="AX29" i="2"/>
  <c r="AW29" i="2"/>
  <c r="AO29" i="2"/>
  <c r="AN29" i="2"/>
  <c r="AM29" i="2"/>
  <c r="AE29" i="2"/>
  <c r="AD29" i="2"/>
  <c r="AC29" i="2"/>
  <c r="U29" i="2"/>
  <c r="T29" i="2"/>
  <c r="S29" i="2"/>
  <c r="K29" i="2"/>
  <c r="J29" i="2"/>
  <c r="I29" i="2"/>
  <c r="CC28" i="2"/>
  <c r="CB28" i="2"/>
  <c r="CA28" i="2"/>
  <c r="BS28" i="2"/>
  <c r="BR28" i="2"/>
  <c r="BQ28" i="2"/>
  <c r="BI28" i="2"/>
  <c r="BH28" i="2"/>
  <c r="BG28" i="2"/>
  <c r="AY28" i="2"/>
  <c r="AX28" i="2"/>
  <c r="AW28" i="2"/>
  <c r="AO28" i="2"/>
  <c r="AN28" i="2"/>
  <c r="AM28" i="2"/>
  <c r="AE28" i="2"/>
  <c r="AD28" i="2"/>
  <c r="AC28" i="2"/>
  <c r="U28" i="2"/>
  <c r="T28" i="2"/>
  <c r="S28" i="2"/>
  <c r="K28" i="2"/>
  <c r="J28" i="2"/>
  <c r="I28" i="2"/>
  <c r="CC27" i="2"/>
  <c r="CB27" i="2"/>
  <c r="CA27" i="2"/>
  <c r="BS27" i="2"/>
  <c r="BR27" i="2"/>
  <c r="BQ27" i="2"/>
  <c r="BI27" i="2"/>
  <c r="BH27" i="2"/>
  <c r="BG27" i="2"/>
  <c r="AY27" i="2"/>
  <c r="AX27" i="2"/>
  <c r="AW27" i="2"/>
  <c r="AO27" i="2"/>
  <c r="AN27" i="2"/>
  <c r="AM27" i="2"/>
  <c r="AE27" i="2"/>
  <c r="AD27" i="2"/>
  <c r="AC27" i="2"/>
  <c r="U27" i="2"/>
  <c r="T27" i="2"/>
  <c r="S27" i="2"/>
  <c r="K27" i="2"/>
  <c r="J27" i="2"/>
  <c r="I27" i="2"/>
  <c r="CC26" i="2"/>
  <c r="CB26" i="2"/>
  <c r="CA26" i="2"/>
  <c r="BS26" i="2"/>
  <c r="BR26" i="2"/>
  <c r="BQ26" i="2"/>
  <c r="BI26" i="2"/>
  <c r="BH26" i="2"/>
  <c r="BG26" i="2"/>
  <c r="AY26" i="2"/>
  <c r="AX26" i="2"/>
  <c r="AW26" i="2"/>
  <c r="AO26" i="2"/>
  <c r="AN26" i="2"/>
  <c r="AM26" i="2"/>
  <c r="AE26" i="2"/>
  <c r="AD26" i="2"/>
  <c r="AC26" i="2"/>
  <c r="U26" i="2"/>
  <c r="T26" i="2"/>
  <c r="S26" i="2"/>
  <c r="K26" i="2"/>
  <c r="J26" i="2"/>
  <c r="I26" i="2"/>
  <c r="CC25" i="2"/>
  <c r="CB25" i="2"/>
  <c r="CA25" i="2"/>
  <c r="BS25" i="2"/>
  <c r="BR25" i="2"/>
  <c r="BQ25" i="2"/>
  <c r="BI25" i="2"/>
  <c r="BH25" i="2"/>
  <c r="BG25" i="2"/>
  <c r="AY25" i="2"/>
  <c r="AX25" i="2"/>
  <c r="AW25" i="2"/>
  <c r="AO25" i="2"/>
  <c r="AN25" i="2"/>
  <c r="AM25" i="2"/>
  <c r="AE25" i="2"/>
  <c r="AD25" i="2"/>
  <c r="AC25" i="2"/>
  <c r="U25" i="2"/>
  <c r="T25" i="2"/>
  <c r="S25" i="2"/>
  <c r="K25" i="2"/>
  <c r="J25" i="2"/>
  <c r="I25" i="2"/>
  <c r="CC24" i="2"/>
  <c r="BY4" i="2" s="1"/>
  <c r="CB24" i="2"/>
  <c r="CA24" i="2"/>
  <c r="BS24" i="2"/>
  <c r="BR24" i="2"/>
  <c r="BQ24" i="2"/>
  <c r="BM4" i="2" s="1"/>
  <c r="BI24" i="2"/>
  <c r="BH24" i="2"/>
  <c r="BD4" i="2" s="1"/>
  <c r="BG24" i="2"/>
  <c r="AY24" i="2"/>
  <c r="AX24" i="2"/>
  <c r="AW24" i="2"/>
  <c r="AS4" i="2" s="1"/>
  <c r="AO24" i="2"/>
  <c r="AN24" i="2"/>
  <c r="AM24" i="2"/>
  <c r="AI4" i="2" s="1"/>
  <c r="AE24" i="2"/>
  <c r="AD24" i="2"/>
  <c r="Z4" i="2" s="1"/>
  <c r="AC24" i="2"/>
  <c r="U24" i="2"/>
  <c r="T24" i="2"/>
  <c r="S24" i="2"/>
  <c r="K24" i="2"/>
  <c r="G4" i="2" s="1"/>
  <c r="J24" i="2"/>
  <c r="I24" i="2"/>
  <c r="E4" i="2" s="1"/>
  <c r="CC23" i="2"/>
  <c r="CB23" i="2"/>
  <c r="CA23" i="2"/>
  <c r="BW4" i="2" s="1"/>
  <c r="BS23" i="2"/>
  <c r="BR23" i="2"/>
  <c r="BN4" i="2" s="1"/>
  <c r="BQ23" i="2"/>
  <c r="BI23" i="2"/>
  <c r="BE4" i="2" s="1"/>
  <c r="BH23" i="2"/>
  <c r="BG23" i="2"/>
  <c r="BC4" i="2" s="1"/>
  <c r="AY23" i="2"/>
  <c r="AX23" i="2"/>
  <c r="AW23" i="2"/>
  <c r="AO23" i="2"/>
  <c r="AK4" i="2" s="1"/>
  <c r="AN23" i="2"/>
  <c r="AJ4" i="2" s="1"/>
  <c r="AM23" i="2"/>
  <c r="AE23" i="2"/>
  <c r="AD23" i="2"/>
  <c r="AC23" i="2"/>
  <c r="U23" i="2"/>
  <c r="Q4" i="2" s="1"/>
  <c r="T23" i="2"/>
  <c r="S23" i="2"/>
  <c r="O4" i="2" s="1"/>
  <c r="K23" i="2"/>
  <c r="J23" i="2"/>
  <c r="I23" i="2"/>
  <c r="CC22" i="2"/>
  <c r="CB22" i="2"/>
  <c r="CA22" i="2"/>
  <c r="BS22" i="2"/>
  <c r="BR22" i="2"/>
  <c r="BQ22" i="2"/>
  <c r="BI22" i="2"/>
  <c r="BH22" i="2"/>
  <c r="BG22" i="2"/>
  <c r="AY22" i="2"/>
  <c r="AX22" i="2"/>
  <c r="AW22" i="2"/>
  <c r="AO22" i="2"/>
  <c r="AN22" i="2"/>
  <c r="AM22" i="2"/>
  <c r="AE22" i="2"/>
  <c r="AD22" i="2"/>
  <c r="AC22" i="2"/>
  <c r="U22" i="2"/>
  <c r="T22" i="2"/>
  <c r="S22" i="2"/>
  <c r="K22" i="2"/>
  <c r="J22" i="2"/>
  <c r="I22" i="2"/>
  <c r="CC21" i="2"/>
  <c r="CB21" i="2"/>
  <c r="CA21" i="2"/>
  <c r="BS21" i="2"/>
  <c r="BR21" i="2"/>
  <c r="BQ21" i="2"/>
  <c r="BI21" i="2"/>
  <c r="BE3" i="2" s="1"/>
  <c r="BE8" i="2" s="1"/>
  <c r="BH21" i="2"/>
  <c r="BG21" i="2"/>
  <c r="BC3" i="2" s="1"/>
  <c r="BC8" i="2" s="1"/>
  <c r="AY21" i="2"/>
  <c r="AX21" i="2"/>
  <c r="AW21" i="2"/>
  <c r="AO21" i="2"/>
  <c r="AN21" i="2"/>
  <c r="AM21" i="2"/>
  <c r="AE21" i="2"/>
  <c r="AD21" i="2"/>
  <c r="AC21" i="2"/>
  <c r="U21" i="2"/>
  <c r="T21" i="2"/>
  <c r="S21" i="2"/>
  <c r="K21" i="2"/>
  <c r="J21" i="2"/>
  <c r="I21" i="2"/>
  <c r="CC20" i="2"/>
  <c r="BY3" i="2" s="1"/>
  <c r="BY8" i="2" s="1"/>
  <c r="CB20" i="2"/>
  <c r="CA20" i="2"/>
  <c r="BS20" i="2"/>
  <c r="BR20" i="2"/>
  <c r="BN3" i="2" s="1"/>
  <c r="BQ20" i="2"/>
  <c r="BM3" i="2" s="1"/>
  <c r="BI20" i="2"/>
  <c r="BH20" i="2"/>
  <c r="BD3" i="2" s="1"/>
  <c r="BD8" i="2" s="1"/>
  <c r="BG20" i="2"/>
  <c r="AY20" i="2"/>
  <c r="AX20" i="2"/>
  <c r="AW20" i="2"/>
  <c r="AO20" i="2"/>
  <c r="AK3" i="2" s="1"/>
  <c r="AK8" i="2" s="1"/>
  <c r="AN20" i="2"/>
  <c r="AJ3" i="2" s="1"/>
  <c r="AJ8" i="2" s="1"/>
  <c r="AM20" i="2"/>
  <c r="AE20" i="2"/>
  <c r="AD20" i="2"/>
  <c r="Z3" i="2" s="1"/>
  <c r="Z8" i="2" s="1"/>
  <c r="AC20" i="2"/>
  <c r="U20" i="2"/>
  <c r="Q3" i="2" s="1"/>
  <c r="T20" i="2"/>
  <c r="S20" i="2"/>
  <c r="K20" i="2"/>
  <c r="G3" i="2" s="1"/>
  <c r="G8" i="2" s="1"/>
  <c r="J20" i="2"/>
  <c r="I20" i="2"/>
  <c r="CA19" i="2"/>
  <c r="BQ19" i="2"/>
  <c r="BG19" i="2"/>
  <c r="AW19" i="2"/>
  <c r="AM19" i="2"/>
  <c r="AC19" i="2"/>
  <c r="S19" i="2"/>
  <c r="I19" i="2"/>
  <c r="CA18" i="2"/>
  <c r="BQ18" i="2"/>
  <c r="BG18" i="2"/>
  <c r="AW18" i="2"/>
  <c r="AM18" i="2"/>
  <c r="AC18" i="2"/>
  <c r="S18" i="2"/>
  <c r="I18" i="2"/>
  <c r="CA17" i="2"/>
  <c r="BQ17" i="2"/>
  <c r="BG17" i="2"/>
  <c r="AW17" i="2"/>
  <c r="AM17" i="2"/>
  <c r="AC17" i="2"/>
  <c r="S17" i="2"/>
  <c r="I17" i="2"/>
  <c r="CA16" i="2"/>
  <c r="BQ16" i="2"/>
  <c r="BG16" i="2"/>
  <c r="AW16" i="2"/>
  <c r="AM16" i="2"/>
  <c r="AC16" i="2"/>
  <c r="S16" i="2"/>
  <c r="I16" i="2"/>
  <c r="CA15" i="2"/>
  <c r="BQ15" i="2"/>
  <c r="BG15" i="2"/>
  <c r="AW15" i="2"/>
  <c r="AM15" i="2"/>
  <c r="AC15" i="2"/>
  <c r="S15" i="2"/>
  <c r="I15" i="2"/>
  <c r="CA14" i="2"/>
  <c r="BW3" i="2" s="1"/>
  <c r="BQ14" i="2"/>
  <c r="BG14" i="2"/>
  <c r="AW14" i="2"/>
  <c r="AM14" i="2"/>
  <c r="AC14" i="2"/>
  <c r="Y3" i="2" s="1"/>
  <c r="Y8" i="2" s="1"/>
  <c r="S14" i="2"/>
  <c r="I14" i="2"/>
  <c r="E3" i="2" s="1"/>
  <c r="E8" i="2" s="1"/>
  <c r="CA13" i="2"/>
  <c r="BQ13" i="2"/>
  <c r="BG13" i="2"/>
  <c r="AW13" i="2"/>
  <c r="AS3" i="2" s="1"/>
  <c r="AS8" i="2" s="1"/>
  <c r="AM13" i="2"/>
  <c r="AI3" i="2" s="1"/>
  <c r="AC13" i="2"/>
  <c r="S13" i="2"/>
  <c r="O3" i="2" s="1"/>
  <c r="O8" i="2" s="1"/>
  <c r="I13" i="2"/>
  <c r="BZ7" i="2"/>
  <c r="BY7" i="2"/>
  <c r="BX7" i="2"/>
  <c r="BW7" i="2"/>
  <c r="BP7" i="2"/>
  <c r="BN7" i="2"/>
  <c r="BF7" i="2"/>
  <c r="BE7" i="2"/>
  <c r="BD7" i="2"/>
  <c r="BC7" i="2"/>
  <c r="AV7" i="2"/>
  <c r="AU7" i="2"/>
  <c r="AT7" i="2"/>
  <c r="AS7" i="2"/>
  <c r="AL7" i="2"/>
  <c r="AK7" i="2"/>
  <c r="AJ7" i="2"/>
  <c r="AI7" i="2"/>
  <c r="AB7" i="2"/>
  <c r="AA7" i="2"/>
  <c r="Z7" i="2"/>
  <c r="Y7" i="2"/>
  <c r="R7" i="2"/>
  <c r="Q7" i="2"/>
  <c r="P7" i="2"/>
  <c r="O7" i="2"/>
  <c r="H7" i="2"/>
  <c r="G7" i="2"/>
  <c r="F7" i="2"/>
  <c r="E7" i="2"/>
  <c r="BZ6" i="2"/>
  <c r="BX6" i="2"/>
  <c r="BP6" i="2"/>
  <c r="BO6" i="2"/>
  <c r="BF6" i="2"/>
  <c r="BC6" i="2"/>
  <c r="AV6" i="2"/>
  <c r="AU6" i="2"/>
  <c r="AT6" i="2"/>
  <c r="AS6" i="2"/>
  <c r="AL6" i="2"/>
  <c r="AB6" i="2"/>
  <c r="AA6" i="2"/>
  <c r="Y6" i="2"/>
  <c r="R6" i="2"/>
  <c r="P6" i="2"/>
  <c r="O6" i="2"/>
  <c r="H6" i="2"/>
  <c r="F6" i="2"/>
  <c r="BZ5" i="2"/>
  <c r="BX5" i="2"/>
  <c r="BP5" i="2"/>
  <c r="BO5" i="2"/>
  <c r="BF5" i="2"/>
  <c r="BC5" i="2"/>
  <c r="AV5" i="2"/>
  <c r="AU5" i="2"/>
  <c r="AT5" i="2"/>
  <c r="AS5" i="2"/>
  <c r="AL5" i="2"/>
  <c r="AB5" i="2"/>
  <c r="AA5" i="2"/>
  <c r="Y5" i="2"/>
  <c r="R5" i="2"/>
  <c r="P5" i="2"/>
  <c r="H5" i="2"/>
  <c r="F5" i="2"/>
  <c r="BZ4" i="2"/>
  <c r="BX4" i="2"/>
  <c r="BP4" i="2"/>
  <c r="BO4" i="2"/>
  <c r="BF4" i="2"/>
  <c r="AV4" i="2"/>
  <c r="AU4" i="2"/>
  <c r="AT4" i="2"/>
  <c r="AL4" i="2"/>
  <c r="AB4" i="2"/>
  <c r="AA4" i="2"/>
  <c r="Y4" i="2"/>
  <c r="R4" i="2"/>
  <c r="P4" i="2"/>
  <c r="H4" i="2"/>
  <c r="F4" i="2"/>
  <c r="BZ3" i="2"/>
  <c r="BZ8" i="2" s="1"/>
  <c r="BX3" i="2"/>
  <c r="BX8" i="2" s="1"/>
  <c r="BP3" i="2"/>
  <c r="BP8" i="2" s="1"/>
  <c r="BO3" i="2"/>
  <c r="BO8" i="2" s="1"/>
  <c r="BF3" i="2"/>
  <c r="BF8" i="2" s="1"/>
  <c r="AV3" i="2"/>
  <c r="AV8" i="2" s="1"/>
  <c r="AU3" i="2"/>
  <c r="AU8" i="2" s="1"/>
  <c r="AT3" i="2"/>
  <c r="AT8" i="2" s="1"/>
  <c r="AL3" i="2"/>
  <c r="AL8" i="2" s="1"/>
  <c r="AB3" i="2"/>
  <c r="AB8" i="2" s="1"/>
  <c r="AA3" i="2"/>
  <c r="AA8" i="2" s="1"/>
  <c r="R3" i="2"/>
  <c r="R8" i="2" s="1"/>
  <c r="P3" i="2"/>
  <c r="P8" i="2" s="1"/>
  <c r="H3" i="2"/>
  <c r="H8" i="2" s="1"/>
  <c r="F3" i="2"/>
  <c r="F8" i="2" s="1"/>
  <c r="BX36" i="1"/>
  <c r="BQ36" i="1"/>
  <c r="BP36" i="1"/>
  <c r="BN36" i="1"/>
  <c r="BE36" i="1"/>
  <c r="AX36" i="1"/>
  <c r="AW36" i="1"/>
  <c r="AV36" i="1"/>
  <c r="AN36" i="1"/>
  <c r="AG36" i="1"/>
  <c r="AF36" i="1"/>
  <c r="AD36" i="1"/>
  <c r="U36" i="1"/>
  <c r="N36" i="1"/>
  <c r="M36" i="1"/>
  <c r="L36" i="1"/>
  <c r="BX35" i="1"/>
  <c r="BQ35" i="1"/>
  <c r="BP35" i="1"/>
  <c r="BN35" i="1"/>
  <c r="BE35" i="1"/>
  <c r="AX35" i="1"/>
  <c r="AW35" i="1"/>
  <c r="AV35" i="1"/>
  <c r="AN35" i="1"/>
  <c r="AG35" i="1"/>
  <c r="AF35" i="1"/>
  <c r="AD35" i="1"/>
  <c r="U35" i="1"/>
  <c r="N35" i="1"/>
  <c r="M35" i="1"/>
  <c r="L35" i="1"/>
  <c r="BX34" i="1"/>
  <c r="BQ34" i="1"/>
  <c r="BP34" i="1"/>
  <c r="BN34" i="1"/>
  <c r="BE34" i="1"/>
  <c r="AX34" i="1"/>
  <c r="AW34" i="1"/>
  <c r="AV34" i="1"/>
  <c r="AN34" i="1"/>
  <c r="AG34" i="1"/>
  <c r="AF34" i="1"/>
  <c r="AD34" i="1"/>
  <c r="U34" i="1"/>
  <c r="N34" i="1"/>
  <c r="M34" i="1"/>
  <c r="L34" i="1"/>
  <c r="BX33" i="1"/>
  <c r="BQ33" i="1"/>
  <c r="BP33" i="1"/>
  <c r="BN33" i="1"/>
  <c r="BE33" i="1"/>
  <c r="AX33" i="1"/>
  <c r="AW33" i="1"/>
  <c r="AV33" i="1"/>
  <c r="AN33" i="1"/>
  <c r="AG33" i="1"/>
  <c r="AF33" i="1"/>
  <c r="AD33" i="1"/>
  <c r="U33" i="1"/>
  <c r="N33" i="1"/>
  <c r="M33" i="1"/>
  <c r="L33" i="1"/>
  <c r="BX32" i="1"/>
  <c r="BQ32" i="1"/>
  <c r="BP32" i="1"/>
  <c r="BN32" i="1"/>
  <c r="BE32" i="1"/>
  <c r="AX32" i="1"/>
  <c r="AW32" i="1"/>
  <c r="AV32" i="1"/>
  <c r="AN32" i="1"/>
  <c r="AG32" i="1"/>
  <c r="AF32" i="1"/>
  <c r="AD32" i="1"/>
  <c r="U32" i="1"/>
  <c r="N32" i="1"/>
  <c r="M32" i="1"/>
  <c r="L32" i="1"/>
  <c r="BX31" i="1"/>
  <c r="BQ31" i="1"/>
  <c r="BP31" i="1"/>
  <c r="BN31" i="1"/>
  <c r="BE31" i="1"/>
  <c r="BA3" i="1" s="1"/>
  <c r="AX31" i="1"/>
  <c r="AW31" i="1"/>
  <c r="AV31" i="1"/>
  <c r="AN31" i="1"/>
  <c r="AG31" i="1"/>
  <c r="AF31" i="1"/>
  <c r="AD31" i="1"/>
  <c r="U31" i="1"/>
  <c r="N31" i="1"/>
  <c r="M31" i="1"/>
  <c r="L31" i="1"/>
  <c r="H3" i="1" s="1"/>
  <c r="BX30" i="1"/>
  <c r="BP30" i="1"/>
  <c r="BL3" i="1" s="1"/>
  <c r="BN30" i="1"/>
  <c r="BJ3" i="1" s="1"/>
  <c r="BE30" i="1"/>
  <c r="AX30" i="1"/>
  <c r="AT3" i="1" s="1"/>
  <c r="AW30" i="1"/>
  <c r="AS3" i="1" s="1"/>
  <c r="AV30" i="1"/>
  <c r="AN30" i="1"/>
  <c r="AJ3" i="1" s="1"/>
  <c r="AG30" i="1"/>
  <c r="AC3" i="1" s="1"/>
  <c r="AF30" i="1"/>
  <c r="AB3" i="1" s="1"/>
  <c r="AD30" i="1"/>
  <c r="U30" i="1"/>
  <c r="N30" i="1"/>
  <c r="M30" i="1"/>
  <c r="L30" i="1"/>
  <c r="E30" i="1"/>
  <c r="D30" i="1"/>
  <c r="C30" i="1"/>
  <c r="B30" i="1"/>
  <c r="BZ28" i="1"/>
  <c r="BY28" i="1"/>
  <c r="BX28" i="1"/>
  <c r="BW28" i="1"/>
  <c r="BQ28" i="1"/>
  <c r="BP28" i="1"/>
  <c r="BO28" i="1"/>
  <c r="BN28" i="1"/>
  <c r="BH28" i="1"/>
  <c r="BG28" i="1"/>
  <c r="BF28" i="1"/>
  <c r="BE28" i="1"/>
  <c r="AY28" i="1"/>
  <c r="AX28" i="1"/>
  <c r="AW28" i="1"/>
  <c r="AV28" i="1"/>
  <c r="AP28" i="1"/>
  <c r="AO28" i="1"/>
  <c r="AN28" i="1"/>
  <c r="AM28" i="1"/>
  <c r="AG28" i="1"/>
  <c r="AF28" i="1"/>
  <c r="AE28" i="1"/>
  <c r="AD28" i="1"/>
  <c r="X28" i="1"/>
  <c r="W28" i="1"/>
  <c r="V28" i="1"/>
  <c r="U28" i="1"/>
  <c r="O28" i="1"/>
  <c r="N28" i="1"/>
  <c r="M28" i="1"/>
  <c r="L28" i="1"/>
  <c r="BZ27" i="1"/>
  <c r="BY27" i="1"/>
  <c r="BX27" i="1"/>
  <c r="BW27" i="1"/>
  <c r="BQ27" i="1"/>
  <c r="BP27" i="1"/>
  <c r="BO27" i="1"/>
  <c r="BN27" i="1"/>
  <c r="BH27" i="1"/>
  <c r="BG27" i="1"/>
  <c r="BF27" i="1"/>
  <c r="BE27" i="1"/>
  <c r="AY27" i="1"/>
  <c r="AX27" i="1"/>
  <c r="AW27" i="1"/>
  <c r="AV27" i="1"/>
  <c r="AP27" i="1"/>
  <c r="AO27" i="1"/>
  <c r="AN27" i="1"/>
  <c r="AM27" i="1"/>
  <c r="AG27" i="1"/>
  <c r="AF27" i="1"/>
  <c r="AE27" i="1"/>
  <c r="AD27" i="1"/>
  <c r="X27" i="1"/>
  <c r="W27" i="1"/>
  <c r="V27" i="1"/>
  <c r="U27" i="1"/>
  <c r="O27" i="1"/>
  <c r="N27" i="1"/>
  <c r="M27" i="1"/>
  <c r="L27" i="1"/>
  <c r="BZ26" i="1"/>
  <c r="BY26" i="1"/>
  <c r="BX26" i="1"/>
  <c r="BW26" i="1"/>
  <c r="BQ26" i="1"/>
  <c r="BP26" i="1"/>
  <c r="BO26" i="1"/>
  <c r="BN26" i="1"/>
  <c r="BH26" i="1"/>
  <c r="BG26" i="1"/>
  <c r="BF26" i="1"/>
  <c r="BE26" i="1"/>
  <c r="AY26" i="1"/>
  <c r="AX26" i="1"/>
  <c r="AW26" i="1"/>
  <c r="AV26" i="1"/>
  <c r="AP26" i="1"/>
  <c r="AO26" i="1"/>
  <c r="AN26" i="1"/>
  <c r="AM26" i="1"/>
  <c r="AG26" i="1"/>
  <c r="AF26" i="1"/>
  <c r="AE26" i="1"/>
  <c r="AD26" i="1"/>
  <c r="X26" i="1"/>
  <c r="W26" i="1"/>
  <c r="V26" i="1"/>
  <c r="U26" i="1"/>
  <c r="O26" i="1"/>
  <c r="N26" i="1"/>
  <c r="M26" i="1"/>
  <c r="L26" i="1"/>
  <c r="BZ25" i="1"/>
  <c r="BY25" i="1"/>
  <c r="BX25" i="1"/>
  <c r="BW25" i="1"/>
  <c r="BQ25" i="1"/>
  <c r="BP25" i="1"/>
  <c r="BO25" i="1"/>
  <c r="BN25" i="1"/>
  <c r="BH25" i="1"/>
  <c r="BG25" i="1"/>
  <c r="BF25" i="1"/>
  <c r="BE25" i="1"/>
  <c r="AY25" i="1"/>
  <c r="AX25" i="1"/>
  <c r="AW25" i="1"/>
  <c r="AV25" i="1"/>
  <c r="AP25" i="1"/>
  <c r="AO25" i="1"/>
  <c r="AN25" i="1"/>
  <c r="AM25" i="1"/>
  <c r="AG25" i="1"/>
  <c r="AF25" i="1"/>
  <c r="AE25" i="1"/>
  <c r="AD25" i="1"/>
  <c r="X25" i="1"/>
  <c r="W25" i="1"/>
  <c r="V25" i="1"/>
  <c r="U25" i="1"/>
  <c r="O25" i="1"/>
  <c r="N25" i="1"/>
  <c r="M25" i="1"/>
  <c r="L25" i="1"/>
  <c r="BZ24" i="1"/>
  <c r="BY24" i="1"/>
  <c r="BX24" i="1"/>
  <c r="BW24" i="1"/>
  <c r="BQ24" i="1"/>
  <c r="BP24" i="1"/>
  <c r="BO24" i="1"/>
  <c r="BN24" i="1"/>
  <c r="BH24" i="1"/>
  <c r="BG24" i="1"/>
  <c r="BF24" i="1"/>
  <c r="BE24" i="1"/>
  <c r="AY24" i="1"/>
  <c r="AX24" i="1"/>
  <c r="AW24" i="1"/>
  <c r="AV24" i="1"/>
  <c r="AP24" i="1"/>
  <c r="AO24" i="1"/>
  <c r="AN24" i="1"/>
  <c r="AM24" i="1"/>
  <c r="AG24" i="1"/>
  <c r="AF24" i="1"/>
  <c r="AE24" i="1"/>
  <c r="AD24" i="1"/>
  <c r="X24" i="1"/>
  <c r="W24" i="1"/>
  <c r="V24" i="1"/>
  <c r="U24" i="1"/>
  <c r="O24" i="1"/>
  <c r="N24" i="1"/>
  <c r="M24" i="1"/>
  <c r="L24" i="1"/>
  <c r="BZ23" i="1"/>
  <c r="BY23" i="1"/>
  <c r="BX23" i="1"/>
  <c r="BW23" i="1"/>
  <c r="BQ23" i="1"/>
  <c r="BP23" i="1"/>
  <c r="BO23" i="1"/>
  <c r="BN23" i="1"/>
  <c r="BH23" i="1"/>
  <c r="BG23" i="1"/>
  <c r="BF23" i="1"/>
  <c r="BE23" i="1"/>
  <c r="AY23" i="1"/>
  <c r="AX23" i="1"/>
  <c r="AW23" i="1"/>
  <c r="AV23" i="1"/>
  <c r="AP23" i="1"/>
  <c r="AO23" i="1"/>
  <c r="AN23" i="1"/>
  <c r="AM23" i="1"/>
  <c r="AG23" i="1"/>
  <c r="AF23" i="1"/>
  <c r="AE23" i="1"/>
  <c r="AD23" i="1"/>
  <c r="X23" i="1"/>
  <c r="W23" i="1"/>
  <c r="V23" i="1"/>
  <c r="U23" i="1"/>
  <c r="O23" i="1"/>
  <c r="N23" i="1"/>
  <c r="M23" i="1"/>
  <c r="L23" i="1"/>
  <c r="BZ22" i="1"/>
  <c r="BY22" i="1"/>
  <c r="BY30" i="1" s="1"/>
  <c r="BX22" i="1"/>
  <c r="BW22" i="1"/>
  <c r="BW30" i="1" s="1"/>
  <c r="BQ22" i="1"/>
  <c r="BP22" i="1"/>
  <c r="BO22" i="1"/>
  <c r="BO30" i="1" s="1"/>
  <c r="BN22" i="1"/>
  <c r="BH22" i="1"/>
  <c r="BG22" i="1"/>
  <c r="BG30" i="1" s="1"/>
  <c r="BF22" i="1"/>
  <c r="BF30" i="1" s="1"/>
  <c r="BE22" i="1"/>
  <c r="AY22" i="1"/>
  <c r="AX22" i="1"/>
  <c r="AW22" i="1"/>
  <c r="AV22" i="1"/>
  <c r="AP22" i="1"/>
  <c r="AP30" i="1" s="1"/>
  <c r="AO22" i="1"/>
  <c r="AO30" i="1" s="1"/>
  <c r="AN22" i="1"/>
  <c r="AM22" i="1"/>
  <c r="AM30" i="1" s="1"/>
  <c r="AG22" i="1"/>
  <c r="AF22" i="1"/>
  <c r="AE22" i="1"/>
  <c r="AE30" i="1" s="1"/>
  <c r="AD22" i="1"/>
  <c r="X22" i="1"/>
  <c r="W22" i="1"/>
  <c r="W30" i="1" s="1"/>
  <c r="V22" i="1"/>
  <c r="V30" i="1" s="1"/>
  <c r="U22" i="1"/>
  <c r="O22" i="1"/>
  <c r="O30" i="1" s="1"/>
  <c r="N22" i="1"/>
  <c r="M22" i="1"/>
  <c r="L22" i="1"/>
  <c r="BZ36" i="1"/>
  <c r="BY36" i="1"/>
  <c r="BW36" i="1"/>
  <c r="BO36" i="1"/>
  <c r="BH36" i="1"/>
  <c r="BG36" i="1"/>
  <c r="BF36" i="1"/>
  <c r="AY36" i="1"/>
  <c r="AP36" i="1"/>
  <c r="AO36" i="1"/>
  <c r="AM36" i="1"/>
  <c r="AE36" i="1"/>
  <c r="X36" i="1"/>
  <c r="W36" i="1"/>
  <c r="V36" i="1"/>
  <c r="O36" i="1"/>
  <c r="BZ35" i="1"/>
  <c r="BY35" i="1"/>
  <c r="BW35" i="1"/>
  <c r="BO35" i="1"/>
  <c r="BH35" i="1"/>
  <c r="BG35" i="1"/>
  <c r="BF35" i="1"/>
  <c r="AY35" i="1"/>
  <c r="AP35" i="1"/>
  <c r="AO35" i="1"/>
  <c r="AM35" i="1"/>
  <c r="AE35" i="1"/>
  <c r="X35" i="1"/>
  <c r="W35" i="1"/>
  <c r="V35" i="1"/>
  <c r="O35" i="1"/>
  <c r="BZ34" i="1"/>
  <c r="BY34" i="1"/>
  <c r="BW34" i="1"/>
  <c r="BO34" i="1"/>
  <c r="BH34" i="1"/>
  <c r="BG34" i="1"/>
  <c r="BF34" i="1"/>
  <c r="AY34" i="1"/>
  <c r="AP34" i="1"/>
  <c r="AO34" i="1"/>
  <c r="AM34" i="1"/>
  <c r="AE34" i="1"/>
  <c r="X34" i="1"/>
  <c r="W34" i="1"/>
  <c r="V34" i="1"/>
  <c r="O34" i="1"/>
  <c r="BZ33" i="1"/>
  <c r="BY33" i="1"/>
  <c r="BW33" i="1"/>
  <c r="BO33" i="1"/>
  <c r="BH33" i="1"/>
  <c r="BG33" i="1"/>
  <c r="BF33" i="1"/>
  <c r="AY33" i="1"/>
  <c r="AP33" i="1"/>
  <c r="AO33" i="1"/>
  <c r="AM33" i="1"/>
  <c r="AE33" i="1"/>
  <c r="X33" i="1"/>
  <c r="W33" i="1"/>
  <c r="V33" i="1"/>
  <c r="O33" i="1"/>
  <c r="BZ32" i="1"/>
  <c r="BY32" i="1"/>
  <c r="BW32" i="1"/>
  <c r="BO32" i="1"/>
  <c r="BH32" i="1"/>
  <c r="BG32" i="1"/>
  <c r="BF32" i="1"/>
  <c r="AY32" i="1"/>
  <c r="AP32" i="1"/>
  <c r="AO32" i="1"/>
  <c r="AM32" i="1"/>
  <c r="AE32" i="1"/>
  <c r="X32" i="1"/>
  <c r="W32" i="1"/>
  <c r="V32" i="1"/>
  <c r="O32" i="1"/>
  <c r="BZ31" i="1"/>
  <c r="BY31" i="1"/>
  <c r="BW31" i="1"/>
  <c r="BO31" i="1"/>
  <c r="BH31" i="1"/>
  <c r="BG31" i="1"/>
  <c r="BF31" i="1"/>
  <c r="AY31" i="1"/>
  <c r="AP31" i="1"/>
  <c r="AO31" i="1"/>
  <c r="AM31" i="1"/>
  <c r="AE31" i="1"/>
  <c r="X31" i="1"/>
  <c r="W31" i="1"/>
  <c r="V31" i="1"/>
  <c r="O31" i="1"/>
  <c r="BZ30" i="1"/>
  <c r="BQ30" i="1"/>
  <c r="BH30" i="1"/>
  <c r="AY30" i="1"/>
  <c r="X30" i="1"/>
  <c r="BT3" i="1"/>
  <c r="AR3" i="1"/>
  <c r="Q3" i="1"/>
  <c r="CD62" i="3"/>
  <c r="CC62" i="3"/>
  <c r="CB62" i="3"/>
  <c r="CA62" i="3"/>
  <c r="BT62" i="3"/>
  <c r="BS62" i="3"/>
  <c r="BR62" i="3"/>
  <c r="BQ62" i="3"/>
  <c r="BJ62" i="3"/>
  <c r="BI62" i="3"/>
  <c r="BH62" i="3"/>
  <c r="BG62" i="3"/>
  <c r="AZ62" i="3"/>
  <c r="AY62" i="3"/>
  <c r="AX62" i="3"/>
  <c r="AW62" i="3"/>
  <c r="AP62" i="3"/>
  <c r="AO62" i="3"/>
  <c r="AN62" i="3"/>
  <c r="AM62" i="3"/>
  <c r="AF62" i="3"/>
  <c r="AE62" i="3"/>
  <c r="AD62" i="3"/>
  <c r="AC62" i="3"/>
  <c r="V62" i="3"/>
  <c r="U62" i="3"/>
  <c r="T62" i="3"/>
  <c r="S62" i="3"/>
  <c r="L62" i="3"/>
  <c r="K62" i="3"/>
  <c r="J62" i="3"/>
  <c r="I62" i="3"/>
  <c r="CD61" i="3"/>
  <c r="CC61" i="3"/>
  <c r="CB61" i="3"/>
  <c r="CA61" i="3"/>
  <c r="BT61" i="3"/>
  <c r="BS61" i="3"/>
  <c r="BR61" i="3"/>
  <c r="BQ61" i="3"/>
  <c r="BJ61" i="3"/>
  <c r="BI61" i="3"/>
  <c r="BH61" i="3"/>
  <c r="BG61" i="3"/>
  <c r="AZ61" i="3"/>
  <c r="AY61" i="3"/>
  <c r="AX61" i="3"/>
  <c r="AW61" i="3"/>
  <c r="AP61" i="3"/>
  <c r="AO61" i="3"/>
  <c r="AN61" i="3"/>
  <c r="AM61" i="3"/>
  <c r="AF61" i="3"/>
  <c r="AE61" i="3"/>
  <c r="AD61" i="3"/>
  <c r="AC61" i="3"/>
  <c r="V61" i="3"/>
  <c r="U61" i="3"/>
  <c r="T61" i="3"/>
  <c r="S61" i="3"/>
  <c r="L61" i="3"/>
  <c r="K61" i="3"/>
  <c r="J61" i="3"/>
  <c r="I61" i="3"/>
  <c r="CD60" i="3"/>
  <c r="CC60" i="3"/>
  <c r="CB60" i="3"/>
  <c r="CA60" i="3"/>
  <c r="BT60" i="3"/>
  <c r="BS60" i="3"/>
  <c r="BR60" i="3"/>
  <c r="BQ60" i="3"/>
  <c r="BJ60" i="3"/>
  <c r="BI60" i="3"/>
  <c r="BH60" i="3"/>
  <c r="BG60" i="3"/>
  <c r="AZ60" i="3"/>
  <c r="AY60" i="3"/>
  <c r="AX60" i="3"/>
  <c r="AW60" i="3"/>
  <c r="AP60" i="3"/>
  <c r="AO60" i="3"/>
  <c r="AN60" i="3"/>
  <c r="AM60" i="3"/>
  <c r="AF60" i="3"/>
  <c r="AE60" i="3"/>
  <c r="AD60" i="3"/>
  <c r="AC60" i="3"/>
  <c r="V60" i="3"/>
  <c r="U60" i="3"/>
  <c r="T60" i="3"/>
  <c r="S60" i="3"/>
  <c r="L60" i="3"/>
  <c r="K60" i="3"/>
  <c r="J60" i="3"/>
  <c r="I60" i="3"/>
  <c r="CD59" i="3"/>
  <c r="CC59" i="3"/>
  <c r="CB59" i="3"/>
  <c r="CA59" i="3"/>
  <c r="BT59" i="3"/>
  <c r="BS59" i="3"/>
  <c r="BR59" i="3"/>
  <c r="BQ59" i="3"/>
  <c r="BJ59" i="3"/>
  <c r="BI59" i="3"/>
  <c r="BH59" i="3"/>
  <c r="BG59" i="3"/>
  <c r="AZ59" i="3"/>
  <c r="AY59" i="3"/>
  <c r="AX59" i="3"/>
  <c r="AW59" i="3"/>
  <c r="AP59" i="3"/>
  <c r="AO59" i="3"/>
  <c r="AN59" i="3"/>
  <c r="AM59" i="3"/>
  <c r="AF59" i="3"/>
  <c r="AE59" i="3"/>
  <c r="AD59" i="3"/>
  <c r="AC59" i="3"/>
  <c r="V59" i="3"/>
  <c r="U59" i="3"/>
  <c r="T59" i="3"/>
  <c r="S59" i="3"/>
  <c r="L59" i="3"/>
  <c r="K59" i="3"/>
  <c r="J59" i="3"/>
  <c r="I59" i="3"/>
  <c r="CD58" i="3"/>
  <c r="CC58" i="3"/>
  <c r="CB58" i="3"/>
  <c r="CA58" i="3"/>
  <c r="BT58" i="3"/>
  <c r="BS58" i="3"/>
  <c r="BR58" i="3"/>
  <c r="BQ58" i="3"/>
  <c r="BJ58" i="3"/>
  <c r="BI58" i="3"/>
  <c r="BH58" i="3"/>
  <c r="BG58" i="3"/>
  <c r="AZ58" i="3"/>
  <c r="AY58" i="3"/>
  <c r="AX58" i="3"/>
  <c r="AW58" i="3"/>
  <c r="AP58" i="3"/>
  <c r="AO58" i="3"/>
  <c r="AN58" i="3"/>
  <c r="AM58" i="3"/>
  <c r="AF58" i="3"/>
  <c r="AE58" i="3"/>
  <c r="AD58" i="3"/>
  <c r="AC58" i="3"/>
  <c r="V58" i="3"/>
  <c r="U58" i="3"/>
  <c r="T58" i="3"/>
  <c r="S58" i="3"/>
  <c r="L58" i="3"/>
  <c r="K58" i="3"/>
  <c r="J58" i="3"/>
  <c r="I58" i="3"/>
  <c r="CD57" i="3"/>
  <c r="CC57" i="3"/>
  <c r="CB57" i="3"/>
  <c r="CA57" i="3"/>
  <c r="BT57" i="3"/>
  <c r="BS57" i="3"/>
  <c r="BR57" i="3"/>
  <c r="BQ57" i="3"/>
  <c r="BJ57" i="3"/>
  <c r="BI57" i="3"/>
  <c r="BH57" i="3"/>
  <c r="BG57" i="3"/>
  <c r="AZ57" i="3"/>
  <c r="AY57" i="3"/>
  <c r="AX57" i="3"/>
  <c r="AW57" i="3"/>
  <c r="AP57" i="3"/>
  <c r="AO57" i="3"/>
  <c r="AN57" i="3"/>
  <c r="AM57" i="3"/>
  <c r="AF57" i="3"/>
  <c r="AE57" i="3"/>
  <c r="AD57" i="3"/>
  <c r="AC57" i="3"/>
  <c r="V57" i="3"/>
  <c r="U57" i="3"/>
  <c r="T57" i="3"/>
  <c r="S57" i="3"/>
  <c r="L57" i="3"/>
  <c r="K57" i="3"/>
  <c r="J57" i="3"/>
  <c r="I57" i="3"/>
  <c r="CD56" i="3"/>
  <c r="CC56" i="3"/>
  <c r="CB56" i="3"/>
  <c r="CA56" i="3"/>
  <c r="BT56" i="3"/>
  <c r="BS56" i="3"/>
  <c r="BR56" i="3"/>
  <c r="BQ56" i="3"/>
  <c r="BJ56" i="3"/>
  <c r="BI56" i="3"/>
  <c r="BH56" i="3"/>
  <c r="BG56" i="3"/>
  <c r="AZ56" i="3"/>
  <c r="AY56" i="3"/>
  <c r="AX56" i="3"/>
  <c r="AW56" i="3"/>
  <c r="AP56" i="3"/>
  <c r="AO56" i="3"/>
  <c r="AN56" i="3"/>
  <c r="AM56" i="3"/>
  <c r="AF56" i="3"/>
  <c r="AE56" i="3"/>
  <c r="AD56" i="3"/>
  <c r="AC56" i="3"/>
  <c r="V56" i="3"/>
  <c r="U56" i="3"/>
  <c r="T56" i="3"/>
  <c r="S56" i="3"/>
  <c r="L56" i="3"/>
  <c r="K56" i="3"/>
  <c r="J56" i="3"/>
  <c r="I56" i="3"/>
  <c r="CD55" i="3"/>
  <c r="CC55" i="3"/>
  <c r="CB55" i="3"/>
  <c r="CA55" i="3"/>
  <c r="BT55" i="3"/>
  <c r="BS55" i="3"/>
  <c r="BR55" i="3"/>
  <c r="BQ55" i="3"/>
  <c r="BJ55" i="3"/>
  <c r="BI55" i="3"/>
  <c r="BH55" i="3"/>
  <c r="BG55" i="3"/>
  <c r="AZ55" i="3"/>
  <c r="AY55" i="3"/>
  <c r="AX55" i="3"/>
  <c r="AW55" i="3"/>
  <c r="AP55" i="3"/>
  <c r="AO55" i="3"/>
  <c r="AN55" i="3"/>
  <c r="AM55" i="3"/>
  <c r="AF55" i="3"/>
  <c r="AE55" i="3"/>
  <c r="AD55" i="3"/>
  <c r="AC55" i="3"/>
  <c r="V55" i="3"/>
  <c r="U55" i="3"/>
  <c r="T55" i="3"/>
  <c r="S55" i="3"/>
  <c r="L55" i="3"/>
  <c r="K55" i="3"/>
  <c r="J55" i="3"/>
  <c r="I55" i="3"/>
  <c r="CD54" i="3"/>
  <c r="CC54" i="3"/>
  <c r="CB54" i="3"/>
  <c r="CA54" i="3"/>
  <c r="BT54" i="3"/>
  <c r="BS54" i="3"/>
  <c r="BR54" i="3"/>
  <c r="BQ54" i="3"/>
  <c r="BJ54" i="3"/>
  <c r="BI54" i="3"/>
  <c r="BH54" i="3"/>
  <c r="BG54" i="3"/>
  <c r="AZ54" i="3"/>
  <c r="AY54" i="3"/>
  <c r="AX54" i="3"/>
  <c r="AW54" i="3"/>
  <c r="AP54" i="3"/>
  <c r="AO54" i="3"/>
  <c r="AN54" i="3"/>
  <c r="AM54" i="3"/>
  <c r="AF54" i="3"/>
  <c r="AE54" i="3"/>
  <c r="AD54" i="3"/>
  <c r="AC54" i="3"/>
  <c r="V54" i="3"/>
  <c r="U54" i="3"/>
  <c r="T54" i="3"/>
  <c r="S54" i="3"/>
  <c r="L54" i="3"/>
  <c r="K54" i="3"/>
  <c r="J54" i="3"/>
  <c r="I54" i="3"/>
  <c r="CD53" i="3"/>
  <c r="CC53" i="3"/>
  <c r="CB53" i="3"/>
  <c r="CA53" i="3"/>
  <c r="BT53" i="3"/>
  <c r="BS53" i="3"/>
  <c r="BR53" i="3"/>
  <c r="BQ53" i="3"/>
  <c r="BJ53" i="3"/>
  <c r="BI53" i="3"/>
  <c r="BH53" i="3"/>
  <c r="BG53" i="3"/>
  <c r="AZ53" i="3"/>
  <c r="AY53" i="3"/>
  <c r="AX53" i="3"/>
  <c r="AW53" i="3"/>
  <c r="AP53" i="3"/>
  <c r="AO53" i="3"/>
  <c r="AN53" i="3"/>
  <c r="AM53" i="3"/>
  <c r="AF53" i="3"/>
  <c r="AE53" i="3"/>
  <c r="AD53" i="3"/>
  <c r="AC53" i="3"/>
  <c r="V53" i="3"/>
  <c r="U53" i="3"/>
  <c r="T53" i="3"/>
  <c r="S53" i="3"/>
  <c r="L53" i="3"/>
  <c r="K53" i="3"/>
  <c r="J53" i="3"/>
  <c r="I53" i="3"/>
  <c r="CD52" i="3"/>
  <c r="CC52" i="3"/>
  <c r="CB52" i="3"/>
  <c r="CA52" i="3"/>
  <c r="BT52" i="3"/>
  <c r="BS52" i="3"/>
  <c r="BR52" i="3"/>
  <c r="BQ52" i="3"/>
  <c r="BJ52" i="3"/>
  <c r="BI52" i="3"/>
  <c r="BH52" i="3"/>
  <c r="BG52" i="3"/>
  <c r="AZ52" i="3"/>
  <c r="AY52" i="3"/>
  <c r="AX52" i="3"/>
  <c r="AW52" i="3"/>
  <c r="AP52" i="3"/>
  <c r="AO52" i="3"/>
  <c r="AN52" i="3"/>
  <c r="AM52" i="3"/>
  <c r="AF52" i="3"/>
  <c r="AE52" i="3"/>
  <c r="AD52" i="3"/>
  <c r="AC52" i="3"/>
  <c r="V52" i="3"/>
  <c r="U52" i="3"/>
  <c r="T52" i="3"/>
  <c r="S52" i="3"/>
  <c r="L52" i="3"/>
  <c r="K52" i="3"/>
  <c r="J52" i="3"/>
  <c r="I52" i="3"/>
  <c r="CD51" i="3"/>
  <c r="CC51" i="3"/>
  <c r="CB51" i="3"/>
  <c r="CA51" i="3"/>
  <c r="BT51" i="3"/>
  <c r="BS51" i="3"/>
  <c r="BR51" i="3"/>
  <c r="BQ51" i="3"/>
  <c r="BJ51" i="3"/>
  <c r="BI51" i="3"/>
  <c r="BH51" i="3"/>
  <c r="BG51" i="3"/>
  <c r="AZ51" i="3"/>
  <c r="AY51" i="3"/>
  <c r="AX51" i="3"/>
  <c r="AW51" i="3"/>
  <c r="AP51" i="3"/>
  <c r="AO51" i="3"/>
  <c r="AN51" i="3"/>
  <c r="AM51" i="3"/>
  <c r="AF51" i="3"/>
  <c r="AE51" i="3"/>
  <c r="AD51" i="3"/>
  <c r="AC51" i="3"/>
  <c r="V51" i="3"/>
  <c r="U51" i="3"/>
  <c r="T51" i="3"/>
  <c r="S51" i="3"/>
  <c r="L51" i="3"/>
  <c r="K51" i="3"/>
  <c r="J51" i="3"/>
  <c r="I51" i="3"/>
  <c r="CD50" i="3"/>
  <c r="CC50" i="3"/>
  <c r="CB50" i="3"/>
  <c r="CA50" i="3"/>
  <c r="BT50" i="3"/>
  <c r="BS50" i="3"/>
  <c r="BR50" i="3"/>
  <c r="BQ50" i="3"/>
  <c r="BJ50" i="3"/>
  <c r="BI50" i="3"/>
  <c r="BH50" i="3"/>
  <c r="BG50" i="3"/>
  <c r="AZ50" i="3"/>
  <c r="AY50" i="3"/>
  <c r="AX50" i="3"/>
  <c r="AW50" i="3"/>
  <c r="AP50" i="3"/>
  <c r="AO50" i="3"/>
  <c r="AN50" i="3"/>
  <c r="AM50" i="3"/>
  <c r="AF50" i="3"/>
  <c r="AE50" i="3"/>
  <c r="AD50" i="3"/>
  <c r="AC50" i="3"/>
  <c r="V50" i="3"/>
  <c r="U50" i="3"/>
  <c r="T50" i="3"/>
  <c r="S50" i="3"/>
  <c r="L50" i="3"/>
  <c r="K50" i="3"/>
  <c r="J50" i="3"/>
  <c r="I50" i="3"/>
  <c r="CD49" i="3"/>
  <c r="CC49" i="3"/>
  <c r="CB49" i="3"/>
  <c r="CA49" i="3"/>
  <c r="BT49" i="3"/>
  <c r="BS49" i="3"/>
  <c r="BR49" i="3"/>
  <c r="BQ49" i="3"/>
  <c r="BJ49" i="3"/>
  <c r="BI49" i="3"/>
  <c r="BH49" i="3"/>
  <c r="BG49" i="3"/>
  <c r="AZ49" i="3"/>
  <c r="AY49" i="3"/>
  <c r="AX49" i="3"/>
  <c r="AW49" i="3"/>
  <c r="AP49" i="3"/>
  <c r="AO49" i="3"/>
  <c r="AN49" i="3"/>
  <c r="AM49" i="3"/>
  <c r="AF49" i="3"/>
  <c r="AE49" i="3"/>
  <c r="AD49" i="3"/>
  <c r="AC49" i="3"/>
  <c r="V49" i="3"/>
  <c r="U49" i="3"/>
  <c r="T49" i="3"/>
  <c r="S49" i="3"/>
  <c r="L49" i="3"/>
  <c r="K49" i="3"/>
  <c r="J49" i="3"/>
  <c r="I49" i="3"/>
  <c r="CC48" i="3"/>
  <c r="CB48" i="3"/>
  <c r="CA48" i="3"/>
  <c r="BS48" i="3"/>
  <c r="BR48" i="3"/>
  <c r="BQ48" i="3"/>
  <c r="BI48" i="3"/>
  <c r="BH48" i="3"/>
  <c r="BG48" i="3"/>
  <c r="AY48" i="3"/>
  <c r="AX48" i="3"/>
  <c r="AW48" i="3"/>
  <c r="AO48" i="3"/>
  <c r="AN48" i="3"/>
  <c r="AM48" i="3"/>
  <c r="AE48" i="3"/>
  <c r="AD48" i="3"/>
  <c r="AC48" i="3"/>
  <c r="U48" i="3"/>
  <c r="T48" i="3"/>
  <c r="S48" i="3"/>
  <c r="K48" i="3"/>
  <c r="J48" i="3"/>
  <c r="I48" i="3"/>
  <c r="CC47" i="3"/>
  <c r="CB47" i="3"/>
  <c r="CA47" i="3"/>
  <c r="BS47" i="3"/>
  <c r="BR47" i="3"/>
  <c r="BQ47" i="3"/>
  <c r="BI47" i="3"/>
  <c r="BH47" i="3"/>
  <c r="BG47" i="3"/>
  <c r="AY47" i="3"/>
  <c r="AX47" i="3"/>
  <c r="AW47" i="3"/>
  <c r="AO47" i="3"/>
  <c r="AN47" i="3"/>
  <c r="AM47" i="3"/>
  <c r="AE47" i="3"/>
  <c r="AD47" i="3"/>
  <c r="AC47" i="3"/>
  <c r="U47" i="3"/>
  <c r="T47" i="3"/>
  <c r="S47" i="3"/>
  <c r="K47" i="3"/>
  <c r="J47" i="3"/>
  <c r="I47" i="3"/>
  <c r="CC46" i="3"/>
  <c r="CB46" i="3"/>
  <c r="CA46" i="3"/>
  <c r="BS46" i="3"/>
  <c r="BR46" i="3"/>
  <c r="BQ46" i="3"/>
  <c r="BI46" i="3"/>
  <c r="BH46" i="3"/>
  <c r="BG46" i="3"/>
  <c r="AY46" i="3"/>
  <c r="AX46" i="3"/>
  <c r="AW46" i="3"/>
  <c r="AO46" i="3"/>
  <c r="AN46" i="3"/>
  <c r="AM46" i="3"/>
  <c r="AE46" i="3"/>
  <c r="AD46" i="3"/>
  <c r="AC46" i="3"/>
  <c r="U46" i="3"/>
  <c r="T46" i="3"/>
  <c r="S46" i="3"/>
  <c r="K46" i="3"/>
  <c r="J46" i="3"/>
  <c r="I46" i="3"/>
  <c r="CC45" i="3"/>
  <c r="CB45" i="3"/>
  <c r="CA45" i="3"/>
  <c r="BS45" i="3"/>
  <c r="BR45" i="3"/>
  <c r="BQ45" i="3"/>
  <c r="BI45" i="3"/>
  <c r="BH45" i="3"/>
  <c r="BG45" i="3"/>
  <c r="AY45" i="3"/>
  <c r="AX45" i="3"/>
  <c r="AW45" i="3"/>
  <c r="AO45" i="3"/>
  <c r="AN45" i="3"/>
  <c r="AM45" i="3"/>
  <c r="AE45" i="3"/>
  <c r="AD45" i="3"/>
  <c r="AC45" i="3"/>
  <c r="U45" i="3"/>
  <c r="T45" i="3"/>
  <c r="S45" i="3"/>
  <c r="K45" i="3"/>
  <c r="J45" i="3"/>
  <c r="I45" i="3"/>
  <c r="CC44" i="3"/>
  <c r="CB44" i="3"/>
  <c r="CA44" i="3"/>
  <c r="BW6" i="3" s="1"/>
  <c r="BS44" i="3"/>
  <c r="BR44" i="3"/>
  <c r="BN6" i="3" s="1"/>
  <c r="BQ44" i="3"/>
  <c r="BI44" i="3"/>
  <c r="BH44" i="3"/>
  <c r="BG44" i="3"/>
  <c r="AY44" i="3"/>
  <c r="AX44" i="3"/>
  <c r="AW44" i="3"/>
  <c r="AS6" i="3" s="1"/>
  <c r="AO44" i="3"/>
  <c r="AN44" i="3"/>
  <c r="AM44" i="3"/>
  <c r="AE44" i="3"/>
  <c r="AA6" i="3" s="1"/>
  <c r="AD44" i="3"/>
  <c r="AC44" i="3"/>
  <c r="U44" i="3"/>
  <c r="T44" i="3"/>
  <c r="S44" i="3"/>
  <c r="K44" i="3"/>
  <c r="J44" i="3"/>
  <c r="I44" i="3"/>
  <c r="CC43" i="3"/>
  <c r="CB43" i="3"/>
  <c r="BX6" i="3" s="1"/>
  <c r="CA43" i="3"/>
  <c r="BS43" i="3"/>
  <c r="BO6" i="3" s="1"/>
  <c r="BR43" i="3"/>
  <c r="BQ43" i="3"/>
  <c r="BI43" i="3"/>
  <c r="BH43" i="3"/>
  <c r="BD6" i="3" s="1"/>
  <c r="BG43" i="3"/>
  <c r="AY43" i="3"/>
  <c r="AU6" i="3" s="1"/>
  <c r="AX43" i="3"/>
  <c r="AT6" i="3" s="1"/>
  <c r="AW43" i="3"/>
  <c r="AO43" i="3"/>
  <c r="AN43" i="3"/>
  <c r="AM43" i="3"/>
  <c r="AE43" i="3"/>
  <c r="AD43" i="3"/>
  <c r="Z6" i="3" s="1"/>
  <c r="AC43" i="3"/>
  <c r="Y6" i="3" s="1"/>
  <c r="U43" i="3"/>
  <c r="T43" i="3"/>
  <c r="P6" i="3" s="1"/>
  <c r="S43" i="3"/>
  <c r="K43" i="3"/>
  <c r="J43" i="3"/>
  <c r="I43" i="3"/>
  <c r="CC42" i="3"/>
  <c r="CB42" i="3"/>
  <c r="CA42" i="3"/>
  <c r="BS42" i="3"/>
  <c r="BR42" i="3"/>
  <c r="BQ42" i="3"/>
  <c r="BI42" i="3"/>
  <c r="BH42" i="3"/>
  <c r="BG42" i="3"/>
  <c r="AY42" i="3"/>
  <c r="AX42" i="3"/>
  <c r="AW42" i="3"/>
  <c r="AO42" i="3"/>
  <c r="AN42" i="3"/>
  <c r="AM42" i="3"/>
  <c r="AE42" i="3"/>
  <c r="AD42" i="3"/>
  <c r="AC42" i="3"/>
  <c r="U42" i="3"/>
  <c r="T42" i="3"/>
  <c r="S42" i="3"/>
  <c r="K42" i="3"/>
  <c r="J42" i="3"/>
  <c r="I42" i="3"/>
  <c r="CC41" i="3"/>
  <c r="CB41" i="3"/>
  <c r="CA41" i="3"/>
  <c r="BS41" i="3"/>
  <c r="BR41" i="3"/>
  <c r="BQ41" i="3"/>
  <c r="BI41" i="3"/>
  <c r="BH41" i="3"/>
  <c r="BG41" i="3"/>
  <c r="AY41" i="3"/>
  <c r="AX41" i="3"/>
  <c r="AW41" i="3"/>
  <c r="AO41" i="3"/>
  <c r="AN41" i="3"/>
  <c r="AM41" i="3"/>
  <c r="AE41" i="3"/>
  <c r="AD41" i="3"/>
  <c r="AC41" i="3"/>
  <c r="U41" i="3"/>
  <c r="T41" i="3"/>
  <c r="S41" i="3"/>
  <c r="K41" i="3"/>
  <c r="J41" i="3"/>
  <c r="I41" i="3"/>
  <c r="CC40" i="3"/>
  <c r="CB40" i="3"/>
  <c r="CA40" i="3"/>
  <c r="BS40" i="3"/>
  <c r="BR40" i="3"/>
  <c r="BQ40" i="3"/>
  <c r="BI40" i="3"/>
  <c r="BH40" i="3"/>
  <c r="BG40" i="3"/>
  <c r="AY40" i="3"/>
  <c r="AX40" i="3"/>
  <c r="AW40" i="3"/>
  <c r="AO40" i="3"/>
  <c r="AN40" i="3"/>
  <c r="AM40" i="3"/>
  <c r="AE40" i="3"/>
  <c r="AD40" i="3"/>
  <c r="AC40" i="3"/>
  <c r="U40" i="3"/>
  <c r="T40" i="3"/>
  <c r="S40" i="3"/>
  <c r="K40" i="3"/>
  <c r="J40" i="3"/>
  <c r="I40" i="3"/>
  <c r="CC39" i="3"/>
  <c r="CB39" i="3"/>
  <c r="CA39" i="3"/>
  <c r="BS39" i="3"/>
  <c r="BR39" i="3"/>
  <c r="BQ39" i="3"/>
  <c r="BI39" i="3"/>
  <c r="BH39" i="3"/>
  <c r="BG39" i="3"/>
  <c r="AY39" i="3"/>
  <c r="AX39" i="3"/>
  <c r="AW39" i="3"/>
  <c r="AO39" i="3"/>
  <c r="AN39" i="3"/>
  <c r="AM39" i="3"/>
  <c r="AE39" i="3"/>
  <c r="AD39" i="3"/>
  <c r="AC39" i="3"/>
  <c r="U39" i="3"/>
  <c r="T39" i="3"/>
  <c r="S39" i="3"/>
  <c r="K39" i="3"/>
  <c r="J39" i="3"/>
  <c r="I39" i="3"/>
  <c r="CC38" i="3"/>
  <c r="CB38" i="3"/>
  <c r="CA38" i="3"/>
  <c r="BS38" i="3"/>
  <c r="BR38" i="3"/>
  <c r="BQ38" i="3"/>
  <c r="BI38" i="3"/>
  <c r="BH38" i="3"/>
  <c r="BG38" i="3"/>
  <c r="AY38" i="3"/>
  <c r="AX38" i="3"/>
  <c r="AW38" i="3"/>
  <c r="AO38" i="3"/>
  <c r="AN38" i="3"/>
  <c r="AM38" i="3"/>
  <c r="AE38" i="3"/>
  <c r="AD38" i="3"/>
  <c r="AC38" i="3"/>
  <c r="U38" i="3"/>
  <c r="T38" i="3"/>
  <c r="S38" i="3"/>
  <c r="K38" i="3"/>
  <c r="J38" i="3"/>
  <c r="I38" i="3"/>
  <c r="CC37" i="3"/>
  <c r="CB37" i="3"/>
  <c r="CA37" i="3"/>
  <c r="BS37" i="3"/>
  <c r="BR37" i="3"/>
  <c r="BQ37" i="3"/>
  <c r="BI37" i="3"/>
  <c r="BH37" i="3"/>
  <c r="BG37" i="3"/>
  <c r="AY37" i="3"/>
  <c r="AX37" i="3"/>
  <c r="AW37" i="3"/>
  <c r="AO37" i="3"/>
  <c r="AN37" i="3"/>
  <c r="AM37" i="3"/>
  <c r="AE37" i="3"/>
  <c r="AD37" i="3"/>
  <c r="AC37" i="3"/>
  <c r="U37" i="3"/>
  <c r="T37" i="3"/>
  <c r="S37" i="3"/>
  <c r="K37" i="3"/>
  <c r="J37" i="3"/>
  <c r="I37" i="3"/>
  <c r="CC36" i="3"/>
  <c r="CB36" i="3"/>
  <c r="CA36" i="3"/>
  <c r="BS36" i="3"/>
  <c r="BR36" i="3"/>
  <c r="BQ36" i="3"/>
  <c r="BI36" i="3"/>
  <c r="BH36" i="3"/>
  <c r="BG36" i="3"/>
  <c r="AY36" i="3"/>
  <c r="AX36" i="3"/>
  <c r="AW36" i="3"/>
  <c r="AO36" i="3"/>
  <c r="AN36" i="3"/>
  <c r="AM36" i="3"/>
  <c r="AE36" i="3"/>
  <c r="AD36" i="3"/>
  <c r="AC36" i="3"/>
  <c r="U36" i="3"/>
  <c r="T36" i="3"/>
  <c r="S36" i="3"/>
  <c r="K36" i="3"/>
  <c r="J36" i="3"/>
  <c r="I36" i="3"/>
  <c r="CC35" i="3"/>
  <c r="CB35" i="3"/>
  <c r="CA35" i="3"/>
  <c r="BS35" i="3"/>
  <c r="BR35" i="3"/>
  <c r="BQ35" i="3"/>
  <c r="BI35" i="3"/>
  <c r="BH35" i="3"/>
  <c r="BG35" i="3"/>
  <c r="AY35" i="3"/>
  <c r="AX35" i="3"/>
  <c r="AW35" i="3"/>
  <c r="AO35" i="3"/>
  <c r="AN35" i="3"/>
  <c r="AM35" i="3"/>
  <c r="AE35" i="3"/>
  <c r="AD35" i="3"/>
  <c r="AC35" i="3"/>
  <c r="U35" i="3"/>
  <c r="T35" i="3"/>
  <c r="S35" i="3"/>
  <c r="K35" i="3"/>
  <c r="J35" i="3"/>
  <c r="I35" i="3"/>
  <c r="CC34" i="3"/>
  <c r="CB34" i="3"/>
  <c r="CA34" i="3"/>
  <c r="BW5" i="3" s="1"/>
  <c r="BS34" i="3"/>
  <c r="BR34" i="3"/>
  <c r="BN5" i="3" s="1"/>
  <c r="BQ34" i="3"/>
  <c r="BI34" i="3"/>
  <c r="BH34" i="3"/>
  <c r="BG34" i="3"/>
  <c r="AY34" i="3"/>
  <c r="AX34" i="3"/>
  <c r="AW34" i="3"/>
  <c r="AS5" i="3" s="1"/>
  <c r="AO34" i="3"/>
  <c r="AN34" i="3"/>
  <c r="AM34" i="3"/>
  <c r="AE34" i="3"/>
  <c r="AA5" i="3" s="1"/>
  <c r="AD34" i="3"/>
  <c r="AC34" i="3"/>
  <c r="U34" i="3"/>
  <c r="T34" i="3"/>
  <c r="S34" i="3"/>
  <c r="K34" i="3"/>
  <c r="J34" i="3"/>
  <c r="I34" i="3"/>
  <c r="CC33" i="3"/>
  <c r="CB33" i="3"/>
  <c r="BX5" i="3" s="1"/>
  <c r="CA33" i="3"/>
  <c r="BS33" i="3"/>
  <c r="BO5" i="3" s="1"/>
  <c r="BR33" i="3"/>
  <c r="BQ33" i="3"/>
  <c r="BI33" i="3"/>
  <c r="BH33" i="3"/>
  <c r="BD5" i="3" s="1"/>
  <c r="BG33" i="3"/>
  <c r="AY33" i="3"/>
  <c r="AU5" i="3" s="1"/>
  <c r="AX33" i="3"/>
  <c r="AT5" i="3" s="1"/>
  <c r="AW33" i="3"/>
  <c r="AO33" i="3"/>
  <c r="AN33" i="3"/>
  <c r="AM33" i="3"/>
  <c r="AE33" i="3"/>
  <c r="AD33" i="3"/>
  <c r="Z5" i="3" s="1"/>
  <c r="AC33" i="3"/>
  <c r="Y5" i="3" s="1"/>
  <c r="U33" i="3"/>
  <c r="T33" i="3"/>
  <c r="P5" i="3" s="1"/>
  <c r="S33" i="3"/>
  <c r="K33" i="3"/>
  <c r="J33" i="3"/>
  <c r="I33" i="3"/>
  <c r="CC32" i="3"/>
  <c r="CB32" i="3"/>
  <c r="CA32" i="3"/>
  <c r="BS32" i="3"/>
  <c r="BR32" i="3"/>
  <c r="BQ32" i="3"/>
  <c r="BI32" i="3"/>
  <c r="BH32" i="3"/>
  <c r="BG32" i="3"/>
  <c r="AY32" i="3"/>
  <c r="AX32" i="3"/>
  <c r="AW32" i="3"/>
  <c r="AO32" i="3"/>
  <c r="AN32" i="3"/>
  <c r="AM32" i="3"/>
  <c r="AE32" i="3"/>
  <c r="AD32" i="3"/>
  <c r="AC32" i="3"/>
  <c r="U32" i="3"/>
  <c r="T32" i="3"/>
  <c r="S32" i="3"/>
  <c r="K32" i="3"/>
  <c r="J32" i="3"/>
  <c r="I32" i="3"/>
  <c r="CC31" i="3"/>
  <c r="CB31" i="3"/>
  <c r="CA31" i="3"/>
  <c r="BS31" i="3"/>
  <c r="BR31" i="3"/>
  <c r="BQ31" i="3"/>
  <c r="BI31" i="3"/>
  <c r="BH31" i="3"/>
  <c r="BG31" i="3"/>
  <c r="AY31" i="3"/>
  <c r="AX31" i="3"/>
  <c r="AW31" i="3"/>
  <c r="AO31" i="3"/>
  <c r="AN31" i="3"/>
  <c r="AM31" i="3"/>
  <c r="AE31" i="3"/>
  <c r="AD31" i="3"/>
  <c r="AC31" i="3"/>
  <c r="U31" i="3"/>
  <c r="T31" i="3"/>
  <c r="S31" i="3"/>
  <c r="K31" i="3"/>
  <c r="J31" i="3"/>
  <c r="I31" i="3"/>
  <c r="CC30" i="3"/>
  <c r="CB30" i="3"/>
  <c r="CA30" i="3"/>
  <c r="BS30" i="3"/>
  <c r="BR30" i="3"/>
  <c r="BQ30" i="3"/>
  <c r="BI30" i="3"/>
  <c r="BH30" i="3"/>
  <c r="BG30" i="3"/>
  <c r="AY30" i="3"/>
  <c r="AX30" i="3"/>
  <c r="AW30" i="3"/>
  <c r="AO30" i="3"/>
  <c r="AN30" i="3"/>
  <c r="AM30" i="3"/>
  <c r="AE30" i="3"/>
  <c r="AD30" i="3"/>
  <c r="AC30" i="3"/>
  <c r="U30" i="3"/>
  <c r="T30" i="3"/>
  <c r="S30" i="3"/>
  <c r="K30" i="3"/>
  <c r="J30" i="3"/>
  <c r="I30" i="3"/>
  <c r="CC29" i="3"/>
  <c r="CB29" i="3"/>
  <c r="CA29" i="3"/>
  <c r="BS29" i="3"/>
  <c r="BR29" i="3"/>
  <c r="BQ29" i="3"/>
  <c r="BI29" i="3"/>
  <c r="BH29" i="3"/>
  <c r="BG29" i="3"/>
  <c r="AY29" i="3"/>
  <c r="AX29" i="3"/>
  <c r="AW29" i="3"/>
  <c r="AO29" i="3"/>
  <c r="AN29" i="3"/>
  <c r="AM29" i="3"/>
  <c r="AE29" i="3"/>
  <c r="AD29" i="3"/>
  <c r="AC29" i="3"/>
  <c r="U29" i="3"/>
  <c r="T29" i="3"/>
  <c r="S29" i="3"/>
  <c r="K29" i="3"/>
  <c r="J29" i="3"/>
  <c r="I29" i="3"/>
  <c r="CC28" i="3"/>
  <c r="CB28" i="3"/>
  <c r="CA28" i="3"/>
  <c r="BS28" i="3"/>
  <c r="BR28" i="3"/>
  <c r="BQ28" i="3"/>
  <c r="BI28" i="3"/>
  <c r="BH28" i="3"/>
  <c r="BG28" i="3"/>
  <c r="AY28" i="3"/>
  <c r="AX28" i="3"/>
  <c r="AW28" i="3"/>
  <c r="AO28" i="3"/>
  <c r="AN28" i="3"/>
  <c r="AM28" i="3"/>
  <c r="AE28" i="3"/>
  <c r="AD28" i="3"/>
  <c r="AC28" i="3"/>
  <c r="U28" i="3"/>
  <c r="T28" i="3"/>
  <c r="S28" i="3"/>
  <c r="K28" i="3"/>
  <c r="J28" i="3"/>
  <c r="I28" i="3"/>
  <c r="CC27" i="3"/>
  <c r="CB27" i="3"/>
  <c r="CA27" i="3"/>
  <c r="BS27" i="3"/>
  <c r="BR27" i="3"/>
  <c r="BQ27" i="3"/>
  <c r="BI27" i="3"/>
  <c r="BH27" i="3"/>
  <c r="BG27" i="3"/>
  <c r="AY27" i="3"/>
  <c r="AX27" i="3"/>
  <c r="AW27" i="3"/>
  <c r="AO27" i="3"/>
  <c r="AN27" i="3"/>
  <c r="AM27" i="3"/>
  <c r="AE27" i="3"/>
  <c r="AD27" i="3"/>
  <c r="AC27" i="3"/>
  <c r="U27" i="3"/>
  <c r="T27" i="3"/>
  <c r="S27" i="3"/>
  <c r="K27" i="3"/>
  <c r="J27" i="3"/>
  <c r="I27" i="3"/>
  <c r="CC26" i="3"/>
  <c r="CB26" i="3"/>
  <c r="CA26" i="3"/>
  <c r="BS26" i="3"/>
  <c r="BR26" i="3"/>
  <c r="BQ26" i="3"/>
  <c r="BI26" i="3"/>
  <c r="BH26" i="3"/>
  <c r="BG26" i="3"/>
  <c r="AY26" i="3"/>
  <c r="AX26" i="3"/>
  <c r="AW26" i="3"/>
  <c r="AO26" i="3"/>
  <c r="AN26" i="3"/>
  <c r="AM26" i="3"/>
  <c r="AE26" i="3"/>
  <c r="AD26" i="3"/>
  <c r="AC26" i="3"/>
  <c r="U26" i="3"/>
  <c r="T26" i="3"/>
  <c r="S26" i="3"/>
  <c r="K26" i="3"/>
  <c r="J26" i="3"/>
  <c r="I26" i="3"/>
  <c r="CC25" i="3"/>
  <c r="CB25" i="3"/>
  <c r="CA25" i="3"/>
  <c r="BS25" i="3"/>
  <c r="BR25" i="3"/>
  <c r="BQ25" i="3"/>
  <c r="BI25" i="3"/>
  <c r="BH25" i="3"/>
  <c r="BG25" i="3"/>
  <c r="AY25" i="3"/>
  <c r="AX25" i="3"/>
  <c r="AW25" i="3"/>
  <c r="AO25" i="3"/>
  <c r="AN25" i="3"/>
  <c r="AM25" i="3"/>
  <c r="AE25" i="3"/>
  <c r="AD25" i="3"/>
  <c r="AC25" i="3"/>
  <c r="U25" i="3"/>
  <c r="T25" i="3"/>
  <c r="S25" i="3"/>
  <c r="K25" i="3"/>
  <c r="J25" i="3"/>
  <c r="I25" i="3"/>
  <c r="CC24" i="3"/>
  <c r="CB24" i="3"/>
  <c r="CA24" i="3"/>
  <c r="BW4" i="3" s="1"/>
  <c r="BS24" i="3"/>
  <c r="BR24" i="3"/>
  <c r="BN4" i="3" s="1"/>
  <c r="BQ24" i="3"/>
  <c r="BI24" i="3"/>
  <c r="BH24" i="3"/>
  <c r="BG24" i="3"/>
  <c r="AY24" i="3"/>
  <c r="AX24" i="3"/>
  <c r="AW24" i="3"/>
  <c r="AS4" i="3" s="1"/>
  <c r="AO24" i="3"/>
  <c r="AN24" i="3"/>
  <c r="AM24" i="3"/>
  <c r="AE24" i="3"/>
  <c r="AA4" i="3" s="1"/>
  <c r="AD24" i="3"/>
  <c r="AC24" i="3"/>
  <c r="U24" i="3"/>
  <c r="T24" i="3"/>
  <c r="S24" i="3"/>
  <c r="K24" i="3"/>
  <c r="J24" i="3"/>
  <c r="I24" i="3"/>
  <c r="CC23" i="3"/>
  <c r="CB23" i="3"/>
  <c r="BX4" i="3" s="1"/>
  <c r="CA23" i="3"/>
  <c r="BS23" i="3"/>
  <c r="BO4" i="3" s="1"/>
  <c r="BR23" i="3"/>
  <c r="BQ23" i="3"/>
  <c r="BI23" i="3"/>
  <c r="BH23" i="3"/>
  <c r="BD4" i="3" s="1"/>
  <c r="BG23" i="3"/>
  <c r="AY23" i="3"/>
  <c r="AU4" i="3" s="1"/>
  <c r="AX23" i="3"/>
  <c r="AT4" i="3" s="1"/>
  <c r="AW23" i="3"/>
  <c r="AO23" i="3"/>
  <c r="AK4" i="3" s="1"/>
  <c r="AN23" i="3"/>
  <c r="AM23" i="3"/>
  <c r="AE23" i="3"/>
  <c r="AD23" i="3"/>
  <c r="Z4" i="3" s="1"/>
  <c r="AC23" i="3"/>
  <c r="Y4" i="3" s="1"/>
  <c r="U23" i="3"/>
  <c r="T23" i="3"/>
  <c r="P4" i="3" s="1"/>
  <c r="S23" i="3"/>
  <c r="K23" i="3"/>
  <c r="J23" i="3"/>
  <c r="I23" i="3"/>
  <c r="CC22" i="3"/>
  <c r="CB22" i="3"/>
  <c r="CA22" i="3"/>
  <c r="BS22" i="3"/>
  <c r="BR22" i="3"/>
  <c r="BQ22" i="3"/>
  <c r="BI22" i="3"/>
  <c r="BH22" i="3"/>
  <c r="BG22" i="3"/>
  <c r="AY22" i="3"/>
  <c r="AX22" i="3"/>
  <c r="AW22" i="3"/>
  <c r="AO22" i="3"/>
  <c r="AN22" i="3"/>
  <c r="AM22" i="3"/>
  <c r="AE22" i="3"/>
  <c r="AD22" i="3"/>
  <c r="AC22" i="3"/>
  <c r="U22" i="3"/>
  <c r="T22" i="3"/>
  <c r="S22" i="3"/>
  <c r="K22" i="3"/>
  <c r="J22" i="3"/>
  <c r="I22" i="3"/>
  <c r="CC21" i="3"/>
  <c r="CB21" i="3"/>
  <c r="BX3" i="3" s="1"/>
  <c r="BX8" i="3" s="1"/>
  <c r="CA21" i="3"/>
  <c r="BS21" i="3"/>
  <c r="BR21" i="3"/>
  <c r="BQ21" i="3"/>
  <c r="BI21" i="3"/>
  <c r="BH21" i="3"/>
  <c r="BD3" i="3" s="1"/>
  <c r="BD8" i="3" s="1"/>
  <c r="BG21" i="3"/>
  <c r="AY21" i="3"/>
  <c r="AX21" i="3"/>
  <c r="AT3" i="3" s="1"/>
  <c r="AT8" i="3" s="1"/>
  <c r="AW21" i="3"/>
  <c r="AO21" i="3"/>
  <c r="AK3" i="3" s="1"/>
  <c r="AK8" i="3" s="1"/>
  <c r="AN21" i="3"/>
  <c r="AM21" i="3"/>
  <c r="AE21" i="3"/>
  <c r="AD21" i="3"/>
  <c r="AC21" i="3"/>
  <c r="U21" i="3"/>
  <c r="T21" i="3"/>
  <c r="S21" i="3"/>
  <c r="K21" i="3"/>
  <c r="J21" i="3"/>
  <c r="I21" i="3"/>
  <c r="CC20" i="3"/>
  <c r="CB20" i="3"/>
  <c r="CA20" i="3"/>
  <c r="BS20" i="3"/>
  <c r="BO3" i="3" s="1"/>
  <c r="BR20" i="3"/>
  <c r="BN3" i="3" s="1"/>
  <c r="BN8" i="3" s="1"/>
  <c r="BQ20" i="3"/>
  <c r="BI20" i="3"/>
  <c r="BH20" i="3"/>
  <c r="BG20" i="3"/>
  <c r="AY20" i="3"/>
  <c r="AU3" i="3" s="1"/>
  <c r="AX20" i="3"/>
  <c r="AW20" i="3"/>
  <c r="AO20" i="3"/>
  <c r="AN20" i="3"/>
  <c r="AM20" i="3"/>
  <c r="AE20" i="3"/>
  <c r="AA3" i="3" s="1"/>
  <c r="AA8" i="3" s="1"/>
  <c r="AD20" i="3"/>
  <c r="Z3" i="3" s="1"/>
  <c r="AC20" i="3"/>
  <c r="Y3" i="3" s="1"/>
  <c r="U20" i="3"/>
  <c r="T20" i="3"/>
  <c r="P3" i="3" s="1"/>
  <c r="S20" i="3"/>
  <c r="K20" i="3"/>
  <c r="J20" i="3"/>
  <c r="I20" i="3"/>
  <c r="CA19" i="3"/>
  <c r="BQ19" i="3"/>
  <c r="BG19" i="3"/>
  <c r="AW19" i="3"/>
  <c r="AM19" i="3"/>
  <c r="AC19" i="3"/>
  <c r="S19" i="3"/>
  <c r="I19" i="3"/>
  <c r="CA18" i="3"/>
  <c r="BQ18" i="3"/>
  <c r="BG18" i="3"/>
  <c r="AW18" i="3"/>
  <c r="AM18" i="3"/>
  <c r="AC18" i="3"/>
  <c r="S18" i="3"/>
  <c r="I18" i="3"/>
  <c r="CA17" i="3"/>
  <c r="BQ17" i="3"/>
  <c r="BG17" i="3"/>
  <c r="AW17" i="3"/>
  <c r="AM17" i="3"/>
  <c r="AC17" i="3"/>
  <c r="S17" i="3"/>
  <c r="I17" i="3"/>
  <c r="CA16" i="3"/>
  <c r="BQ16" i="3"/>
  <c r="BG16" i="3"/>
  <c r="AW16" i="3"/>
  <c r="AM16" i="3"/>
  <c r="AC16" i="3"/>
  <c r="S16" i="3"/>
  <c r="I16" i="3"/>
  <c r="CA15" i="3"/>
  <c r="BQ15" i="3"/>
  <c r="BG15" i="3"/>
  <c r="AW15" i="3"/>
  <c r="AM15" i="3"/>
  <c r="AC15" i="3"/>
  <c r="S15" i="3"/>
  <c r="I15" i="3"/>
  <c r="CA14" i="3"/>
  <c r="BQ14" i="3"/>
  <c r="BG14" i="3"/>
  <c r="AW14" i="3"/>
  <c r="AM14" i="3"/>
  <c r="AI3" i="3" s="1"/>
  <c r="AI8" i="3" s="1"/>
  <c r="AC14" i="3"/>
  <c r="S14" i="3"/>
  <c r="I14" i="3"/>
  <c r="CA13" i="3"/>
  <c r="BW3" i="3" s="1"/>
  <c r="BW8" i="3" s="1"/>
  <c r="BQ13" i="3"/>
  <c r="BM3" i="3" s="1"/>
  <c r="BM8" i="3" s="1"/>
  <c r="BG13" i="3"/>
  <c r="AW13" i="3"/>
  <c r="AS3" i="3" s="1"/>
  <c r="AS8" i="3" s="1"/>
  <c r="AM13" i="3"/>
  <c r="AC13" i="3"/>
  <c r="S13" i="3"/>
  <c r="I13" i="3"/>
  <c r="BZ7" i="3"/>
  <c r="BY7" i="3"/>
  <c r="BX7" i="3"/>
  <c r="BW7" i="3"/>
  <c r="BP7" i="3"/>
  <c r="BO7" i="3"/>
  <c r="BN7" i="3"/>
  <c r="BM7" i="3"/>
  <c r="BF7" i="3"/>
  <c r="BE7" i="3"/>
  <c r="BD7" i="3"/>
  <c r="BC7" i="3"/>
  <c r="AV7" i="3"/>
  <c r="AU7" i="3"/>
  <c r="AT7" i="3"/>
  <c r="AS7" i="3"/>
  <c r="AL7" i="3"/>
  <c r="AK7" i="3"/>
  <c r="AJ7" i="3"/>
  <c r="AI7" i="3"/>
  <c r="AB7" i="3"/>
  <c r="AA7" i="3"/>
  <c r="Z7" i="3"/>
  <c r="Y7" i="3"/>
  <c r="R7" i="3"/>
  <c r="Q7" i="3"/>
  <c r="P7" i="3"/>
  <c r="O7" i="3"/>
  <c r="H7" i="3"/>
  <c r="G7" i="3"/>
  <c r="F7" i="3"/>
  <c r="E7" i="3"/>
  <c r="BZ6" i="3"/>
  <c r="BY6" i="3"/>
  <c r="BP6" i="3"/>
  <c r="BM6" i="3"/>
  <c r="BF6" i="3"/>
  <c r="BE6" i="3"/>
  <c r="BC6" i="3"/>
  <c r="AV6" i="3"/>
  <c r="AL6" i="3"/>
  <c r="AK6" i="3"/>
  <c r="AJ6" i="3"/>
  <c r="AI6" i="3"/>
  <c r="AB6" i="3"/>
  <c r="R6" i="3"/>
  <c r="Q6" i="3"/>
  <c r="O6" i="3"/>
  <c r="H6" i="3"/>
  <c r="G6" i="3"/>
  <c r="F6" i="3"/>
  <c r="E6" i="3"/>
  <c r="BZ5" i="3"/>
  <c r="BY5" i="3"/>
  <c r="BP5" i="3"/>
  <c r="BM5" i="3"/>
  <c r="BF5" i="3"/>
  <c r="BE5" i="3"/>
  <c r="BC5" i="3"/>
  <c r="AV5" i="3"/>
  <c r="AL5" i="3"/>
  <c r="AK5" i="3"/>
  <c r="AJ5" i="3"/>
  <c r="AI5" i="3"/>
  <c r="AB5" i="3"/>
  <c r="R5" i="3"/>
  <c r="Q5" i="3"/>
  <c r="O5" i="3"/>
  <c r="H5" i="3"/>
  <c r="G5" i="3"/>
  <c r="F5" i="3"/>
  <c r="E5" i="3"/>
  <c r="BZ4" i="3"/>
  <c r="BY4" i="3"/>
  <c r="BP4" i="3"/>
  <c r="BM4" i="3"/>
  <c r="BF4" i="3"/>
  <c r="BE4" i="3"/>
  <c r="BC4" i="3"/>
  <c r="AV4" i="3"/>
  <c r="AL4" i="3"/>
  <c r="AJ4" i="3"/>
  <c r="AI4" i="3"/>
  <c r="AB4" i="3"/>
  <c r="R4" i="3"/>
  <c r="Q4" i="3"/>
  <c r="O4" i="3"/>
  <c r="H4" i="3"/>
  <c r="G4" i="3"/>
  <c r="F4" i="3"/>
  <c r="E4" i="3"/>
  <c r="BZ3" i="3"/>
  <c r="BZ8" i="3" s="1"/>
  <c r="BY3" i="3"/>
  <c r="BY8" i="3" s="1"/>
  <c r="BP3" i="3"/>
  <c r="BP8" i="3" s="1"/>
  <c r="BF3" i="3"/>
  <c r="BF8" i="3" s="1"/>
  <c r="BE3" i="3"/>
  <c r="BE8" i="3" s="1"/>
  <c r="BC3" i="3"/>
  <c r="BC8" i="3" s="1"/>
  <c r="AV3" i="3"/>
  <c r="AV8" i="3" s="1"/>
  <c r="AL3" i="3"/>
  <c r="AL8" i="3" s="1"/>
  <c r="AJ3" i="3"/>
  <c r="AJ8" i="3" s="1"/>
  <c r="AB3" i="3"/>
  <c r="AB8" i="3" s="1"/>
  <c r="R3" i="3"/>
  <c r="R8" i="3" s="1"/>
  <c r="Q3" i="3"/>
  <c r="Q8" i="3" s="1"/>
  <c r="O3" i="3"/>
  <c r="O8" i="3" s="1"/>
  <c r="H3" i="3"/>
  <c r="H8" i="3" s="1"/>
  <c r="G3" i="3"/>
  <c r="G8" i="3" s="1"/>
  <c r="F3" i="3"/>
  <c r="F8" i="3" s="1"/>
  <c r="E3" i="3"/>
  <c r="E8" i="3" s="1"/>
  <c r="BV3" i="1" l="1"/>
  <c r="BM3" i="1"/>
  <c r="Z3" i="1"/>
  <c r="I3" i="1"/>
  <c r="J3" i="1"/>
  <c r="T3" i="1"/>
  <c r="AA3" i="1"/>
  <c r="BK3" i="1"/>
  <c r="S3" i="1"/>
  <c r="AI8" i="2"/>
  <c r="AI3" i="1"/>
  <c r="BS3" i="1"/>
  <c r="P8" i="3"/>
  <c r="BO8" i="3"/>
  <c r="BD3" i="1"/>
  <c r="AU8" i="3"/>
  <c r="Y8" i="3"/>
  <c r="AL3" i="1"/>
  <c r="BM8" i="2"/>
  <c r="Z8" i="3"/>
  <c r="BN8" i="2"/>
  <c r="BC3" i="1"/>
  <c r="AK3" i="1"/>
  <c r="BU3" i="1"/>
  <c r="BB3" i="1"/>
  <c r="Q8" i="2"/>
  <c r="AU3" i="1"/>
  <c r="BW8" i="2"/>
  <c r="K3" i="1"/>
  <c r="R3" i="1"/>
</calcChain>
</file>

<file path=xl/sharedStrings.xml><?xml version="1.0" encoding="utf-8"?>
<sst xmlns="http://schemas.openxmlformats.org/spreadsheetml/2006/main" count="189" uniqueCount="18">
  <si>
    <t>DRY MATTER</t>
  </si>
  <si>
    <t>STARCH DM BASE</t>
  </si>
  <si>
    <t>PROTEIN DM BASE</t>
  </si>
  <si>
    <t>ADF DM BASE</t>
  </si>
  <si>
    <t>NDF DM BASE</t>
  </si>
  <si>
    <t>ASH DM BASE</t>
  </si>
  <si>
    <t>C.FAT DM BASE</t>
  </si>
  <si>
    <t>C.FIBER DM BASE</t>
  </si>
  <si>
    <t>ID</t>
  </si>
  <si>
    <t>EvoNIR MS</t>
  </si>
  <si>
    <t>AVERAGE</t>
  </si>
  <si>
    <t>MAX accept</t>
  </si>
  <si>
    <t>Sample ID</t>
  </si>
  <si>
    <t>N.Scan</t>
  </si>
  <si>
    <t>ID scan</t>
  </si>
  <si>
    <t>New STD V3</t>
  </si>
  <si>
    <t>Residuals</t>
  </si>
  <si>
    <t>Sample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</si>
</sst>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0" xfId="0" applyFont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" fillId="0" borderId="15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6"/>
  <sheetViews>
    <sheetView tabSelected="1" topLeftCell="BD1" zoomScale="115" zoomScaleNormal="115" workbookViewId="0">
      <selection activeCell="BQ19" sqref="BQ19"/>
    </sheetView>
  </sheetViews>
  <sheetFormatPr defaultRowHeight="15" x14ac:dyDescent="0.25"/>
  <cols>
    <col min="1" max="1" width="10.5703125" bestFit="1" customWidth="1"/>
    <col min="2" max="2" width="9.5703125" bestFit="1" customWidth="1"/>
    <col min="3" max="5" width="9.5703125" customWidth="1"/>
    <col min="8" max="8" width="10.5703125" bestFit="1" customWidth="1"/>
    <col min="9" max="10" width="10.28515625" bestFit="1" customWidth="1"/>
    <col min="11" max="11" width="10.28515625" customWidth="1"/>
    <col min="12" max="15" width="15.85546875" bestFit="1" customWidth="1"/>
    <col min="17" max="17" width="10.5703125" bestFit="1" customWidth="1"/>
    <col min="18" max="19" width="10.28515625" bestFit="1" customWidth="1"/>
    <col min="20" max="20" width="10.28515625" customWidth="1"/>
    <col min="21" max="24" width="15.85546875" bestFit="1" customWidth="1"/>
    <col min="26" max="26" width="10.5703125" bestFit="1" customWidth="1"/>
    <col min="27" max="29" width="10.28515625" bestFit="1" customWidth="1"/>
    <col min="30" max="33" width="14" bestFit="1" customWidth="1"/>
    <col min="35" max="35" width="10.5703125" bestFit="1" customWidth="1"/>
    <col min="36" max="38" width="10.28515625" bestFit="1" customWidth="1"/>
    <col min="39" max="42" width="14" bestFit="1" customWidth="1"/>
    <col min="44" max="44" width="10.5703125" bestFit="1" customWidth="1"/>
    <col min="45" max="47" width="10.28515625" bestFit="1" customWidth="1"/>
    <col min="48" max="51" width="14" bestFit="1" customWidth="1"/>
    <col min="53" max="53" width="10.5703125" bestFit="1" customWidth="1"/>
    <col min="54" max="55" width="10.28515625" bestFit="1" customWidth="1"/>
    <col min="56" max="56" width="7.85546875" bestFit="1" customWidth="1"/>
    <col min="57" max="60" width="14" bestFit="1" customWidth="1"/>
    <col min="62" max="62" width="10.5703125" bestFit="1" customWidth="1"/>
    <col min="63" max="64" width="10.28515625" bestFit="1" customWidth="1"/>
    <col min="65" max="65" width="7.85546875" bestFit="1" customWidth="1"/>
    <col min="66" max="69" width="14" bestFit="1" customWidth="1"/>
    <col min="71" max="71" width="10.5703125" bestFit="1" customWidth="1"/>
    <col min="72" max="74" width="10.28515625" bestFit="1" customWidth="1"/>
    <col min="75" max="78" width="14" bestFit="1" customWidth="1"/>
  </cols>
  <sheetData>
    <row r="1" spans="1:78" ht="21.75" customHeight="1" thickBot="1" x14ac:dyDescent="0.4">
      <c r="H1" s="44" t="s">
        <v>0</v>
      </c>
      <c r="I1" s="45"/>
      <c r="J1" s="45"/>
      <c r="K1" s="45"/>
      <c r="L1" s="45"/>
      <c r="M1" s="45"/>
      <c r="N1" s="45"/>
      <c r="O1" s="46"/>
      <c r="Q1" s="44" t="s">
        <v>1</v>
      </c>
      <c r="R1" s="45"/>
      <c r="S1" s="45"/>
      <c r="T1" s="45"/>
      <c r="U1" s="45"/>
      <c r="V1" s="45"/>
      <c r="W1" s="45"/>
      <c r="X1" s="46"/>
      <c r="Z1" s="44" t="s">
        <v>2</v>
      </c>
      <c r="AA1" s="45"/>
      <c r="AB1" s="45"/>
      <c r="AC1" s="45"/>
      <c r="AD1" s="45"/>
      <c r="AE1" s="45"/>
      <c r="AF1" s="45"/>
      <c r="AG1" s="46"/>
      <c r="AI1" s="44" t="s">
        <v>3</v>
      </c>
      <c r="AJ1" s="45"/>
      <c r="AK1" s="45"/>
      <c r="AL1" s="45"/>
      <c r="AM1" s="45"/>
      <c r="AN1" s="45"/>
      <c r="AO1" s="45"/>
      <c r="AP1" s="46"/>
      <c r="AR1" s="44" t="s">
        <v>4</v>
      </c>
      <c r="AS1" s="45"/>
      <c r="AT1" s="45"/>
      <c r="AU1" s="45"/>
      <c r="AV1" s="45"/>
      <c r="AW1" s="45"/>
      <c r="AX1" s="45"/>
      <c r="AY1" s="46"/>
      <c r="BA1" s="44" t="s">
        <v>5</v>
      </c>
      <c r="BB1" s="45"/>
      <c r="BC1" s="45"/>
      <c r="BD1" s="45"/>
      <c r="BE1" s="45"/>
      <c r="BF1" s="45"/>
      <c r="BG1" s="45"/>
      <c r="BH1" s="46"/>
      <c r="BJ1" s="44" t="s">
        <v>6</v>
      </c>
      <c r="BK1" s="45"/>
      <c r="BL1" s="45"/>
      <c r="BM1" s="45"/>
      <c r="BN1" s="45"/>
      <c r="BO1" s="45"/>
      <c r="BP1" s="45"/>
      <c r="BQ1" s="46"/>
      <c r="BS1" s="44" t="s">
        <v>7</v>
      </c>
      <c r="BT1" s="45"/>
      <c r="BU1" s="45"/>
      <c r="BV1" s="45"/>
      <c r="BW1" s="45"/>
      <c r="BX1" s="45"/>
      <c r="BY1" s="45"/>
      <c r="BZ1" s="46"/>
    </row>
    <row r="2" spans="1:78" x14ac:dyDescent="0.25">
      <c r="G2" s="1"/>
      <c r="H2" s="2" t="s">
        <v>9</v>
      </c>
      <c r="I2" s="3">
        <v>249063</v>
      </c>
      <c r="J2" s="3">
        <v>249062</v>
      </c>
      <c r="K2" s="4">
        <v>249061</v>
      </c>
      <c r="Q2" s="2" t="s">
        <v>9</v>
      </c>
      <c r="R2" s="3">
        <v>249063</v>
      </c>
      <c r="S2" s="3">
        <v>249062</v>
      </c>
      <c r="T2" s="4">
        <v>249061</v>
      </c>
      <c r="Z2" s="2" t="s">
        <v>9</v>
      </c>
      <c r="AA2" s="3">
        <v>249063</v>
      </c>
      <c r="AB2" s="3">
        <v>249062</v>
      </c>
      <c r="AC2" s="4">
        <v>249061</v>
      </c>
      <c r="AI2" s="2" t="s">
        <v>9</v>
      </c>
      <c r="AJ2" s="3">
        <v>249063</v>
      </c>
      <c r="AK2" s="3">
        <v>249062</v>
      </c>
      <c r="AL2" s="4">
        <v>249061</v>
      </c>
      <c r="AR2" s="2" t="s">
        <v>9</v>
      </c>
      <c r="AS2" s="3">
        <v>249063</v>
      </c>
      <c r="AT2" s="3">
        <v>249062</v>
      </c>
      <c r="AU2" s="4">
        <v>249061</v>
      </c>
      <c r="BA2" s="2" t="s">
        <v>9</v>
      </c>
      <c r="BB2" s="3">
        <v>249063</v>
      </c>
      <c r="BC2" s="3">
        <v>249062</v>
      </c>
      <c r="BD2" s="4">
        <v>249061</v>
      </c>
      <c r="BJ2" s="2" t="s">
        <v>9</v>
      </c>
      <c r="BK2" s="3">
        <v>249063</v>
      </c>
      <c r="BL2" s="3">
        <v>249062</v>
      </c>
      <c r="BM2" s="4">
        <v>249061</v>
      </c>
      <c r="BS2" s="2" t="s">
        <v>9</v>
      </c>
      <c r="BT2" s="3">
        <v>249063</v>
      </c>
      <c r="BU2" s="3">
        <v>249062</v>
      </c>
      <c r="BV2" s="4">
        <v>249061</v>
      </c>
    </row>
    <row r="3" spans="1:78" x14ac:dyDescent="0.25">
      <c r="G3" s="5"/>
      <c r="H3" s="6">
        <f>(MAX(L30:L36)-MIN(L30:L36))/$B$30</f>
        <v>0.76879271485486578</v>
      </c>
      <c r="I3" s="7">
        <f>(MAX(M30:M36)-MIN(M30:M36))/$C$30</f>
        <v>0.57343823204420008</v>
      </c>
      <c r="J3" s="7">
        <f>(MAX(N30:N36)-MIN(N30:N36))/$D$30</f>
        <v>0.68452951289398323</v>
      </c>
      <c r="K3" s="8">
        <f>(MAX(O30:O36)-MIN(O30:O36))/$E$30</f>
        <v>0.63842777457203337</v>
      </c>
      <c r="Q3" s="6">
        <f>(MAX(U30:U36)-MIN(U30:U36))/$B$30</f>
        <v>0.45987425535951365</v>
      </c>
      <c r="R3" s="7">
        <f>(MAX(V30:V36)-MIN(V30:V36))/$C$30</f>
        <v>0.27873679558011016</v>
      </c>
      <c r="S3" s="7">
        <f>(MAX(W30:W36)-MIN(W30:W36))/$D$30</f>
        <v>0.40862280802292311</v>
      </c>
      <c r="T3" s="8">
        <f>(MAX(X30:X36)-MIN(X30:X36))/$E$30</f>
        <v>0.3587532217734184</v>
      </c>
      <c r="Z3" s="6">
        <f>(MAX(AD30:AD36)-MIN(AD30:AD36))/$B$30</f>
        <v>1.159656194270537</v>
      </c>
      <c r="AA3" s="7">
        <f>(MAX(AE30:AE36)-MIN(AE30:AE36))/$C$30</f>
        <v>1.4575526335174953</v>
      </c>
      <c r="AB3" s="7">
        <f>(MAX(AF30:AF36)-MIN(AF30:AF36))/$D$30</f>
        <v>2.5348309073543458</v>
      </c>
      <c r="AC3" s="8">
        <f>(MAX(AG30:AG36)-MIN(AG30:AG36))/$E$30</f>
        <v>0.99381958068859377</v>
      </c>
      <c r="AI3" s="6">
        <f>(MAX(AM30:AM36)-MIN(AM30:AM36))/$B$30</f>
        <v>8.3560432555492198E-2</v>
      </c>
      <c r="AJ3" s="7">
        <f>(MAX(AN30:AN36)-MIN(AN30:AN36))/$C$30</f>
        <v>6.008798526703505E-2</v>
      </c>
      <c r="AK3" s="7">
        <f>(MAX(AO30:AO36)-MIN(AO30:AO36))/$D$30</f>
        <v>7.0298078319006696E-2</v>
      </c>
      <c r="AL3" s="8">
        <f>(MAX(AP30:AP36)-MIN(AP30:AP36))/$E$30</f>
        <v>6.0240530871321439E-2</v>
      </c>
      <c r="AR3" s="6">
        <f>(MAX(AV30:AV36)-MIN(AV30:AV36))/$B$30</f>
        <v>0.26686116486435163</v>
      </c>
      <c r="AS3" s="7">
        <f>(MAX(AW30:AW36)-MIN(AW30:AW36))/$C$30</f>
        <v>0.44533753222836125</v>
      </c>
      <c r="AT3" s="7">
        <f>(MAX(AX30:AX36)-MIN(AX30:AX36))/$D$30</f>
        <v>0.53343197707736367</v>
      </c>
      <c r="AU3" s="8">
        <f>(MAX(AY30:AY36)-MIN(AY30:AY36))/$E$30</f>
        <v>0.18542496633968061</v>
      </c>
      <c r="BA3" s="6">
        <f>(MAX(BE30:BE36)-MIN(BE30:BE36))/$B$30</f>
        <v>0.22094867767027129</v>
      </c>
      <c r="BB3" s="7">
        <f>(MAX(BF30:BF36)-MIN(BF30:BF36))/$C$30</f>
        <v>0.23095178637200736</v>
      </c>
      <c r="BC3" s="7">
        <f>(MAX(BG30:BG36)-MIN(BG30:BG36))/$D$30</f>
        <v>0.23859653104106973</v>
      </c>
      <c r="BD3" s="8">
        <f>(MAX(BH30:BH36)-MIN(BH30:BH36))/$E$30</f>
        <v>0.19524257741873444</v>
      </c>
      <c r="BJ3" s="6">
        <f>(MAX(BN30:BN36)-MIN(BN30:BN36))/$B$30</f>
        <v>1.4598024966799465</v>
      </c>
      <c r="BK3" s="7">
        <f>(MAX(BO30:BO36)-MIN(BO30:BO36))/$C$30</f>
        <v>1.4198032338858193</v>
      </c>
      <c r="BL3" s="7">
        <f>(MAX(BP30:BP36)-MIN(BP30:BP36))/$D$30</f>
        <v>2.442107751671442</v>
      </c>
      <c r="BM3" s="8">
        <f>(MAX(BQ30:BQ36)-MIN(BQ30:BQ36))/$E$30</f>
        <v>1.181511644547028</v>
      </c>
      <c r="BS3" s="6">
        <f>(MAX(BW30:BW36)-MIN(BW30:BW36))/$B$30</f>
        <v>7.0313557199772378E-2</v>
      </c>
      <c r="BT3" s="7">
        <f>(MAX(BX30:BX36)-MIN(BX30:BX36))/$C$30</f>
        <v>6.7843970534069931E-2</v>
      </c>
      <c r="BU3" s="7">
        <f>(MAX(BY30:BY36)-MIN(BY30:BY36))/$D$30</f>
        <v>9.3881138490926483E-2</v>
      </c>
      <c r="BV3" s="8">
        <f>(MAX(BZ30:BZ36)-MIN(BZ30:BZ36))/$E$30</f>
        <v>9.9156653202538955E-2</v>
      </c>
    </row>
    <row r="4" spans="1:78" x14ac:dyDescent="0.25">
      <c r="E4" s="9" t="s">
        <v>11</v>
      </c>
      <c r="F4" s="9">
        <v>0.3</v>
      </c>
      <c r="G4" s="5"/>
    </row>
    <row r="6" spans="1:78" x14ac:dyDescent="0.25">
      <c r="A6" s="43" t="s">
        <v>12</v>
      </c>
      <c r="B6" s="43" t="s">
        <v>17</v>
      </c>
      <c r="C6" s="36"/>
      <c r="D6" s="36"/>
      <c r="E6" s="36"/>
      <c r="F6" s="47" t="s">
        <v>14</v>
      </c>
      <c r="H6" s="40" t="s">
        <v>15</v>
      </c>
      <c r="I6" s="41"/>
      <c r="J6" s="41"/>
      <c r="K6" s="42"/>
      <c r="L6" s="35" t="s">
        <v>16</v>
      </c>
      <c r="M6" s="36"/>
      <c r="N6" s="36"/>
      <c r="O6" s="36"/>
      <c r="Q6" s="40" t="s">
        <v>15</v>
      </c>
      <c r="R6" s="41"/>
      <c r="S6" s="41"/>
      <c r="T6" s="42"/>
      <c r="U6" s="35" t="s">
        <v>16</v>
      </c>
      <c r="V6" s="36"/>
      <c r="W6" s="36"/>
      <c r="X6" s="36"/>
      <c r="Z6" s="40" t="s">
        <v>15</v>
      </c>
      <c r="AA6" s="41"/>
      <c r="AB6" s="41"/>
      <c r="AC6" s="42"/>
      <c r="AD6" s="35" t="s">
        <v>16</v>
      </c>
      <c r="AE6" s="36"/>
      <c r="AF6" s="36"/>
      <c r="AG6" s="36"/>
      <c r="AI6" s="40" t="s">
        <v>15</v>
      </c>
      <c r="AJ6" s="41"/>
      <c r="AK6" s="41"/>
      <c r="AL6" s="42"/>
      <c r="AM6" s="35" t="s">
        <v>16</v>
      </c>
      <c r="AN6" s="36"/>
      <c r="AO6" s="36"/>
      <c r="AP6" s="36"/>
      <c r="AR6" s="40" t="s">
        <v>15</v>
      </c>
      <c r="AS6" s="41"/>
      <c r="AT6" s="41"/>
      <c r="AU6" s="42"/>
      <c r="AV6" s="35" t="s">
        <v>16</v>
      </c>
      <c r="AW6" s="36"/>
      <c r="AX6" s="36"/>
      <c r="AY6" s="36"/>
      <c r="BA6" s="40" t="s">
        <v>15</v>
      </c>
      <c r="BB6" s="41"/>
      <c r="BC6" s="41"/>
      <c r="BD6" s="42"/>
      <c r="BE6" s="35" t="s">
        <v>16</v>
      </c>
      <c r="BF6" s="36"/>
      <c r="BG6" s="36"/>
      <c r="BH6" s="36"/>
      <c r="BJ6" s="40" t="s">
        <v>15</v>
      </c>
      <c r="BK6" s="41"/>
      <c r="BL6" s="41"/>
      <c r="BM6" s="42"/>
      <c r="BN6" s="35" t="s">
        <v>16</v>
      </c>
      <c r="BO6" s="36"/>
      <c r="BP6" s="36"/>
      <c r="BQ6" s="36"/>
      <c r="BS6" s="40" t="s">
        <v>15</v>
      </c>
      <c r="BT6" s="41"/>
      <c r="BU6" s="41"/>
      <c r="BV6" s="42"/>
      <c r="BW6" s="35" t="s">
        <v>16</v>
      </c>
      <c r="BX6" s="36"/>
      <c r="BY6" s="36"/>
      <c r="BZ6" s="36"/>
    </row>
    <row r="7" spans="1:78" x14ac:dyDescent="0.25">
      <c r="A7" s="36"/>
      <c r="B7" s="11" t="s">
        <v>9</v>
      </c>
      <c r="C7" s="10">
        <v>249063</v>
      </c>
      <c r="D7" s="10">
        <v>249062</v>
      </c>
      <c r="E7" s="10">
        <v>249061</v>
      </c>
      <c r="F7" s="36"/>
      <c r="H7" s="2" t="s">
        <v>9</v>
      </c>
      <c r="I7" s="3">
        <v>249063</v>
      </c>
      <c r="J7" s="3">
        <v>249062</v>
      </c>
      <c r="K7" s="4">
        <v>249061</v>
      </c>
      <c r="L7" s="2" t="s">
        <v>9</v>
      </c>
      <c r="M7" s="3">
        <v>249063</v>
      </c>
      <c r="N7" s="3">
        <v>249062</v>
      </c>
      <c r="O7" s="4">
        <v>249061</v>
      </c>
      <c r="Q7" s="2" t="s">
        <v>9</v>
      </c>
      <c r="R7" s="3">
        <v>249063</v>
      </c>
      <c r="S7" s="3">
        <v>249062</v>
      </c>
      <c r="T7" s="4">
        <v>249061</v>
      </c>
      <c r="U7" s="2" t="s">
        <v>9</v>
      </c>
      <c r="V7" s="3">
        <v>249063</v>
      </c>
      <c r="W7" s="3">
        <v>249062</v>
      </c>
      <c r="X7" s="4">
        <v>249061</v>
      </c>
      <c r="Z7" s="2" t="s">
        <v>9</v>
      </c>
      <c r="AA7" s="3">
        <v>249063</v>
      </c>
      <c r="AB7" s="3">
        <v>249062</v>
      </c>
      <c r="AC7" s="4">
        <v>249061</v>
      </c>
      <c r="AD7" s="2" t="s">
        <v>9</v>
      </c>
      <c r="AE7" s="3">
        <v>249063</v>
      </c>
      <c r="AF7" s="3">
        <v>249062</v>
      </c>
      <c r="AG7" s="4">
        <v>249061</v>
      </c>
      <c r="AI7" s="2" t="s">
        <v>9</v>
      </c>
      <c r="AJ7" s="3">
        <v>249063</v>
      </c>
      <c r="AK7" s="3">
        <v>249062</v>
      </c>
      <c r="AL7" s="4">
        <v>249061</v>
      </c>
      <c r="AM7" s="2" t="s">
        <v>9</v>
      </c>
      <c r="AN7" s="3">
        <v>249063</v>
      </c>
      <c r="AO7" s="3">
        <v>249062</v>
      </c>
      <c r="AP7" s="4">
        <v>249061</v>
      </c>
      <c r="AR7" s="2" t="s">
        <v>9</v>
      </c>
      <c r="AS7" s="3">
        <v>249063</v>
      </c>
      <c r="AT7" s="3">
        <v>249062</v>
      </c>
      <c r="AU7" s="4">
        <v>249061</v>
      </c>
      <c r="AV7" s="2" t="s">
        <v>9</v>
      </c>
      <c r="AW7" s="3">
        <v>249063</v>
      </c>
      <c r="AX7" s="3">
        <v>249062</v>
      </c>
      <c r="AY7" s="4">
        <v>249061</v>
      </c>
      <c r="BA7" s="2" t="s">
        <v>9</v>
      </c>
      <c r="BB7" s="3">
        <v>249063</v>
      </c>
      <c r="BC7" s="3">
        <v>249062</v>
      </c>
      <c r="BD7" s="4">
        <v>249061</v>
      </c>
      <c r="BE7" s="2" t="s">
        <v>9</v>
      </c>
      <c r="BF7" s="3">
        <v>249063</v>
      </c>
      <c r="BG7" s="3">
        <v>249062</v>
      </c>
      <c r="BH7" s="4">
        <v>249061</v>
      </c>
      <c r="BJ7" s="2" t="s">
        <v>9</v>
      </c>
      <c r="BK7" s="3">
        <v>249063</v>
      </c>
      <c r="BL7" s="3">
        <v>249062</v>
      </c>
      <c r="BM7" s="4">
        <v>249061</v>
      </c>
      <c r="BN7" s="2" t="s">
        <v>9</v>
      </c>
      <c r="BO7" s="3">
        <v>249063</v>
      </c>
      <c r="BP7" s="3">
        <v>249062</v>
      </c>
      <c r="BQ7" s="4">
        <v>249061</v>
      </c>
      <c r="BS7" s="2" t="s">
        <v>9</v>
      </c>
      <c r="BT7" s="3">
        <v>249063</v>
      </c>
      <c r="BU7" s="3">
        <v>249062</v>
      </c>
      <c r="BV7" s="4">
        <v>249061</v>
      </c>
      <c r="BW7" s="2" t="s">
        <v>9</v>
      </c>
      <c r="BX7" s="3">
        <v>249063</v>
      </c>
      <c r="BY7" s="3">
        <v>249062</v>
      </c>
      <c r="BZ7" s="4">
        <v>249061</v>
      </c>
    </row>
    <row r="8" spans="1:78" x14ac:dyDescent="0.25">
      <c r="A8" s="48">
        <v>1</v>
      </c>
      <c r="B8" s="12">
        <v>55.6</v>
      </c>
      <c r="C8" s="12">
        <v>57.35</v>
      </c>
      <c r="D8" s="12">
        <v>55.5</v>
      </c>
      <c r="E8" s="12">
        <v>55.4</v>
      </c>
      <c r="F8" s="13">
        <v>1</v>
      </c>
      <c r="H8" s="14">
        <v>86.768529999999998</v>
      </c>
      <c r="I8" s="15">
        <v>86.881789999999995</v>
      </c>
      <c r="J8" s="15">
        <v>86.571659999999994</v>
      </c>
      <c r="K8" s="16">
        <v>86.684235000000001</v>
      </c>
      <c r="L8" s="5">
        <f>IF(OR(H8="",H8="NaN"),"",H8-AVERAGE(H$8:H$14))</f>
        <v>-0.9681992857143058</v>
      </c>
      <c r="M8" s="5">
        <f t="shared" ref="M8:O14" si="0">IF(OR(I8="",I8="NaN"),"",I8-AVERAGE(I$8:I$14))</f>
        <v>-0.97697628571428652</v>
      </c>
      <c r="N8" s="5">
        <f t="shared" si="0"/>
        <v>-1.0795450000000102</v>
      </c>
      <c r="O8" s="5">
        <f t="shared" si="0"/>
        <v>-0.87983571428573271</v>
      </c>
      <c r="P8" s="5"/>
      <c r="Q8" s="14">
        <v>51.625072000000003</v>
      </c>
      <c r="R8" s="15">
        <v>51.591408000000001</v>
      </c>
      <c r="S8" s="15">
        <v>51.771908000000003</v>
      </c>
      <c r="T8" s="16">
        <v>51.562027</v>
      </c>
      <c r="U8" s="5">
        <f>IF(OR(Q8="",Q8="NaN"),"",Q8-AVERAGE(Q$8:Q$14))</f>
        <v>-0.82078014285713152</v>
      </c>
      <c r="V8" s="5">
        <f t="shared" ref="V8:V14" si="1">IF(OR(R8="",R8="NaN"),"",R8-AVERAGE(R$8:R$14))</f>
        <v>-0.13370785714285205</v>
      </c>
      <c r="W8" s="5">
        <f t="shared" ref="W8:W14" si="2">IF(OR(S8="",S8="NaN"),"",S8-AVERAGE(S$8:S$14))</f>
        <v>-9.79401428571407E-2</v>
      </c>
      <c r="X8" s="5">
        <f t="shared" ref="X8:X14" si="3">IF(OR(T8="",T8="NaN"),"",T8-AVERAGE(T$8:T$14))</f>
        <v>-7.425128571428985E-2</v>
      </c>
      <c r="Y8" s="5"/>
      <c r="Z8" s="14">
        <v>14.714190500000001</v>
      </c>
      <c r="AA8" s="15">
        <v>14.967477000000001</v>
      </c>
      <c r="AB8" s="15">
        <v>14.7136345</v>
      </c>
      <c r="AC8" s="16">
        <v>15.293509</v>
      </c>
      <c r="AD8" s="5">
        <f>IF(OR(Z8="",Z8="NaN"),"",Z8-AVERAGE(Z$8:Z$14))</f>
        <v>2.1821844285714285</v>
      </c>
      <c r="AE8" s="5">
        <f t="shared" ref="AE8:AE14" si="4">IF(OR(AA8="",AA8="NaN"),"",AA8-AVERAGE(AA$8:AA$14))</f>
        <v>2.4491009285714274</v>
      </c>
      <c r="AF8" s="5">
        <f t="shared" ref="AF8:AF14" si="5">IF(OR(AB8="",AB8="NaN"),"",AB8-AVERAGE(AB$8:AB$14))</f>
        <v>1.9566217142857152</v>
      </c>
      <c r="AG8" s="5">
        <f t="shared" ref="AG8:AG14" si="6">IF(OR(AC8="",AC8="NaN"),"",AC8-AVERAGE(AC$8:AC$14))</f>
        <v>2.2725988571428566</v>
      </c>
      <c r="AH8" s="5"/>
      <c r="AI8" s="14">
        <v>7.8044542999999997</v>
      </c>
      <c r="AJ8" s="15">
        <v>7.6566879999999999</v>
      </c>
      <c r="AK8" s="15">
        <v>7.5523569999999998</v>
      </c>
      <c r="AL8" s="16">
        <v>7.5462870000000004</v>
      </c>
      <c r="AM8" s="5">
        <f>IF(OR(AI8="",AI8="NaN"),"",AI8-AVERAGE(AI$8:AI$14))</f>
        <v>0.34466612857142831</v>
      </c>
      <c r="AN8" s="5">
        <f t="shared" ref="AN8:AN14" si="7">IF(OR(AJ8="",AJ8="NaN"),"",AJ8-AVERAGE(AJ$8:AJ$14))</f>
        <v>0.16516514285714301</v>
      </c>
      <c r="AO8" s="5">
        <f t="shared" ref="AO8:AO14" si="8">IF(OR(AK8="",AK8="NaN"),"",AK8-AVERAGE(AK$8:AK$14))</f>
        <v>7.8042742857142855E-2</v>
      </c>
      <c r="AP8" s="5">
        <f t="shared" ref="AP8:AP14" si="9">IF(OR(AL8="",AL8="NaN"),"",AL8-AVERAGE(AL$8:AL$14))</f>
        <v>9.5942028571429638E-2</v>
      </c>
      <c r="AR8" s="14">
        <v>18.892776000000001</v>
      </c>
      <c r="AS8" s="15">
        <v>18.868321999999999</v>
      </c>
      <c r="AT8" s="15">
        <v>18.892776000000001</v>
      </c>
      <c r="AU8" s="16">
        <v>18.820530000000002</v>
      </c>
      <c r="AV8" s="5">
        <f>IF(OR(AR8="",AR8="NaN"),"",AR8-AVERAGE(AR$8:AR$14))</f>
        <v>7.6545000000002972E-2</v>
      </c>
      <c r="AW8" s="5">
        <f t="shared" ref="AW8:AW14" si="10">IF(OR(AS8="",AS8="NaN"),"",AS8-AVERAGE(AS$8:AS$14))</f>
        <v>0.13749542857142671</v>
      </c>
      <c r="AX8" s="5">
        <f t="shared" ref="AX8:AX14" si="11">IF(OR(AT8="",AT8="NaN"),"",AT8-AVERAGE(AT$8:AT$14))</f>
        <v>2.921142857142911E-2</v>
      </c>
      <c r="AY8" s="5">
        <f t="shared" ref="AY8:AY14" si="12">IF(OR(AU8="",AU8="NaN"),"",AU8-AVERAGE(AU$8:AU$14))</f>
        <v>0.13476857142857313</v>
      </c>
      <c r="BA8" s="14">
        <v>3.0997720000000002</v>
      </c>
      <c r="BB8" s="15">
        <v>3.1143179999999999</v>
      </c>
      <c r="BC8" s="15">
        <v>3.0997720000000002</v>
      </c>
      <c r="BD8" s="16">
        <v>3.0997720000000002</v>
      </c>
      <c r="BE8" s="5">
        <f>IF(OR(BA8="",BA8="NaN"),"",BA8-AVERAGE(BA$8:BA$14))</f>
        <v>7.5336957142857486E-2</v>
      </c>
      <c r="BF8" s="5">
        <f t="shared" ref="BF8:BF14" si="13">IF(OR(BB8="",BB8="NaN"),"",BB8-AVERAGE(BB$8:BB$14))</f>
        <v>7.24572142857145E-2</v>
      </c>
      <c r="BG8" s="5">
        <f t="shared" ref="BG8:BG14" si="14">IF(OR(BC8="",BC8="NaN"),"",BC8-AVERAGE(BC$8:BC$14))</f>
        <v>6.1043714285714756E-2</v>
      </c>
      <c r="BH8" s="5">
        <f t="shared" ref="BH8:BH14" si="15">IF(OR(BD8="",BD8="NaN"),"",BD8-AVERAGE(BD$8:BD$14))</f>
        <v>4.5837114285714797E-2</v>
      </c>
      <c r="BJ8" s="14">
        <v>5.1107950000000004</v>
      </c>
      <c r="BK8" s="15">
        <v>5.0974349999999999</v>
      </c>
      <c r="BL8" s="15">
        <v>4.2994403999999999</v>
      </c>
      <c r="BM8" s="16">
        <v>5.1185919999999996</v>
      </c>
      <c r="BN8" s="5">
        <f>IF(OR(BJ8="",BJ8="NaN"),"",BJ8-AVERAGE(BJ$8:BJ$14))</f>
        <v>1.8990472857142859</v>
      </c>
      <c r="BO8" s="5">
        <f t="shared" ref="BO8:BO14" si="16">IF(OR(BK8="",BK8="NaN"),"",BK8-AVERAGE(BK$8:BK$14))</f>
        <v>1.3226806999999998</v>
      </c>
      <c r="BP8" s="5">
        <f t="shared" ref="BP8:BP14" si="17">IF(OR(BL8="",BL8="NaN"),"",BL8-AVERAGE(BL$8:BL$14))</f>
        <v>1.4001299857142855</v>
      </c>
      <c r="BQ8" s="5">
        <f t="shared" ref="BQ8:BQ14" si="18">IF(OR(BM8="",BM8="NaN"),"",BM8-AVERAGE(BM$8:BM$14))</f>
        <v>1.6637210285714277</v>
      </c>
      <c r="BS8" s="14">
        <v>5.1102689999999997</v>
      </c>
      <c r="BT8" s="15">
        <v>5.0832452999999997</v>
      </c>
      <c r="BU8" s="15">
        <v>5.0190263000000002</v>
      </c>
      <c r="BV8" s="16">
        <v>5.1140914000000004</v>
      </c>
      <c r="BW8" s="5">
        <f>IF(OR(BS8="",BS8="NaN"),"",BS8-AVERAGE(BS$8:BS$14))</f>
        <v>-0.24604978571428582</v>
      </c>
      <c r="BX8" s="5">
        <f t="shared" ref="BX8:BX14" si="19">IF(OR(BT8="",BT8="NaN"),"",BT8-AVERAGE(BT$8:BT$14))</f>
        <v>-0.11458655714285815</v>
      </c>
      <c r="BY8" s="5">
        <f t="shared" ref="BY8:BY14" si="20">IF(OR(BU8="",BU8="NaN"),"",BU8-AVERAGE(BU$8:BU$14))</f>
        <v>-0.2596179714285709</v>
      </c>
      <c r="BZ8" s="5">
        <f t="shared" ref="BZ8:BZ14" si="21">IF(OR(BV8="",BV8="NaN"),"",BV8-AVERAGE(BV$8:BV$14))</f>
        <v>-0.10751802857142767</v>
      </c>
    </row>
    <row r="9" spans="1:78" x14ac:dyDescent="0.25">
      <c r="A9" s="38"/>
      <c r="B9" s="5">
        <v>46.3</v>
      </c>
      <c r="C9" s="5">
        <v>46.55</v>
      </c>
      <c r="D9" s="5">
        <v>45.7</v>
      </c>
      <c r="E9" s="5">
        <v>45.2</v>
      </c>
      <c r="F9" s="18">
        <v>6</v>
      </c>
      <c r="H9" s="19">
        <v>87.079949999999997</v>
      </c>
      <c r="I9" s="20">
        <v>86.839554000000007</v>
      </c>
      <c r="J9" s="20">
        <v>87.108069999999998</v>
      </c>
      <c r="K9" s="21">
        <v>87.016180000000006</v>
      </c>
      <c r="L9" s="5">
        <f t="shared" ref="L9:L14" si="22">IF(OR(H9="",H9="NaN"),"",H9-AVERAGE(H$8:H$14))</f>
        <v>-0.65677928571430755</v>
      </c>
      <c r="M9" s="5">
        <f t="shared" si="0"/>
        <v>-1.0192122857142749</v>
      </c>
      <c r="N9" s="5">
        <f t="shared" si="0"/>
        <v>-0.54313500000000658</v>
      </c>
      <c r="O9" s="5">
        <f t="shared" si="0"/>
        <v>-0.54789071428572811</v>
      </c>
      <c r="P9" s="5"/>
      <c r="Q9" s="19">
        <v>52.023097999999997</v>
      </c>
      <c r="R9" s="20">
        <v>51.135800000000003</v>
      </c>
      <c r="S9" s="20">
        <v>51.535747999999998</v>
      </c>
      <c r="T9" s="21">
        <v>51.319989999999997</v>
      </c>
      <c r="U9" s="5">
        <f t="shared" ref="U9:U14" si="23">IF(OR(Q9="",Q9="NaN"),"",Q9-AVERAGE(Q$8:Q$14))</f>
        <v>-0.42275414285713708</v>
      </c>
      <c r="V9" s="5">
        <f t="shared" si="1"/>
        <v>-0.58931585714285006</v>
      </c>
      <c r="W9" s="5">
        <f t="shared" si="2"/>
        <v>-0.33410014285714595</v>
      </c>
      <c r="X9" s="5">
        <f t="shared" si="3"/>
        <v>-0.31628828571429324</v>
      </c>
      <c r="Y9" s="5"/>
      <c r="Z9" s="19">
        <v>13.088699999999999</v>
      </c>
      <c r="AA9" s="20">
        <v>12.720262999999999</v>
      </c>
      <c r="AB9" s="20">
        <v>13.237821</v>
      </c>
      <c r="AC9" s="21">
        <v>13.320733000000001</v>
      </c>
      <c r="AD9" s="5">
        <f t="shared" ref="AD9:AD14" si="24">IF(OR(Z9="",Z9="NaN"),"",Z9-AVERAGE(Z$8:Z$14))</f>
        <v>0.55669392857142697</v>
      </c>
      <c r="AE9" s="5">
        <f t="shared" si="4"/>
        <v>0.20188692857142598</v>
      </c>
      <c r="AF9" s="5">
        <f t="shared" si="5"/>
        <v>0.48080821428571596</v>
      </c>
      <c r="AG9" s="5">
        <f t="shared" si="6"/>
        <v>0.29982285714285695</v>
      </c>
      <c r="AH9" s="5"/>
      <c r="AI9" s="19">
        <v>7.5247602000000002</v>
      </c>
      <c r="AJ9" s="20">
        <v>7.6047520000000004</v>
      </c>
      <c r="AK9" s="20">
        <v>7.5922312999999999</v>
      </c>
      <c r="AL9" s="21">
        <v>7.5533060000000001</v>
      </c>
      <c r="AM9" s="5">
        <f t="shared" ref="AM9:AM14" si="25">IF(OR(AI9="",AI9="NaN"),"",AI9-AVERAGE(AI$8:AI$14))</f>
        <v>6.4972028571428808E-2</v>
      </c>
      <c r="AN9" s="5">
        <f t="shared" si="7"/>
        <v>0.11322914285714347</v>
      </c>
      <c r="AO9" s="5">
        <f t="shared" si="8"/>
        <v>0.117917042857143</v>
      </c>
      <c r="AP9" s="5">
        <f t="shared" si="9"/>
        <v>0.1029610285714293</v>
      </c>
      <c r="AR9" s="19">
        <v>19.037227999999999</v>
      </c>
      <c r="AS9" s="20">
        <v>18.870816999999999</v>
      </c>
      <c r="AT9" s="20">
        <v>18.99999</v>
      </c>
      <c r="AU9" s="21">
        <v>18.821484000000002</v>
      </c>
      <c r="AV9" s="5">
        <f t="shared" ref="AV9:AV14" si="26">IF(OR(AR9="",AR9="NaN"),"",AR9-AVERAGE(AR$8:AR$14))</f>
        <v>0.22099700000000055</v>
      </c>
      <c r="AW9" s="5">
        <f t="shared" si="10"/>
        <v>0.13999042857142641</v>
      </c>
      <c r="AX9" s="5">
        <f t="shared" si="11"/>
        <v>0.13642542857142814</v>
      </c>
      <c r="AY9" s="5">
        <f t="shared" si="12"/>
        <v>0.13572257142857325</v>
      </c>
      <c r="BA9" s="19">
        <v>3.0921628000000001</v>
      </c>
      <c r="BB9" s="20">
        <v>3.0921628000000001</v>
      </c>
      <c r="BC9" s="20">
        <v>3.0921628000000001</v>
      </c>
      <c r="BD9" s="21">
        <v>3.0891454</v>
      </c>
      <c r="BE9" s="5">
        <f t="shared" ref="BE9:BE14" si="27">IF(OR(BA9="",BA9="NaN"),"",BA9-AVERAGE(BA$8:BA$14))</f>
        <v>6.7727757142857392E-2</v>
      </c>
      <c r="BF9" s="5">
        <f t="shared" si="13"/>
        <v>5.030201428571468E-2</v>
      </c>
      <c r="BG9" s="5">
        <f t="shared" si="14"/>
        <v>5.3434514285714663E-2</v>
      </c>
      <c r="BH9" s="5">
        <f t="shared" si="15"/>
        <v>3.5210514285714645E-2</v>
      </c>
      <c r="BJ9" s="19">
        <v>4.9798603000000004</v>
      </c>
      <c r="BK9" s="20">
        <v>4.8381319999999999</v>
      </c>
      <c r="BL9" s="20">
        <v>4.8104959999999997</v>
      </c>
      <c r="BM9" s="21">
        <v>5.3722430000000001</v>
      </c>
      <c r="BN9" s="5">
        <f t="shared" ref="BN9:BN14" si="28">IF(OR(BJ9="",BJ9="NaN"),"",BJ9-AVERAGE(BJ$8:BJ$14))</f>
        <v>1.7681125857142859</v>
      </c>
      <c r="BO9" s="5">
        <f t="shared" si="16"/>
        <v>1.0633776999999998</v>
      </c>
      <c r="BP9" s="5">
        <f t="shared" si="17"/>
        <v>1.9111855857142852</v>
      </c>
      <c r="BQ9" s="5">
        <f t="shared" si="18"/>
        <v>1.9173720285714282</v>
      </c>
      <c r="BS9" s="19">
        <v>4.9499789999999999</v>
      </c>
      <c r="BT9" s="20">
        <v>4.8121879999999999</v>
      </c>
      <c r="BU9" s="20">
        <v>4.9361625</v>
      </c>
      <c r="BV9" s="21">
        <v>4.8516589999999997</v>
      </c>
      <c r="BW9" s="5">
        <f t="shared" ref="BW9:BW14" si="29">IF(OR(BS9="",BS9="NaN"),"",BS9-AVERAGE(BS$8:BS$14))</f>
        <v>-0.40633978571428564</v>
      </c>
      <c r="BX9" s="5">
        <f t="shared" si="19"/>
        <v>-0.38564385714285798</v>
      </c>
      <c r="BY9" s="5">
        <f t="shared" si="20"/>
        <v>-0.34248177142857106</v>
      </c>
      <c r="BZ9" s="5">
        <f t="shared" si="21"/>
        <v>-0.36995042857142835</v>
      </c>
    </row>
    <row r="10" spans="1:78" x14ac:dyDescent="0.25">
      <c r="A10" s="38"/>
      <c r="B10" s="5">
        <v>39.4</v>
      </c>
      <c r="C10" s="5">
        <v>39.299999999999997</v>
      </c>
      <c r="D10" s="5">
        <v>39.349999999999987</v>
      </c>
      <c r="E10" s="5">
        <v>39.299999999999997</v>
      </c>
      <c r="F10" s="18">
        <v>11</v>
      </c>
      <c r="H10" s="19">
        <v>87.049970000000002</v>
      </c>
      <c r="I10" s="20">
        <v>87.602260000000001</v>
      </c>
      <c r="J10" s="20">
        <v>87.309280000000001</v>
      </c>
      <c r="K10" s="21">
        <v>87.348680000000002</v>
      </c>
      <c r="L10" s="5">
        <f t="shared" si="22"/>
        <v>-0.68675928571430234</v>
      </c>
      <c r="M10" s="5">
        <f t="shared" si="0"/>
        <v>-0.25650628571428058</v>
      </c>
      <c r="N10" s="5">
        <f t="shared" si="0"/>
        <v>-0.34192500000000337</v>
      </c>
      <c r="O10" s="5">
        <f t="shared" si="0"/>
        <v>-0.21539071428573209</v>
      </c>
      <c r="P10" s="5"/>
      <c r="Q10" s="19">
        <v>52.102108000000001</v>
      </c>
      <c r="R10" s="20">
        <v>50.835050000000003</v>
      </c>
      <c r="S10" s="20">
        <v>51.854233000000001</v>
      </c>
      <c r="T10" s="21">
        <v>51.532609999999998</v>
      </c>
      <c r="U10" s="5">
        <f t="shared" si="23"/>
        <v>-0.34374414285713328</v>
      </c>
      <c r="V10" s="5">
        <f t="shared" si="1"/>
        <v>-0.8900658571428508</v>
      </c>
      <c r="W10" s="5">
        <f t="shared" si="2"/>
        <v>-1.5615142857143383E-2</v>
      </c>
      <c r="X10" s="5">
        <f t="shared" si="3"/>
        <v>-0.1036682857142921</v>
      </c>
      <c r="Y10" s="5"/>
      <c r="Z10" s="19">
        <v>12.738777000000001</v>
      </c>
      <c r="AA10" s="20">
        <v>12.702064500000001</v>
      </c>
      <c r="AB10" s="20">
        <v>12.823414</v>
      </c>
      <c r="AC10" s="21">
        <v>13.116716</v>
      </c>
      <c r="AD10" s="5">
        <f t="shared" si="24"/>
        <v>0.20677092857142831</v>
      </c>
      <c r="AE10" s="5">
        <f t="shared" si="4"/>
        <v>0.18368842857142731</v>
      </c>
      <c r="AF10" s="5">
        <f t="shared" si="5"/>
        <v>6.6401214285715326E-2</v>
      </c>
      <c r="AG10" s="5">
        <f t="shared" si="6"/>
        <v>9.580585714285661E-2</v>
      </c>
      <c r="AH10" s="5"/>
      <c r="AI10" s="19">
        <v>7.5191875000000001</v>
      </c>
      <c r="AJ10" s="20">
        <v>7.6342869999999996</v>
      </c>
      <c r="AK10" s="20">
        <v>7.4755076999999996</v>
      </c>
      <c r="AL10" s="21">
        <v>7.5606879999999999</v>
      </c>
      <c r="AM10" s="5">
        <f t="shared" si="25"/>
        <v>5.9399328571428711E-2</v>
      </c>
      <c r="AN10" s="5">
        <f t="shared" si="7"/>
        <v>0.14276414285714267</v>
      </c>
      <c r="AO10" s="5">
        <f t="shared" si="8"/>
        <v>1.1934428571427347E-3</v>
      </c>
      <c r="AP10" s="5">
        <f t="shared" si="9"/>
        <v>0.11034302857142908</v>
      </c>
      <c r="AR10" s="19">
        <v>18.584755000000001</v>
      </c>
      <c r="AS10" s="20">
        <v>18.550664999999999</v>
      </c>
      <c r="AT10" s="20">
        <v>18.647789</v>
      </c>
      <c r="AU10" s="21">
        <v>18.755634000000001</v>
      </c>
      <c r="AV10" s="5">
        <f t="shared" si="26"/>
        <v>-0.23147599999999713</v>
      </c>
      <c r="AW10" s="5">
        <f t="shared" si="10"/>
        <v>-0.18016157142857381</v>
      </c>
      <c r="AX10" s="5">
        <f t="shared" si="11"/>
        <v>-0.21577557142857273</v>
      </c>
      <c r="AY10" s="5">
        <f t="shared" si="12"/>
        <v>6.9872571428572172E-2</v>
      </c>
      <c r="BA10" s="19">
        <v>3.0816442999999998</v>
      </c>
      <c r="BB10" s="20">
        <v>3.0928575999999999</v>
      </c>
      <c r="BC10" s="20">
        <v>3.0921628000000001</v>
      </c>
      <c r="BD10" s="21">
        <v>3.0921628000000001</v>
      </c>
      <c r="BE10" s="5">
        <f t="shared" si="27"/>
        <v>5.7209257142857073E-2</v>
      </c>
      <c r="BF10" s="5">
        <f t="shared" si="13"/>
        <v>5.0996814285714454E-2</v>
      </c>
      <c r="BG10" s="5">
        <f t="shared" si="14"/>
        <v>5.3434514285714663E-2</v>
      </c>
      <c r="BH10" s="5">
        <f t="shared" si="15"/>
        <v>3.8227914285714704E-2</v>
      </c>
      <c r="BJ10" s="19">
        <v>3.4316586999999998</v>
      </c>
      <c r="BK10" s="20">
        <v>5.4026069999999997</v>
      </c>
      <c r="BL10" s="20">
        <v>2.5012623999999999</v>
      </c>
      <c r="BM10" s="21">
        <v>5.0608639999999996</v>
      </c>
      <c r="BN10" s="5">
        <f t="shared" si="28"/>
        <v>0.21991098571428536</v>
      </c>
      <c r="BO10" s="5">
        <f t="shared" si="16"/>
        <v>1.6278526999999996</v>
      </c>
      <c r="BP10" s="5">
        <f t="shared" si="17"/>
        <v>-0.39804801428571457</v>
      </c>
      <c r="BQ10" s="5">
        <f t="shared" si="18"/>
        <v>1.6059930285714277</v>
      </c>
      <c r="BS10" s="19">
        <v>5.087326</v>
      </c>
      <c r="BT10" s="20">
        <v>4.8847923</v>
      </c>
      <c r="BU10" s="20">
        <v>5.0049539999999997</v>
      </c>
      <c r="BV10" s="21">
        <v>4.9711866000000002</v>
      </c>
      <c r="BW10" s="5">
        <f t="shared" si="29"/>
        <v>-0.26899278571428553</v>
      </c>
      <c r="BX10" s="5">
        <f t="shared" si="19"/>
        <v>-0.31303955714285792</v>
      </c>
      <c r="BY10" s="5">
        <f t="shared" si="20"/>
        <v>-0.27369027142857139</v>
      </c>
      <c r="BZ10" s="5">
        <f t="shared" si="21"/>
        <v>-0.25042282857142784</v>
      </c>
    </row>
    <row r="11" spans="1:78" x14ac:dyDescent="0.25">
      <c r="A11" s="38"/>
      <c r="B11" s="5">
        <v>31.15</v>
      </c>
      <c r="C11" s="5">
        <v>31.6</v>
      </c>
      <c r="D11" s="5">
        <v>30.95</v>
      </c>
      <c r="E11" s="5">
        <v>30.5</v>
      </c>
      <c r="F11" s="18">
        <v>16</v>
      </c>
      <c r="H11" s="19">
        <v>87.990340000000003</v>
      </c>
      <c r="I11" s="20">
        <v>87.936670000000007</v>
      </c>
      <c r="J11" s="20">
        <v>87.873665000000003</v>
      </c>
      <c r="K11" s="21">
        <v>87.137630000000001</v>
      </c>
      <c r="L11" s="5">
        <f t="shared" si="22"/>
        <v>0.25361071428569915</v>
      </c>
      <c r="M11" s="5">
        <f t="shared" si="0"/>
        <v>7.7903714285724845E-2</v>
      </c>
      <c r="N11" s="5">
        <f t="shared" si="0"/>
        <v>0.2224599999999981</v>
      </c>
      <c r="O11" s="5">
        <f t="shared" si="0"/>
        <v>-0.42644071428573227</v>
      </c>
      <c r="P11" s="5"/>
      <c r="Q11" s="19">
        <v>53.639274999999998</v>
      </c>
      <c r="R11" s="20">
        <v>51.031695999999997</v>
      </c>
      <c r="S11" s="20">
        <v>51.323647000000001</v>
      </c>
      <c r="T11" s="21">
        <v>51.348059999999997</v>
      </c>
      <c r="U11" s="5">
        <f t="shared" si="23"/>
        <v>1.1934228571428633</v>
      </c>
      <c r="V11" s="5">
        <f t="shared" si="1"/>
        <v>-0.6934198571428567</v>
      </c>
      <c r="W11" s="5">
        <f t="shared" si="2"/>
        <v>-0.54620114285714294</v>
      </c>
      <c r="X11" s="5">
        <f t="shared" si="3"/>
        <v>-0.28821828571429364</v>
      </c>
      <c r="Y11" s="5"/>
      <c r="Z11" s="19">
        <v>12.178988</v>
      </c>
      <c r="AA11" s="20">
        <v>12.039787</v>
      </c>
      <c r="AB11" s="20">
        <v>12.656924</v>
      </c>
      <c r="AC11" s="21">
        <v>13.062147</v>
      </c>
      <c r="AD11" s="5">
        <f t="shared" si="24"/>
        <v>-0.353018071428572</v>
      </c>
      <c r="AE11" s="5">
        <f t="shared" si="4"/>
        <v>-0.47858907142857277</v>
      </c>
      <c r="AF11" s="5">
        <f t="shared" si="5"/>
        <v>-0.10008878571428426</v>
      </c>
      <c r="AG11" s="5">
        <f t="shared" si="6"/>
        <v>4.1236857142855854E-2</v>
      </c>
      <c r="AH11" s="5"/>
      <c r="AI11" s="19">
        <v>7.1342854000000004</v>
      </c>
      <c r="AJ11" s="20">
        <v>7.6439170000000001</v>
      </c>
      <c r="AK11" s="20">
        <v>7.5778774999999996</v>
      </c>
      <c r="AL11" s="21">
        <v>7.5648799999999996</v>
      </c>
      <c r="AM11" s="5">
        <f t="shared" si="25"/>
        <v>-0.32550277142857098</v>
      </c>
      <c r="AN11" s="5">
        <f t="shared" si="7"/>
        <v>0.15239414285714314</v>
      </c>
      <c r="AO11" s="5">
        <f t="shared" si="8"/>
        <v>0.10356324285714269</v>
      </c>
      <c r="AP11" s="5">
        <f t="shared" si="9"/>
        <v>0.11453502857142883</v>
      </c>
      <c r="AR11" s="19">
        <v>18.455052999999999</v>
      </c>
      <c r="AS11" s="20">
        <v>18.374642999999999</v>
      </c>
      <c r="AT11" s="20">
        <v>18.333169999999999</v>
      </c>
      <c r="AU11" s="21">
        <v>18.672122999999999</v>
      </c>
      <c r="AV11" s="5">
        <f t="shared" si="26"/>
        <v>-0.36117799999999889</v>
      </c>
      <c r="AW11" s="5">
        <f t="shared" si="10"/>
        <v>-0.35618357142857349</v>
      </c>
      <c r="AX11" s="5">
        <f t="shared" si="11"/>
        <v>-0.53039457142857316</v>
      </c>
      <c r="AY11" s="5">
        <f t="shared" si="12"/>
        <v>-1.3638428571429273E-2</v>
      </c>
      <c r="BA11" s="19">
        <v>3.0747100999999999</v>
      </c>
      <c r="BB11" s="20">
        <v>3.0822856000000001</v>
      </c>
      <c r="BC11" s="20">
        <v>3.0902889</v>
      </c>
      <c r="BD11" s="21">
        <v>3.0788470000000001</v>
      </c>
      <c r="BE11" s="5">
        <f t="shared" si="27"/>
        <v>5.0275057142857182E-2</v>
      </c>
      <c r="BF11" s="5">
        <f t="shared" si="13"/>
        <v>4.042481428571465E-2</v>
      </c>
      <c r="BG11" s="5">
        <f t="shared" si="14"/>
        <v>5.1560614285714568E-2</v>
      </c>
      <c r="BH11" s="5">
        <f t="shared" si="15"/>
        <v>2.4912114285714715E-2</v>
      </c>
      <c r="BJ11" s="19">
        <v>2.8662638999999999</v>
      </c>
      <c r="BK11" s="20">
        <v>5.4368676999999996</v>
      </c>
      <c r="BL11" s="20">
        <v>2.9121741999999999</v>
      </c>
      <c r="BM11" s="21">
        <v>3.0955477</v>
      </c>
      <c r="BN11" s="5">
        <f t="shared" si="28"/>
        <v>-0.34548381428571462</v>
      </c>
      <c r="BO11" s="5">
        <f t="shared" si="16"/>
        <v>1.6621133999999995</v>
      </c>
      <c r="BP11" s="5">
        <f t="shared" si="17"/>
        <v>1.2863785714285481E-2</v>
      </c>
      <c r="BQ11" s="5">
        <f t="shared" si="18"/>
        <v>-0.3593232714285719</v>
      </c>
      <c r="BS11" s="19">
        <v>5.2971124999999999</v>
      </c>
      <c r="BT11" s="20">
        <v>5.0230309999999996</v>
      </c>
      <c r="BU11" s="20">
        <v>5.0995189999999999</v>
      </c>
      <c r="BV11" s="21">
        <v>5.0053799999999997</v>
      </c>
      <c r="BW11" s="5">
        <f t="shared" si="29"/>
        <v>-5.9206285714285656E-2</v>
      </c>
      <c r="BX11" s="5">
        <f t="shared" si="19"/>
        <v>-0.17480085714285831</v>
      </c>
      <c r="BY11" s="5">
        <f t="shared" si="20"/>
        <v>-0.17912527142857115</v>
      </c>
      <c r="BZ11" s="5">
        <f t="shared" si="21"/>
        <v>-0.21622942857142835</v>
      </c>
    </row>
    <row r="12" spans="1:78" x14ac:dyDescent="0.25">
      <c r="A12" s="38"/>
      <c r="B12" s="5">
        <v>24.2</v>
      </c>
      <c r="C12" s="5">
        <v>24.2</v>
      </c>
      <c r="D12" s="5">
        <v>24.1</v>
      </c>
      <c r="E12" s="5">
        <v>24</v>
      </c>
      <c r="F12" s="18">
        <v>21</v>
      </c>
      <c r="H12" s="19">
        <v>88.308189999999996</v>
      </c>
      <c r="I12" s="20">
        <v>88.422160000000005</v>
      </c>
      <c r="J12" s="20">
        <v>88.113330000000005</v>
      </c>
      <c r="K12" s="21">
        <v>88.038120000000006</v>
      </c>
      <c r="L12" s="5">
        <f t="shared" si="22"/>
        <v>0.57146071428569201</v>
      </c>
      <c r="M12" s="5">
        <f t="shared" si="0"/>
        <v>0.56339371428572349</v>
      </c>
      <c r="N12" s="5">
        <f t="shared" si="0"/>
        <v>0.46212500000000034</v>
      </c>
      <c r="O12" s="5">
        <f t="shared" si="0"/>
        <v>0.47404928571427263</v>
      </c>
      <c r="P12" s="5"/>
      <c r="Q12" s="19">
        <v>52.284514999999999</v>
      </c>
      <c r="R12" s="20">
        <v>52.742767000000001</v>
      </c>
      <c r="S12" s="20">
        <v>52.018256999999998</v>
      </c>
      <c r="T12" s="21">
        <v>51.434303</v>
      </c>
      <c r="U12" s="5">
        <f t="shared" si="23"/>
        <v>-0.16133714285713552</v>
      </c>
      <c r="V12" s="5">
        <f t="shared" si="1"/>
        <v>1.0176511428571473</v>
      </c>
      <c r="W12" s="5">
        <f t="shared" si="2"/>
        <v>0.14840885714285434</v>
      </c>
      <c r="X12" s="5">
        <f t="shared" si="3"/>
        <v>-0.20197528571429046</v>
      </c>
      <c r="Y12" s="5"/>
      <c r="Z12" s="19">
        <v>12.021414</v>
      </c>
      <c r="AA12" s="20">
        <v>11.876085</v>
      </c>
      <c r="AB12" s="20">
        <v>12.294840000000001</v>
      </c>
      <c r="AC12" s="21">
        <v>12.548647000000001</v>
      </c>
      <c r="AD12" s="5">
        <f t="shared" si="24"/>
        <v>-0.51059207142857232</v>
      </c>
      <c r="AE12" s="5">
        <f t="shared" si="4"/>
        <v>-0.64229107142857345</v>
      </c>
      <c r="AF12" s="5">
        <f t="shared" si="5"/>
        <v>-0.46217278571428366</v>
      </c>
      <c r="AG12" s="5">
        <f t="shared" si="6"/>
        <v>-0.47226314285714288</v>
      </c>
      <c r="AH12" s="5"/>
      <c r="AI12" s="19">
        <v>7.3156404000000004</v>
      </c>
      <c r="AJ12" s="20">
        <v>7.1925929999999996</v>
      </c>
      <c r="AK12" s="20">
        <v>7.255312</v>
      </c>
      <c r="AL12" s="21">
        <v>7.2563662999999998</v>
      </c>
      <c r="AM12" s="5">
        <f t="shared" si="25"/>
        <v>-0.14414777142857105</v>
      </c>
      <c r="AN12" s="5">
        <f t="shared" si="7"/>
        <v>-0.29892985714285736</v>
      </c>
      <c r="AO12" s="5">
        <f t="shared" si="8"/>
        <v>-0.21900225714285693</v>
      </c>
      <c r="AP12" s="5">
        <f t="shared" si="9"/>
        <v>-0.19397867142857095</v>
      </c>
      <c r="AR12" s="19">
        <v>18.870833999999999</v>
      </c>
      <c r="AS12" s="20">
        <v>18.702020000000001</v>
      </c>
      <c r="AT12" s="20">
        <v>19.142921000000001</v>
      </c>
      <c r="AU12" s="21">
        <v>18.353577000000001</v>
      </c>
      <c r="AV12" s="5">
        <f t="shared" si="26"/>
        <v>5.4603000000000179E-2</v>
      </c>
      <c r="AW12" s="5">
        <f t="shared" si="10"/>
        <v>-2.8806571428571459E-2</v>
      </c>
      <c r="AX12" s="5">
        <f t="shared" si="11"/>
        <v>0.27935642857142895</v>
      </c>
      <c r="AY12" s="5">
        <f t="shared" si="12"/>
        <v>-0.33218442857142705</v>
      </c>
      <c r="BA12" s="19">
        <v>2.9950078000000002</v>
      </c>
      <c r="BB12" s="20">
        <v>3.0117400000000001</v>
      </c>
      <c r="BC12" s="20">
        <v>2.9971139999999998</v>
      </c>
      <c r="BD12" s="21">
        <v>3.0708437000000002</v>
      </c>
      <c r="BE12" s="5">
        <f t="shared" si="27"/>
        <v>-2.9427242857142488E-2</v>
      </c>
      <c r="BF12" s="5">
        <f t="shared" si="13"/>
        <v>-3.0120785714285336E-2</v>
      </c>
      <c r="BG12" s="5">
        <f t="shared" si="14"/>
        <v>-4.1614285714285604E-2</v>
      </c>
      <c r="BH12" s="5">
        <f t="shared" si="15"/>
        <v>1.6908814285714779E-2</v>
      </c>
      <c r="BJ12" s="19">
        <v>2.0169275</v>
      </c>
      <c r="BK12" s="20">
        <v>1.6517906</v>
      </c>
      <c r="BL12" s="20">
        <v>1.8926909000000001</v>
      </c>
      <c r="BM12" s="21">
        <v>1.7173795000000001</v>
      </c>
      <c r="BN12" s="5">
        <f t="shared" si="28"/>
        <v>-1.1948202142857145</v>
      </c>
      <c r="BO12" s="5">
        <f t="shared" si="16"/>
        <v>-2.1229637000000001</v>
      </c>
      <c r="BP12" s="5">
        <f t="shared" si="17"/>
        <v>-1.0066195142857144</v>
      </c>
      <c r="BQ12" s="5">
        <f t="shared" si="18"/>
        <v>-1.7374914714285719</v>
      </c>
      <c r="BS12" s="19">
        <v>5.4341609999999996</v>
      </c>
      <c r="BT12" s="20">
        <v>5.1581419999999998</v>
      </c>
      <c r="BU12" s="20">
        <v>5.2682995999999997</v>
      </c>
      <c r="BV12" s="21">
        <v>5.1925290000000004</v>
      </c>
      <c r="BW12" s="5">
        <f t="shared" si="29"/>
        <v>7.7842214285714029E-2</v>
      </c>
      <c r="BX12" s="5">
        <f t="shared" si="19"/>
        <v>-3.9689857142858109E-2</v>
      </c>
      <c r="BY12" s="5">
        <f t="shared" si="20"/>
        <v>-1.0344671428571317E-2</v>
      </c>
      <c r="BZ12" s="5">
        <f t="shared" si="21"/>
        <v>-2.9080428571427674E-2</v>
      </c>
    </row>
    <row r="13" spans="1:78" x14ac:dyDescent="0.25">
      <c r="A13" s="38"/>
      <c r="B13" s="5">
        <v>19.7</v>
      </c>
      <c r="C13" s="5">
        <v>19.75</v>
      </c>
      <c r="D13" s="5">
        <v>19.55</v>
      </c>
      <c r="E13" s="5">
        <v>19.5</v>
      </c>
      <c r="F13" s="18">
        <v>26</v>
      </c>
      <c r="H13" s="19">
        <v>88.406684999999996</v>
      </c>
      <c r="I13" s="20">
        <v>88.478499999999997</v>
      </c>
      <c r="J13" s="20">
        <v>88.308920000000001</v>
      </c>
      <c r="K13" s="21">
        <v>88.259820000000005</v>
      </c>
      <c r="L13" s="5">
        <f t="shared" si="22"/>
        <v>0.66995571428569178</v>
      </c>
      <c r="M13" s="5">
        <f t="shared" si="0"/>
        <v>0.61973371428571511</v>
      </c>
      <c r="N13" s="5">
        <f t="shared" si="0"/>
        <v>0.65771499999999605</v>
      </c>
      <c r="O13" s="5">
        <f t="shared" si="0"/>
        <v>0.69574928571427108</v>
      </c>
      <c r="P13" s="5"/>
      <c r="Q13" s="19">
        <v>52.680860000000003</v>
      </c>
      <c r="R13" s="20">
        <v>52.581283999999997</v>
      </c>
      <c r="S13" s="20">
        <v>51.715214000000003</v>
      </c>
      <c r="T13" s="21">
        <v>51.867725</v>
      </c>
      <c r="U13" s="5">
        <f t="shared" si="23"/>
        <v>0.2350078571428682</v>
      </c>
      <c r="V13" s="5">
        <f t="shared" si="1"/>
        <v>0.85616814285714327</v>
      </c>
      <c r="W13" s="5">
        <f t="shared" si="2"/>
        <v>-0.15463414285714094</v>
      </c>
      <c r="X13" s="5">
        <f t="shared" si="3"/>
        <v>0.23144671428570973</v>
      </c>
      <c r="Y13" s="5"/>
      <c r="Z13" s="19">
        <v>11.420063000000001</v>
      </c>
      <c r="AA13" s="20">
        <v>11.606092</v>
      </c>
      <c r="AB13" s="20">
        <v>11.778485999999999</v>
      </c>
      <c r="AC13" s="21">
        <v>11.990465</v>
      </c>
      <c r="AD13" s="5">
        <f t="shared" si="24"/>
        <v>-1.1119430714285716</v>
      </c>
      <c r="AE13" s="5">
        <f t="shared" si="4"/>
        <v>-0.91228407142857293</v>
      </c>
      <c r="AF13" s="5">
        <f t="shared" si="5"/>
        <v>-0.9785267857142852</v>
      </c>
      <c r="AG13" s="5">
        <f t="shared" si="6"/>
        <v>-1.0304451428571433</v>
      </c>
      <c r="AH13" s="5"/>
      <c r="AI13" s="19">
        <v>7.3959393999999996</v>
      </c>
      <c r="AJ13" s="20">
        <v>7.2962730000000002</v>
      </c>
      <c r="AK13" s="20">
        <v>7.3331875999999996</v>
      </c>
      <c r="AL13" s="21">
        <v>7.2383885000000001</v>
      </c>
      <c r="AM13" s="5">
        <f t="shared" si="25"/>
        <v>-6.3848771428571816E-2</v>
      </c>
      <c r="AN13" s="5">
        <f t="shared" si="7"/>
        <v>-0.1952498571428567</v>
      </c>
      <c r="AO13" s="5">
        <f t="shared" si="8"/>
        <v>-0.14112665714285733</v>
      </c>
      <c r="AP13" s="5">
        <f t="shared" si="9"/>
        <v>-0.21195647142857066</v>
      </c>
      <c r="AR13" s="19">
        <v>19.052005999999999</v>
      </c>
      <c r="AS13" s="20">
        <v>19.156395</v>
      </c>
      <c r="AT13" s="20">
        <v>19.267507999999999</v>
      </c>
      <c r="AU13" s="21">
        <v>19.030548</v>
      </c>
      <c r="AV13" s="5">
        <f t="shared" si="26"/>
        <v>0.23577500000000029</v>
      </c>
      <c r="AW13" s="5">
        <f t="shared" si="10"/>
        <v>0.4255684285714274</v>
      </c>
      <c r="AX13" s="5">
        <f t="shared" si="11"/>
        <v>0.40394342857142718</v>
      </c>
      <c r="AY13" s="5">
        <f t="shared" si="12"/>
        <v>0.34478657142857116</v>
      </c>
      <c r="BA13" s="19">
        <v>2.9314746999999999</v>
      </c>
      <c r="BB13" s="20">
        <v>3.0106772999999998</v>
      </c>
      <c r="BC13" s="20">
        <v>2.9971139999999998</v>
      </c>
      <c r="BD13" s="21">
        <v>2.9971139999999998</v>
      </c>
      <c r="BE13" s="5">
        <f t="shared" si="27"/>
        <v>-9.296034285714283E-2</v>
      </c>
      <c r="BF13" s="5">
        <f t="shared" si="13"/>
        <v>-3.1183485714285641E-2</v>
      </c>
      <c r="BG13" s="5">
        <f t="shared" si="14"/>
        <v>-4.1614285714285604E-2</v>
      </c>
      <c r="BH13" s="5">
        <f t="shared" si="15"/>
        <v>-5.6820885714285563E-2</v>
      </c>
      <c r="BJ13" s="19">
        <v>2.0555352999999998</v>
      </c>
      <c r="BK13" s="20">
        <v>1.8332218</v>
      </c>
      <c r="BL13" s="20">
        <v>1.9303174999999999</v>
      </c>
      <c r="BM13" s="21">
        <v>1.8113896</v>
      </c>
      <c r="BN13" s="5">
        <f t="shared" si="28"/>
        <v>-1.1562124142857146</v>
      </c>
      <c r="BO13" s="5">
        <f t="shared" si="16"/>
        <v>-1.9415325000000001</v>
      </c>
      <c r="BP13" s="5">
        <f t="shared" si="17"/>
        <v>-0.96899291428571455</v>
      </c>
      <c r="BQ13" s="5">
        <f t="shared" si="18"/>
        <v>-1.6434813714285719</v>
      </c>
      <c r="BS13" s="19">
        <v>5.6043649999999996</v>
      </c>
      <c r="BT13" s="20">
        <v>5.3354863999999997</v>
      </c>
      <c r="BU13" s="20">
        <v>5.4871854999999998</v>
      </c>
      <c r="BV13" s="21">
        <v>5.4637409999999997</v>
      </c>
      <c r="BW13" s="5">
        <f t="shared" si="29"/>
        <v>0.24804621428571405</v>
      </c>
      <c r="BX13" s="5">
        <f t="shared" si="19"/>
        <v>0.13765454285714185</v>
      </c>
      <c r="BY13" s="5">
        <f t="shared" si="20"/>
        <v>0.20854122857142876</v>
      </c>
      <c r="BZ13" s="5">
        <f t="shared" si="21"/>
        <v>0.24213157142857167</v>
      </c>
    </row>
    <row r="14" spans="1:78" x14ac:dyDescent="0.25">
      <c r="A14" s="38"/>
      <c r="B14" s="5">
        <v>11.6</v>
      </c>
      <c r="C14" s="5">
        <v>11.5</v>
      </c>
      <c r="D14" s="5">
        <v>11.85</v>
      </c>
      <c r="E14" s="5">
        <v>11.9</v>
      </c>
      <c r="F14" s="18">
        <v>31</v>
      </c>
      <c r="H14" s="19">
        <v>88.553439999999995</v>
      </c>
      <c r="I14" s="20">
        <v>88.850430000000003</v>
      </c>
      <c r="J14" s="20">
        <v>88.273510000000002</v>
      </c>
      <c r="K14" s="21">
        <v>88.463830000000002</v>
      </c>
      <c r="L14" s="5">
        <f t="shared" si="22"/>
        <v>0.81671071428569064</v>
      </c>
      <c r="M14" s="5">
        <f t="shared" si="0"/>
        <v>0.9916637142857212</v>
      </c>
      <c r="N14" s="5">
        <f t="shared" si="0"/>
        <v>0.62230499999999722</v>
      </c>
      <c r="O14" s="5">
        <f t="shared" si="0"/>
        <v>0.89975928571426778</v>
      </c>
      <c r="P14" s="5"/>
      <c r="Q14" s="19">
        <v>52.766036999999997</v>
      </c>
      <c r="R14" s="20">
        <v>52.157806000000001</v>
      </c>
      <c r="S14" s="20">
        <v>52.869929999999997</v>
      </c>
      <c r="T14" s="21">
        <v>52.389232999999997</v>
      </c>
      <c r="U14" s="5">
        <f t="shared" si="23"/>
        <v>0.32018485714286271</v>
      </c>
      <c r="V14" s="5">
        <f t="shared" si="1"/>
        <v>0.43269014285714746</v>
      </c>
      <c r="W14" s="5">
        <f t="shared" si="2"/>
        <v>1.0000818571428525</v>
      </c>
      <c r="X14" s="5">
        <f t="shared" si="3"/>
        <v>0.75295471428570693</v>
      </c>
      <c r="Y14" s="5"/>
      <c r="Z14" s="19">
        <v>11.561909999999999</v>
      </c>
      <c r="AA14" s="20">
        <v>11.716863999999999</v>
      </c>
      <c r="AB14" s="20">
        <v>11.79397</v>
      </c>
      <c r="AC14" s="21">
        <v>11.814154</v>
      </c>
      <c r="AD14" s="5">
        <f t="shared" si="24"/>
        <v>-0.97009607142857313</v>
      </c>
      <c r="AE14" s="5">
        <f t="shared" si="4"/>
        <v>-0.80151207142857395</v>
      </c>
      <c r="AF14" s="5">
        <f t="shared" si="5"/>
        <v>-0.96304278571428448</v>
      </c>
      <c r="AG14" s="5">
        <f t="shared" si="6"/>
        <v>-1.2067561428571434</v>
      </c>
      <c r="AH14" s="5"/>
      <c r="AI14" s="19">
        <v>7.5242500000000003</v>
      </c>
      <c r="AJ14" s="20">
        <v>7.4121499999999996</v>
      </c>
      <c r="AK14" s="20">
        <v>7.5337266999999999</v>
      </c>
      <c r="AL14" s="21">
        <v>7.432499</v>
      </c>
      <c r="AM14" s="5">
        <f t="shared" si="25"/>
        <v>6.4461828571428903E-2</v>
      </c>
      <c r="AN14" s="5">
        <f t="shared" si="7"/>
        <v>-7.9372857142857356E-2</v>
      </c>
      <c r="AO14" s="5">
        <f t="shared" si="8"/>
        <v>5.9412442857142977E-2</v>
      </c>
      <c r="AP14" s="5">
        <f t="shared" si="9"/>
        <v>-1.7845971428570806E-2</v>
      </c>
      <c r="AR14" s="19">
        <v>18.820965000000001</v>
      </c>
      <c r="AS14" s="20">
        <v>18.592924</v>
      </c>
      <c r="AT14" s="20">
        <v>18.760798000000001</v>
      </c>
      <c r="AU14" s="21">
        <v>18.346433999999999</v>
      </c>
      <c r="AV14" s="5">
        <f t="shared" si="26"/>
        <v>4.7340000000026805E-3</v>
      </c>
      <c r="AW14" s="5">
        <f t="shared" si="10"/>
        <v>-0.13790257142857243</v>
      </c>
      <c r="AX14" s="5">
        <f t="shared" si="11"/>
        <v>-0.10276657142857104</v>
      </c>
      <c r="AY14" s="5">
        <f t="shared" si="12"/>
        <v>-0.33932742857142983</v>
      </c>
      <c r="BA14" s="19">
        <v>2.8962735999999998</v>
      </c>
      <c r="BB14" s="20">
        <v>2.8889841999999999</v>
      </c>
      <c r="BC14" s="20">
        <v>2.9024835000000002</v>
      </c>
      <c r="BD14" s="21">
        <v>2.9496593</v>
      </c>
      <c r="BE14" s="5">
        <f t="shared" si="27"/>
        <v>-0.12816144285714293</v>
      </c>
      <c r="BF14" s="5">
        <f t="shared" si="13"/>
        <v>-0.15287658571428553</v>
      </c>
      <c r="BG14" s="5">
        <f t="shared" si="14"/>
        <v>-0.13624478571428522</v>
      </c>
      <c r="BH14" s="5">
        <f t="shared" si="15"/>
        <v>-0.10427558571428541</v>
      </c>
      <c r="BJ14" s="19">
        <v>2.0211933000000002</v>
      </c>
      <c r="BK14" s="20">
        <v>2.1632259999999999</v>
      </c>
      <c r="BL14" s="20">
        <v>1.9487915</v>
      </c>
      <c r="BM14" s="21">
        <v>2.0080809999999998</v>
      </c>
      <c r="BN14" s="5">
        <f t="shared" si="28"/>
        <v>-1.1905544142857143</v>
      </c>
      <c r="BO14" s="5">
        <f t="shared" si="16"/>
        <v>-1.6115283000000002</v>
      </c>
      <c r="BP14" s="5">
        <f t="shared" si="17"/>
        <v>-0.95051891428571444</v>
      </c>
      <c r="BQ14" s="5">
        <f t="shared" si="18"/>
        <v>-1.4467899714285721</v>
      </c>
      <c r="BS14" s="19">
        <v>6.0110190000000001</v>
      </c>
      <c r="BT14" s="20">
        <v>6.0879380000000003</v>
      </c>
      <c r="BU14" s="20">
        <v>6.1353629999999999</v>
      </c>
      <c r="BV14" s="21">
        <v>5.9526789999999998</v>
      </c>
      <c r="BW14" s="5">
        <f t="shared" si="29"/>
        <v>0.65470021428571457</v>
      </c>
      <c r="BX14" s="5">
        <f t="shared" si="19"/>
        <v>0.8901061428571424</v>
      </c>
      <c r="BY14" s="5">
        <f t="shared" si="20"/>
        <v>0.85671872857142883</v>
      </c>
      <c r="BZ14" s="5">
        <f t="shared" si="21"/>
        <v>0.73106957142857176</v>
      </c>
    </row>
    <row r="15" spans="1:78" x14ac:dyDescent="0.25">
      <c r="A15" s="48">
        <v>2</v>
      </c>
      <c r="B15" s="12">
        <v>56.25</v>
      </c>
      <c r="C15" s="12">
        <v>57.05</v>
      </c>
      <c r="D15" s="12">
        <v>56.1</v>
      </c>
      <c r="E15" s="12">
        <v>56</v>
      </c>
      <c r="F15" s="13">
        <v>2</v>
      </c>
      <c r="H15" s="14">
        <v>82.770889999999994</v>
      </c>
      <c r="I15" s="15">
        <v>84.110039999999998</v>
      </c>
      <c r="J15" s="15">
        <v>82.749170000000007</v>
      </c>
      <c r="K15" s="16">
        <v>82.709670000000003</v>
      </c>
      <c r="L15" s="5">
        <f t="shared" ref="L15:O21" si="30">IF(OR(H15="",H15="NaN"),"",H15-AVERAGE(H$15:H$21))</f>
        <v>-3.195762000000002</v>
      </c>
      <c r="M15" s="5">
        <f t="shared" si="30"/>
        <v>-1.8387985714285691</v>
      </c>
      <c r="N15" s="5">
        <f t="shared" si="30"/>
        <v>-3.1757762857142922</v>
      </c>
      <c r="O15" s="5">
        <f t="shared" si="30"/>
        <v>-2.7906942857142667</v>
      </c>
      <c r="P15" s="5"/>
      <c r="Q15" s="14">
        <v>61.987892000000002</v>
      </c>
      <c r="R15" s="15">
        <v>60.467804000000001</v>
      </c>
      <c r="S15" s="15">
        <v>61.620747000000001</v>
      </c>
      <c r="T15" s="16">
        <v>62.562297999999998</v>
      </c>
      <c r="U15" s="5">
        <f t="shared" ref="U15:U21" si="31">IF(OR(Q15="",Q15="NaN"),"",Q15-AVERAGE(Q$15:Q$21))</f>
        <v>2.9029484285714275</v>
      </c>
      <c r="V15" s="5">
        <f t="shared" ref="V15:V21" si="32">IF(OR(R15="",R15="NaN"),"",R15-AVERAGE(R$15:R$21))</f>
        <v>2.2550114285714287</v>
      </c>
      <c r="W15" s="5">
        <f t="shared" ref="W15:W21" si="33">IF(OR(S15="",S15="NaN"),"",S15-AVERAGE(S$15:S$21))</f>
        <v>2.2023980000000094</v>
      </c>
      <c r="X15" s="5">
        <f t="shared" ref="X15:X21" si="34">IF(OR(T15="",T15="NaN"),"",T15-AVERAGE(T$15:T$21))</f>
        <v>2.941484428571421</v>
      </c>
      <c r="Y15" s="5"/>
      <c r="Z15" s="14">
        <v>14.965629</v>
      </c>
      <c r="AA15" s="15">
        <v>19.752420000000001</v>
      </c>
      <c r="AB15" s="15">
        <v>26.939367000000001</v>
      </c>
      <c r="AC15" s="16">
        <v>15.794926</v>
      </c>
      <c r="AD15" s="5">
        <f t="shared" ref="AD15:AD21" si="35">IF(OR(Z15="",Z15="NaN"),"",Z15-AVERAGE(Z$15:Z$21))</f>
        <v>3.4223299999999988</v>
      </c>
      <c r="AE15" s="5">
        <f t="shared" ref="AE15:AE21" si="36">IF(OR(AA15="",AA15="NaN"),"",AA15-AVERAGE(AA$15:AA$21))</f>
        <v>7.2348002142857162</v>
      </c>
      <c r="AF15" s="5">
        <f t="shared" ref="AF15:AF21" si="37">IF(OR(AB15="",AB15="NaN"),"",AB15-AVERAGE(AB$15:AB$21))</f>
        <v>9.8089084285714279</v>
      </c>
      <c r="AG15" s="5">
        <f t="shared" ref="AG15:AG21" si="38">IF(OR(AC15="",AC15="NaN"),"",AC15-AVERAGE(AC$15:AC$21))</f>
        <v>3.6626371428571431</v>
      </c>
      <c r="AH15" s="5"/>
      <c r="AI15" s="14">
        <v>6.3327216999999996</v>
      </c>
      <c r="AJ15" s="15">
        <v>6.5862284000000004</v>
      </c>
      <c r="AK15" s="15">
        <v>6.4532740000000004</v>
      </c>
      <c r="AL15" s="16">
        <v>6.5398649999999998</v>
      </c>
      <c r="AM15" s="5">
        <f t="shared" ref="AM15:AM21" si="39">IF(OR(AI15="",AI15="NaN"),"",AI15-AVERAGE(AI$15:AI$21))</f>
        <v>-0.27371940000000006</v>
      </c>
      <c r="AN15" s="5">
        <f t="shared" ref="AN15:AN21" si="40">IF(OR(AJ15="",AJ15="NaN"),"",AJ15-AVERAGE(AJ$15:AJ$21))</f>
        <v>-0.14602722857142858</v>
      </c>
      <c r="AO15" s="5">
        <f t="shared" ref="AO15:AO21" si="41">IF(OR(AK15="",AK15="NaN"),"",AK15-AVERAGE(AK$15:AK$21))</f>
        <v>-0.18487522857142835</v>
      </c>
      <c r="AP15" s="5">
        <f t="shared" ref="AP15:AP21" si="42">IF(OR(AL15="",AL15="NaN"),"",AL15-AVERAGE(AL$15:AL$21))</f>
        <v>-9.7429828571428345E-2</v>
      </c>
      <c r="AR15" s="14">
        <v>12.868008</v>
      </c>
      <c r="AS15" s="15">
        <v>13.675853999999999</v>
      </c>
      <c r="AT15" s="15">
        <v>12.697134999999999</v>
      </c>
      <c r="AU15" s="16">
        <v>12.65232</v>
      </c>
      <c r="AV15" s="5">
        <f t="shared" ref="AV15:AV21" si="43">IF(OR(AR15="",AR15="NaN"),"",AR15-AVERAGE(AR$15:AR$21))</f>
        <v>-0.4028632857142842</v>
      </c>
      <c r="AW15" s="5">
        <f t="shared" ref="AW15:AW21" si="44">IF(OR(AS15="",AS15="NaN"),"",AS15-AVERAGE(AS$15:AS$21))</f>
        <v>-0.70937928571428799</v>
      </c>
      <c r="AX15" s="5">
        <f t="shared" ref="AX15:AX21" si="45">IF(OR(AT15="",AT15="NaN"),"",AT15-AVERAGE(AT$15:AT$21))</f>
        <v>-0.34382242857142842</v>
      </c>
      <c r="AY15" s="5">
        <f t="shared" ref="AY15:AY21" si="46">IF(OR(AU15="",AU15="NaN"),"",AU15-AVERAGE(AU$15:AU$21))</f>
        <v>-0.23701142857142798</v>
      </c>
      <c r="BA15" s="14">
        <v>4.1697382999999997</v>
      </c>
      <c r="BB15" s="15">
        <v>4.2295623000000004</v>
      </c>
      <c r="BC15" s="15">
        <v>4.28667</v>
      </c>
      <c r="BD15" s="16">
        <v>4.3791213000000004</v>
      </c>
      <c r="BE15" s="5">
        <f t="shared" ref="BE15:BE21" si="47">IF(OR(BA15="",BA15="NaN"),"",BA15-AVERAGE(BA$15:BA$21))</f>
        <v>0.76389677142857115</v>
      </c>
      <c r="BF15" s="5">
        <f t="shared" ref="BF15:BF21" si="48">IF(OR(BB15="",BB15="NaN"),"",BB15-AVERAGE(BB$15:BB$21))</f>
        <v>0.68355920000000081</v>
      </c>
      <c r="BG15" s="5">
        <f t="shared" ref="BG15:BG21" si="49">IF(OR(BC15="",BC15="NaN"),"",BC15-AVERAGE(BC$15:BC$21))</f>
        <v>0.38804644285714396</v>
      </c>
      <c r="BH15" s="5">
        <f t="shared" ref="BH15:BH21" si="50">IF(OR(BD15="",BD15="NaN"),"",BD15-AVERAGE(BD$15:BD$21))</f>
        <v>0.60810921428571429</v>
      </c>
      <c r="BJ15" s="14">
        <v>7.6570244000000001</v>
      </c>
      <c r="BK15" s="15">
        <v>12.002440999999999</v>
      </c>
      <c r="BL15" s="15">
        <v>16.745643999999999</v>
      </c>
      <c r="BM15" s="16">
        <v>9.6239810000000006</v>
      </c>
      <c r="BN15" s="5">
        <f t="shared" ref="BN15:BN21" si="51">IF(OR(BJ15="",BJ15="NaN"),"",BJ15-AVERAGE(BJ$15:BJ$21))</f>
        <v>2.9903804714285709</v>
      </c>
      <c r="BO15" s="5">
        <f t="shared" ref="BO15:BO21" si="52">IF(OR(BK15="",BK15="NaN"),"",BK15-AVERAGE(BK$15:BK$21))</f>
        <v>6.8472230857142851</v>
      </c>
      <c r="BP15" s="5">
        <f t="shared" ref="BP15:BP21" si="53">IF(OR(BL15="",BL15="NaN"),"",BL15-AVERAGE(BL$15:BL$21))</f>
        <v>8.9492045714285702</v>
      </c>
      <c r="BQ15" s="5">
        <f t="shared" ref="BQ15:BQ21" si="54">IF(OR(BM15="",BM15="NaN"),"",BM15-AVERAGE(BM$15:BM$21))</f>
        <v>4.5235699142857149</v>
      </c>
      <c r="BS15" s="14">
        <v>4.7210026000000003</v>
      </c>
      <c r="BT15" s="15">
        <v>4.7546739999999996</v>
      </c>
      <c r="BU15" s="15">
        <v>5.1526813999999996</v>
      </c>
      <c r="BV15" s="16">
        <v>4.7377624999999997</v>
      </c>
      <c r="BW15" s="5">
        <f t="shared" ref="BW15:BW21" si="55">IF(OR(BS15="",BS15="NaN"),"",BS15-AVERAGE(BS$15:BS$21))</f>
        <v>0.65117935714285746</v>
      </c>
      <c r="BX15" s="5">
        <f t="shared" ref="BX15:BX21" si="56">IF(OR(BT15="",BT15="NaN"),"",BT15-AVERAGE(BT$15:BT$21))</f>
        <v>0.55641925714285634</v>
      </c>
      <c r="BY15" s="5">
        <f t="shared" ref="BY15:BY21" si="57">IF(OR(BU15="",BU15="NaN"),"",BU15-AVERAGE(BU$15:BU$21))</f>
        <v>0.8489528428571429</v>
      </c>
      <c r="BZ15" s="5">
        <f t="shared" ref="BZ15:BZ21" si="58">IF(OR(BV15="",BV15="NaN"),"",BV15-AVERAGE(BV$15:BV$21))</f>
        <v>0.16764002857142835</v>
      </c>
    </row>
    <row r="16" spans="1:78" x14ac:dyDescent="0.25">
      <c r="A16" s="38"/>
      <c r="B16" s="5">
        <v>49.5</v>
      </c>
      <c r="C16" s="5">
        <v>49.4</v>
      </c>
      <c r="D16" s="5">
        <v>49.45</v>
      </c>
      <c r="E16" s="5">
        <v>49.150000000000013</v>
      </c>
      <c r="F16" s="18">
        <v>7</v>
      </c>
      <c r="H16" s="19">
        <v>86.132999999999996</v>
      </c>
      <c r="I16" s="20">
        <v>85.619829999999993</v>
      </c>
      <c r="J16" s="20">
        <v>86.094650000000001</v>
      </c>
      <c r="K16" s="21">
        <v>84.307143999999994</v>
      </c>
      <c r="L16" s="5">
        <f t="shared" si="30"/>
        <v>0.16634799999999927</v>
      </c>
      <c r="M16" s="5">
        <f t="shared" si="30"/>
        <v>-0.32900857142857376</v>
      </c>
      <c r="N16" s="5">
        <f t="shared" si="30"/>
        <v>0.16970371428570274</v>
      </c>
      <c r="O16" s="5">
        <f t="shared" si="30"/>
        <v>-1.1932202857142755</v>
      </c>
      <c r="P16" s="5"/>
      <c r="Q16" s="19">
        <v>61.562781999999999</v>
      </c>
      <c r="R16" s="20">
        <v>59.387566</v>
      </c>
      <c r="S16" s="20">
        <v>61.513840000000002</v>
      </c>
      <c r="T16" s="21">
        <v>61.796883000000001</v>
      </c>
      <c r="U16" s="5">
        <f t="shared" si="31"/>
        <v>2.4778384285714239</v>
      </c>
      <c r="V16" s="5">
        <f t="shared" si="32"/>
        <v>1.1747734285714273</v>
      </c>
      <c r="W16" s="5">
        <f t="shared" si="33"/>
        <v>2.0954910000000098</v>
      </c>
      <c r="X16" s="5">
        <f t="shared" si="34"/>
        <v>2.1760694285714237</v>
      </c>
      <c r="Y16" s="5"/>
      <c r="Z16" s="19">
        <v>12.753037000000001</v>
      </c>
      <c r="AA16" s="20">
        <v>12.738187</v>
      </c>
      <c r="AB16" s="20">
        <v>22.321455</v>
      </c>
      <c r="AC16" s="21">
        <v>12.769499</v>
      </c>
      <c r="AD16" s="5">
        <f t="shared" si="35"/>
        <v>1.2097379999999998</v>
      </c>
      <c r="AE16" s="5">
        <f t="shared" si="36"/>
        <v>0.22056721428571535</v>
      </c>
      <c r="AF16" s="5">
        <f t="shared" si="37"/>
        <v>5.1909964285714274</v>
      </c>
      <c r="AG16" s="5">
        <f t="shared" si="38"/>
        <v>0.63721014285714261</v>
      </c>
      <c r="AH16" s="5"/>
      <c r="AI16" s="19">
        <v>6.6840261999999999</v>
      </c>
      <c r="AJ16" s="20">
        <v>6.7020187</v>
      </c>
      <c r="AK16" s="20">
        <v>6.7779864999999999</v>
      </c>
      <c r="AL16" s="21">
        <v>6.8672705000000001</v>
      </c>
      <c r="AM16" s="5">
        <f t="shared" si="39"/>
        <v>7.7585100000000295E-2</v>
      </c>
      <c r="AN16" s="5">
        <f t="shared" si="40"/>
        <v>-3.0236928571429011E-2</v>
      </c>
      <c r="AO16" s="5">
        <f t="shared" si="41"/>
        <v>0.13983727142857116</v>
      </c>
      <c r="AP16" s="5">
        <f t="shared" si="42"/>
        <v>0.22997567142857189</v>
      </c>
      <c r="AR16" s="19">
        <v>12.193858000000001</v>
      </c>
      <c r="AS16" s="20">
        <v>12.321350000000001</v>
      </c>
      <c r="AT16" s="20">
        <v>12.001849</v>
      </c>
      <c r="AU16" s="21">
        <v>12.175535</v>
      </c>
      <c r="AV16" s="5">
        <f t="shared" si="43"/>
        <v>-1.0770132857142833</v>
      </c>
      <c r="AW16" s="5">
        <f t="shared" si="44"/>
        <v>-2.0638832857142866</v>
      </c>
      <c r="AX16" s="5">
        <f t="shared" si="45"/>
        <v>-1.0391084285714278</v>
      </c>
      <c r="AY16" s="5">
        <f t="shared" si="46"/>
        <v>-0.71379642857142755</v>
      </c>
      <c r="BA16" s="19">
        <v>4.2377533999999999</v>
      </c>
      <c r="BB16" s="20">
        <v>4.3111079999999999</v>
      </c>
      <c r="BC16" s="20">
        <v>4.2245197000000001</v>
      </c>
      <c r="BD16" s="21">
        <v>4.3067120000000001</v>
      </c>
      <c r="BE16" s="5">
        <f t="shared" si="47"/>
        <v>0.83191187142857137</v>
      </c>
      <c r="BF16" s="5">
        <f t="shared" si="48"/>
        <v>0.76510490000000031</v>
      </c>
      <c r="BG16" s="5">
        <f t="shared" si="49"/>
        <v>0.32589614285714408</v>
      </c>
      <c r="BH16" s="5">
        <f t="shared" si="50"/>
        <v>0.53569991428571395</v>
      </c>
      <c r="BJ16" s="19">
        <v>7.6495709999999999</v>
      </c>
      <c r="BK16" s="20">
        <v>7.1297006999999999</v>
      </c>
      <c r="BL16" s="20">
        <v>15.800283</v>
      </c>
      <c r="BM16" s="21">
        <v>7.0520149999999999</v>
      </c>
      <c r="BN16" s="5">
        <f t="shared" si="51"/>
        <v>2.9829270714285707</v>
      </c>
      <c r="BO16" s="5">
        <f t="shared" si="52"/>
        <v>1.9744827857142857</v>
      </c>
      <c r="BP16" s="5">
        <f t="shared" si="53"/>
        <v>8.0038435714285718</v>
      </c>
      <c r="BQ16" s="5">
        <f t="shared" si="54"/>
        <v>1.9516039142857142</v>
      </c>
      <c r="BS16" s="19">
        <v>4.0014669999999999</v>
      </c>
      <c r="BT16" s="20">
        <v>4.1588763999999996</v>
      </c>
      <c r="BU16" s="20">
        <v>4.3125052000000004</v>
      </c>
      <c r="BV16" s="21">
        <v>4.2768854999999997</v>
      </c>
      <c r="BW16" s="5">
        <f t="shared" si="55"/>
        <v>-6.8356242857142924E-2</v>
      </c>
      <c r="BX16" s="5">
        <f t="shared" si="56"/>
        <v>-3.93783428571437E-2</v>
      </c>
      <c r="BY16" s="5">
        <f t="shared" si="57"/>
        <v>8.776642857143635E-3</v>
      </c>
      <c r="BZ16" s="5">
        <f t="shared" si="58"/>
        <v>-0.29323697142857164</v>
      </c>
    </row>
    <row r="17" spans="1:78" x14ac:dyDescent="0.25">
      <c r="A17" s="38"/>
      <c r="B17" s="5">
        <v>42.150000000000013</v>
      </c>
      <c r="C17" s="5">
        <v>42.65</v>
      </c>
      <c r="D17" s="5">
        <v>42.1</v>
      </c>
      <c r="E17" s="5">
        <v>41.95</v>
      </c>
      <c r="F17" s="18">
        <v>12</v>
      </c>
      <c r="H17" s="19">
        <v>86.666210000000007</v>
      </c>
      <c r="I17" s="20">
        <v>85.769059999999996</v>
      </c>
      <c r="J17" s="20">
        <v>86.260124000000005</v>
      </c>
      <c r="K17" s="21">
        <v>86.190359999999998</v>
      </c>
      <c r="L17" s="5">
        <f t="shared" si="30"/>
        <v>0.69955800000001034</v>
      </c>
      <c r="M17" s="5">
        <f t="shared" si="30"/>
        <v>-0.1797785714285709</v>
      </c>
      <c r="N17" s="5">
        <f t="shared" si="30"/>
        <v>0.33517771428570597</v>
      </c>
      <c r="O17" s="5">
        <f t="shared" si="30"/>
        <v>0.68999571428572892</v>
      </c>
      <c r="P17" s="5"/>
      <c r="Q17" s="19">
        <v>60.823483000000003</v>
      </c>
      <c r="R17" s="20">
        <v>58.889907999999998</v>
      </c>
      <c r="S17" s="20">
        <v>59.556004000000001</v>
      </c>
      <c r="T17" s="21">
        <v>59.555553000000003</v>
      </c>
      <c r="U17" s="5">
        <f t="shared" si="31"/>
        <v>1.7385394285714284</v>
      </c>
      <c r="V17" s="5">
        <f t="shared" si="32"/>
        <v>0.67711542857142604</v>
      </c>
      <c r="W17" s="5">
        <f t="shared" si="33"/>
        <v>0.13765500000000941</v>
      </c>
      <c r="X17" s="5">
        <f t="shared" si="34"/>
        <v>-6.526057142857411E-2</v>
      </c>
      <c r="Y17" s="5"/>
      <c r="Z17" s="19">
        <v>11.194388999999999</v>
      </c>
      <c r="AA17" s="20">
        <v>12.712949999999999</v>
      </c>
      <c r="AB17" s="20">
        <v>17.557538999999998</v>
      </c>
      <c r="AC17" s="21">
        <v>11.020569999999999</v>
      </c>
      <c r="AD17" s="5">
        <f t="shared" si="35"/>
        <v>-0.34891000000000183</v>
      </c>
      <c r="AE17" s="5">
        <f t="shared" si="36"/>
        <v>0.19533021428571473</v>
      </c>
      <c r="AF17" s="5">
        <f t="shared" si="37"/>
        <v>0.42708042857142559</v>
      </c>
      <c r="AG17" s="5">
        <f t="shared" si="38"/>
        <v>-1.1117188571428578</v>
      </c>
      <c r="AH17" s="5"/>
      <c r="AI17" s="19">
        <v>6.606725</v>
      </c>
      <c r="AJ17" s="20">
        <v>6.6283180000000002</v>
      </c>
      <c r="AK17" s="20">
        <v>6.6332209999999998</v>
      </c>
      <c r="AL17" s="21">
        <v>6.5826830000000003</v>
      </c>
      <c r="AM17" s="5">
        <f t="shared" si="39"/>
        <v>2.8390000000033666E-4</v>
      </c>
      <c r="AN17" s="5">
        <f t="shared" si="40"/>
        <v>-0.10393762857142885</v>
      </c>
      <c r="AO17" s="5">
        <f t="shared" si="41"/>
        <v>-4.9282285714289387E-3</v>
      </c>
      <c r="AP17" s="5">
        <f t="shared" si="42"/>
        <v>-5.4611828571427878E-2</v>
      </c>
      <c r="AR17" s="19">
        <v>12.355152</v>
      </c>
      <c r="AS17" s="20">
        <v>12.527877999999999</v>
      </c>
      <c r="AT17" s="20">
        <v>12.100538</v>
      </c>
      <c r="AU17" s="21">
        <v>12.285377499999999</v>
      </c>
      <c r="AV17" s="5">
        <f t="shared" si="43"/>
        <v>-0.91571928571428352</v>
      </c>
      <c r="AW17" s="5">
        <f t="shared" si="44"/>
        <v>-1.8573552857142879</v>
      </c>
      <c r="AX17" s="5">
        <f t="shared" si="45"/>
        <v>-0.94041942857142757</v>
      </c>
      <c r="AY17" s="5">
        <f t="shared" si="46"/>
        <v>-0.60395392857142838</v>
      </c>
      <c r="BA17" s="19">
        <v>4.2427115000000004</v>
      </c>
      <c r="BB17" s="20">
        <v>4.2659099999999999</v>
      </c>
      <c r="BC17" s="20">
        <v>4.1817703000000002</v>
      </c>
      <c r="BD17" s="21">
        <v>4.2579102999999998</v>
      </c>
      <c r="BE17" s="5">
        <f t="shared" si="47"/>
        <v>0.83686997142857189</v>
      </c>
      <c r="BF17" s="5">
        <f t="shared" si="48"/>
        <v>0.71990690000000024</v>
      </c>
      <c r="BG17" s="5">
        <f t="shared" si="49"/>
        <v>0.28314674285714414</v>
      </c>
      <c r="BH17" s="5">
        <f t="shared" si="50"/>
        <v>0.48689821428571367</v>
      </c>
      <c r="BJ17" s="19">
        <v>6.4635534000000003</v>
      </c>
      <c r="BK17" s="20">
        <v>6.5129055999999999</v>
      </c>
      <c r="BL17" s="20">
        <v>8.1121200000000009</v>
      </c>
      <c r="BM17" s="21">
        <v>7.4350094999999996</v>
      </c>
      <c r="BN17" s="5">
        <f t="shared" si="51"/>
        <v>1.7969094714285712</v>
      </c>
      <c r="BO17" s="5">
        <f t="shared" si="52"/>
        <v>1.3576876857142857</v>
      </c>
      <c r="BP17" s="5">
        <f t="shared" si="53"/>
        <v>0.31568057142857331</v>
      </c>
      <c r="BQ17" s="5">
        <f t="shared" si="54"/>
        <v>2.3345984142857139</v>
      </c>
      <c r="BS17" s="19">
        <v>3.9458395999999998</v>
      </c>
      <c r="BT17" s="20">
        <v>4.1687139999999996</v>
      </c>
      <c r="BU17" s="20">
        <v>4.2352448000000003</v>
      </c>
      <c r="BV17" s="21">
        <v>4.1525980000000002</v>
      </c>
      <c r="BW17" s="5">
        <f t="shared" si="55"/>
        <v>-0.12398364285714303</v>
      </c>
      <c r="BX17" s="5">
        <f t="shared" si="56"/>
        <v>-2.9540742857143698E-2</v>
      </c>
      <c r="BY17" s="5">
        <f t="shared" si="57"/>
        <v>-6.8483757142856483E-2</v>
      </c>
      <c r="BZ17" s="5">
        <f t="shared" si="58"/>
        <v>-0.41752447142857108</v>
      </c>
    </row>
    <row r="18" spans="1:78" x14ac:dyDescent="0.25">
      <c r="A18" s="38"/>
      <c r="B18" s="5">
        <v>32.650000000000013</v>
      </c>
      <c r="C18" s="5">
        <v>32.9</v>
      </c>
      <c r="D18" s="5">
        <v>32.549999999999997</v>
      </c>
      <c r="E18" s="5">
        <v>32.349999999999987</v>
      </c>
      <c r="F18" s="18">
        <v>17</v>
      </c>
      <c r="H18" s="19">
        <v>86.584119999999999</v>
      </c>
      <c r="I18" s="20">
        <v>86.16789</v>
      </c>
      <c r="J18" s="20">
        <v>86.534700000000001</v>
      </c>
      <c r="K18" s="21">
        <v>86.391716000000002</v>
      </c>
      <c r="L18" s="5">
        <f t="shared" si="30"/>
        <v>0.61746800000000235</v>
      </c>
      <c r="M18" s="5">
        <f t="shared" si="30"/>
        <v>0.21905142857143289</v>
      </c>
      <c r="N18" s="5">
        <f t="shared" si="30"/>
        <v>0.60975371428570213</v>
      </c>
      <c r="O18" s="5">
        <f t="shared" si="30"/>
        <v>0.89135171428573301</v>
      </c>
      <c r="P18" s="5"/>
      <c r="Q18" s="19">
        <v>58.569049999999997</v>
      </c>
      <c r="R18" s="20">
        <v>58.049182999999999</v>
      </c>
      <c r="S18" s="20">
        <v>59.722957999999998</v>
      </c>
      <c r="T18" s="21">
        <v>59.649783999999997</v>
      </c>
      <c r="U18" s="5">
        <f t="shared" si="31"/>
        <v>-0.5158935714285775</v>
      </c>
      <c r="V18" s="5">
        <f t="shared" si="32"/>
        <v>-0.16360957142857302</v>
      </c>
      <c r="W18" s="5">
        <f t="shared" si="33"/>
        <v>0.30460900000000635</v>
      </c>
      <c r="X18" s="5">
        <f t="shared" si="34"/>
        <v>2.8970428571419404E-2</v>
      </c>
      <c r="Y18" s="5"/>
      <c r="Z18" s="19">
        <v>12.051523</v>
      </c>
      <c r="AA18" s="20">
        <v>11.793846</v>
      </c>
      <c r="AB18" s="20">
        <v>15.863135</v>
      </c>
      <c r="AC18" s="21">
        <v>12.719415</v>
      </c>
      <c r="AD18" s="5">
        <f t="shared" si="35"/>
        <v>0.50822399999999845</v>
      </c>
      <c r="AE18" s="5">
        <f t="shared" si="36"/>
        <v>-0.7237737857142843</v>
      </c>
      <c r="AF18" s="5">
        <f t="shared" si="37"/>
        <v>-1.2673235714285731</v>
      </c>
      <c r="AG18" s="5">
        <f t="shared" si="38"/>
        <v>0.5871261428571426</v>
      </c>
      <c r="AH18" s="5"/>
      <c r="AI18" s="19">
        <v>6.4866304000000001</v>
      </c>
      <c r="AJ18" s="20">
        <v>6.4099154</v>
      </c>
      <c r="AK18" s="20">
        <v>6.4542510000000002</v>
      </c>
      <c r="AL18" s="21">
        <v>6.3911543000000002</v>
      </c>
      <c r="AM18" s="5">
        <f t="shared" si="39"/>
        <v>-0.11981069999999949</v>
      </c>
      <c r="AN18" s="5">
        <f t="shared" si="40"/>
        <v>-0.32234022857142897</v>
      </c>
      <c r="AO18" s="5">
        <f t="shared" si="41"/>
        <v>-0.18389822857142857</v>
      </c>
      <c r="AP18" s="5">
        <f t="shared" si="42"/>
        <v>-0.24614052857142799</v>
      </c>
      <c r="AR18" s="19">
        <v>12.799493999999999</v>
      </c>
      <c r="AS18" s="20">
        <v>13.741688999999999</v>
      </c>
      <c r="AT18" s="20">
        <v>12.722920999999999</v>
      </c>
      <c r="AU18" s="21">
        <v>12.510106</v>
      </c>
      <c r="AV18" s="5">
        <f t="shared" si="43"/>
        <v>-0.47137728571428461</v>
      </c>
      <c r="AW18" s="5">
        <f t="shared" si="44"/>
        <v>-0.64354428571428812</v>
      </c>
      <c r="AX18" s="5">
        <f t="shared" si="45"/>
        <v>-0.31803642857142833</v>
      </c>
      <c r="AY18" s="5">
        <f t="shared" si="46"/>
        <v>-0.37922542857142716</v>
      </c>
      <c r="BA18" s="19">
        <v>2.8838072000000001</v>
      </c>
      <c r="BB18" s="20">
        <v>3.6048752999999998</v>
      </c>
      <c r="BC18" s="20">
        <v>4.2492109999999998</v>
      </c>
      <c r="BD18" s="21">
        <v>4.2625640000000002</v>
      </c>
      <c r="BE18" s="5">
        <f t="shared" si="47"/>
        <v>-0.5220343285714284</v>
      </c>
      <c r="BF18" s="5">
        <f t="shared" si="48"/>
        <v>5.8872200000000152E-2</v>
      </c>
      <c r="BG18" s="5">
        <f t="shared" si="49"/>
        <v>0.35058744285714383</v>
      </c>
      <c r="BH18" s="5">
        <f t="shared" si="50"/>
        <v>0.4915519142857141</v>
      </c>
      <c r="BJ18" s="19">
        <v>3.4414823000000001</v>
      </c>
      <c r="BK18" s="20">
        <v>2.5190136000000001</v>
      </c>
      <c r="BL18" s="20">
        <v>5.8578049999999999</v>
      </c>
      <c r="BM18" s="21">
        <v>3.1216957999999999</v>
      </c>
      <c r="BN18" s="5">
        <f t="shared" si="51"/>
        <v>-1.2251616285714291</v>
      </c>
      <c r="BO18" s="5">
        <f t="shared" si="52"/>
        <v>-2.6362043142857141</v>
      </c>
      <c r="BP18" s="5">
        <f t="shared" si="53"/>
        <v>-1.9386344285714276</v>
      </c>
      <c r="BQ18" s="5">
        <f t="shared" si="54"/>
        <v>-1.9787152857142858</v>
      </c>
      <c r="BS18" s="19">
        <v>4.2748809999999997</v>
      </c>
      <c r="BT18" s="20">
        <v>4.2370333999999996</v>
      </c>
      <c r="BU18" s="20">
        <v>4.3482070000000004</v>
      </c>
      <c r="BV18" s="21">
        <v>4.6862335000000002</v>
      </c>
      <c r="BW18" s="5">
        <f t="shared" si="55"/>
        <v>0.2050577571428569</v>
      </c>
      <c r="BX18" s="5">
        <f t="shared" si="56"/>
        <v>3.8778657142856332E-2</v>
      </c>
      <c r="BY18" s="5">
        <f t="shared" si="57"/>
        <v>4.4478442857143641E-2</v>
      </c>
      <c r="BZ18" s="5">
        <f t="shared" si="58"/>
        <v>0.11611102857142885</v>
      </c>
    </row>
    <row r="19" spans="1:78" x14ac:dyDescent="0.25">
      <c r="A19" s="38"/>
      <c r="B19" s="5">
        <v>24.3</v>
      </c>
      <c r="C19" s="5">
        <v>24.3</v>
      </c>
      <c r="D19" s="5">
        <v>24.3</v>
      </c>
      <c r="E19" s="5">
        <v>24.3</v>
      </c>
      <c r="F19" s="18">
        <v>22</v>
      </c>
      <c r="H19" s="19">
        <v>86.229089999999999</v>
      </c>
      <c r="I19" s="20">
        <v>86.390320000000003</v>
      </c>
      <c r="J19" s="20">
        <v>86.270619999999994</v>
      </c>
      <c r="K19" s="21">
        <v>86.217339999999993</v>
      </c>
      <c r="L19" s="5">
        <f t="shared" si="30"/>
        <v>0.26243800000000306</v>
      </c>
      <c r="M19" s="5">
        <f t="shared" si="30"/>
        <v>0.44148142857143569</v>
      </c>
      <c r="N19" s="5">
        <f t="shared" si="30"/>
        <v>0.34567371428569516</v>
      </c>
      <c r="O19" s="5">
        <f t="shared" si="30"/>
        <v>0.7169757142857236</v>
      </c>
      <c r="P19" s="5"/>
      <c r="Q19" s="19">
        <v>57.641993999999997</v>
      </c>
      <c r="R19" s="20">
        <v>57.592421999999999</v>
      </c>
      <c r="S19" s="20">
        <v>58.657870000000003</v>
      </c>
      <c r="T19" s="21">
        <v>58.885193000000001</v>
      </c>
      <c r="U19" s="5">
        <f t="shared" si="31"/>
        <v>-1.4429495714285778</v>
      </c>
      <c r="V19" s="5">
        <f t="shared" si="32"/>
        <v>-0.62037057142857321</v>
      </c>
      <c r="W19" s="5">
        <f t="shared" si="33"/>
        <v>-0.76047899999998947</v>
      </c>
      <c r="X19" s="5">
        <f t="shared" si="34"/>
        <v>-0.7356205714285764</v>
      </c>
      <c r="Y19" s="5"/>
      <c r="Z19" s="19">
        <v>10.146860999999999</v>
      </c>
      <c r="AA19" s="20">
        <v>10.415395999999999</v>
      </c>
      <c r="AB19" s="20">
        <v>15.005907000000001</v>
      </c>
      <c r="AC19" s="21">
        <v>11.442152</v>
      </c>
      <c r="AD19" s="5">
        <f t="shared" si="35"/>
        <v>-1.3964380000000016</v>
      </c>
      <c r="AE19" s="5">
        <f t="shared" si="36"/>
        <v>-2.1022237857142851</v>
      </c>
      <c r="AF19" s="5">
        <f t="shared" si="37"/>
        <v>-2.1245515714285723</v>
      </c>
      <c r="AG19" s="5">
        <f t="shared" si="38"/>
        <v>-0.690136857142857</v>
      </c>
      <c r="AH19" s="5"/>
      <c r="AI19" s="19">
        <v>6.5228609999999998</v>
      </c>
      <c r="AJ19" s="20">
        <v>6.7164296999999999</v>
      </c>
      <c r="AK19" s="20">
        <v>6.4647402999999999</v>
      </c>
      <c r="AL19" s="21">
        <v>6.467803</v>
      </c>
      <c r="AM19" s="5">
        <f t="shared" si="39"/>
        <v>-8.3580099999999824E-2</v>
      </c>
      <c r="AN19" s="5">
        <f t="shared" si="40"/>
        <v>-1.582592857142906E-2</v>
      </c>
      <c r="AO19" s="5">
        <f t="shared" si="41"/>
        <v>-0.17340892857142887</v>
      </c>
      <c r="AP19" s="5">
        <f t="shared" si="42"/>
        <v>-0.16949182857142819</v>
      </c>
      <c r="AR19" s="19">
        <v>14.345228000000001</v>
      </c>
      <c r="AS19" s="20">
        <v>15.286479999999999</v>
      </c>
      <c r="AT19" s="20">
        <v>13.623813</v>
      </c>
      <c r="AU19" s="21">
        <v>12.919900999999999</v>
      </c>
      <c r="AV19" s="5">
        <f t="shared" si="43"/>
        <v>1.0743567142857167</v>
      </c>
      <c r="AW19" s="5">
        <f t="shared" si="44"/>
        <v>0.9012467142857119</v>
      </c>
      <c r="AX19" s="5">
        <f t="shared" si="45"/>
        <v>0.58285557142857236</v>
      </c>
      <c r="AY19" s="5">
        <f t="shared" si="46"/>
        <v>3.0569571428571862E-2</v>
      </c>
      <c r="BA19" s="19">
        <v>2.8094304000000001</v>
      </c>
      <c r="BB19" s="20">
        <v>2.8213249999999999</v>
      </c>
      <c r="BC19" s="20">
        <v>4.1934222999999999</v>
      </c>
      <c r="BD19" s="21">
        <v>3.5450529999999998</v>
      </c>
      <c r="BE19" s="5">
        <f t="shared" si="47"/>
        <v>-0.59641112857142842</v>
      </c>
      <c r="BF19" s="5">
        <f t="shared" si="48"/>
        <v>-0.72467809999999977</v>
      </c>
      <c r="BG19" s="5">
        <f t="shared" si="49"/>
        <v>0.29479874285714391</v>
      </c>
      <c r="BH19" s="5">
        <f t="shared" si="50"/>
        <v>-0.22595908571428636</v>
      </c>
      <c r="BJ19" s="19">
        <v>2.415435</v>
      </c>
      <c r="BK19" s="20">
        <v>2.7395176999999999</v>
      </c>
      <c r="BL19" s="20">
        <v>2.8112556999999998</v>
      </c>
      <c r="BM19" s="21">
        <v>2.638779</v>
      </c>
      <c r="BN19" s="5">
        <f t="shared" si="51"/>
        <v>-2.2512089285714292</v>
      </c>
      <c r="BO19" s="5">
        <f t="shared" si="52"/>
        <v>-2.4157002142857142</v>
      </c>
      <c r="BP19" s="5">
        <f t="shared" si="53"/>
        <v>-4.9851837285714282</v>
      </c>
      <c r="BQ19" s="5">
        <f t="shared" si="54"/>
        <v>-2.4616320857142857</v>
      </c>
      <c r="BS19" s="19">
        <v>4.2755833000000001</v>
      </c>
      <c r="BT19" s="20">
        <v>4.3079910000000003</v>
      </c>
      <c r="BU19" s="20">
        <v>4.3516680000000001</v>
      </c>
      <c r="BV19" s="21">
        <v>4.7226460000000001</v>
      </c>
      <c r="BW19" s="5">
        <f t="shared" si="55"/>
        <v>0.20576005714285728</v>
      </c>
      <c r="BX19" s="5">
        <f t="shared" si="56"/>
        <v>0.10973625714285706</v>
      </c>
      <c r="BY19" s="5">
        <f t="shared" si="57"/>
        <v>4.7939442857143355E-2</v>
      </c>
      <c r="BZ19" s="5">
        <f t="shared" si="58"/>
        <v>0.15252352857142881</v>
      </c>
    </row>
    <row r="20" spans="1:78" x14ac:dyDescent="0.25">
      <c r="A20" s="38"/>
      <c r="B20" s="5">
        <v>20.5</v>
      </c>
      <c r="C20" s="5">
        <v>20.75</v>
      </c>
      <c r="D20" s="5">
        <v>20.55</v>
      </c>
      <c r="E20" s="5">
        <v>20.6</v>
      </c>
      <c r="F20" s="18">
        <v>27</v>
      </c>
      <c r="H20" s="19">
        <v>86.546813999999998</v>
      </c>
      <c r="I20" s="20">
        <v>86.398380000000003</v>
      </c>
      <c r="J20" s="20">
        <v>86.444280000000006</v>
      </c>
      <c r="K20" s="21">
        <v>86.104780000000005</v>
      </c>
      <c r="L20" s="5">
        <f t="shared" si="30"/>
        <v>0.5801620000000014</v>
      </c>
      <c r="M20" s="5">
        <f t="shared" si="30"/>
        <v>0.44954142857143609</v>
      </c>
      <c r="N20" s="5">
        <f t="shared" si="30"/>
        <v>0.51933371428570752</v>
      </c>
      <c r="O20" s="5">
        <f t="shared" si="30"/>
        <v>0.60441571428573582</v>
      </c>
      <c r="P20" s="5"/>
      <c r="Q20" s="19">
        <v>57.293500000000002</v>
      </c>
      <c r="R20" s="20">
        <v>57.177371999999998</v>
      </c>
      <c r="S20" s="20">
        <v>58.258380000000002</v>
      </c>
      <c r="T20" s="21">
        <v>58.302917000000001</v>
      </c>
      <c r="U20" s="5">
        <f t="shared" si="31"/>
        <v>-1.791443571428573</v>
      </c>
      <c r="V20" s="5">
        <f t="shared" si="32"/>
        <v>-1.035420571428574</v>
      </c>
      <c r="W20" s="5">
        <f t="shared" si="33"/>
        <v>-1.1599689999999896</v>
      </c>
      <c r="X20" s="5">
        <f t="shared" si="34"/>
        <v>-1.3178965714285766</v>
      </c>
      <c r="Y20" s="5"/>
      <c r="Z20" s="19">
        <v>9.8669799999999999</v>
      </c>
      <c r="AA20" s="20">
        <v>10.3158045</v>
      </c>
      <c r="AB20" s="20">
        <v>11.582964</v>
      </c>
      <c r="AC20" s="21">
        <v>10.976100000000001</v>
      </c>
      <c r="AD20" s="5">
        <f t="shared" si="35"/>
        <v>-1.6763190000000012</v>
      </c>
      <c r="AE20" s="5">
        <f t="shared" si="36"/>
        <v>-2.2018152857142841</v>
      </c>
      <c r="AF20" s="5">
        <f t="shared" si="37"/>
        <v>-5.5474945714285724</v>
      </c>
      <c r="AG20" s="5">
        <f t="shared" si="38"/>
        <v>-1.1561888571428565</v>
      </c>
      <c r="AH20" s="5"/>
      <c r="AI20" s="19">
        <v>6.5395383999999996</v>
      </c>
      <c r="AJ20" s="20">
        <v>6.7103251999999998</v>
      </c>
      <c r="AK20" s="20">
        <v>6.5519958000000003</v>
      </c>
      <c r="AL20" s="21">
        <v>6.6888876000000002</v>
      </c>
      <c r="AM20" s="5">
        <f t="shared" si="39"/>
        <v>-6.6902699999999982E-2</v>
      </c>
      <c r="AN20" s="5">
        <f t="shared" si="40"/>
        <v>-2.1930428571429239E-2</v>
      </c>
      <c r="AO20" s="5">
        <f t="shared" si="41"/>
        <v>-8.6153428571428492E-2</v>
      </c>
      <c r="AP20" s="5">
        <f t="shared" si="42"/>
        <v>5.1592771428571993E-2</v>
      </c>
      <c r="AR20" s="19">
        <v>14.493950999999999</v>
      </c>
      <c r="AS20" s="20">
        <v>17.200140000000001</v>
      </c>
      <c r="AT20" s="20">
        <v>14.269729999999999</v>
      </c>
      <c r="AU20" s="21">
        <v>13.655514</v>
      </c>
      <c r="AV20" s="5">
        <f t="shared" si="43"/>
        <v>1.2230797142857153</v>
      </c>
      <c r="AW20" s="5">
        <f t="shared" si="44"/>
        <v>2.8149067142857138</v>
      </c>
      <c r="AX20" s="5">
        <f t="shared" si="45"/>
        <v>1.2287725714285713</v>
      </c>
      <c r="AY20" s="5">
        <f t="shared" si="46"/>
        <v>0.7661825714285726</v>
      </c>
      <c r="BA20" s="19">
        <v>2.7522929</v>
      </c>
      <c r="BB20" s="20">
        <v>2.8159744999999998</v>
      </c>
      <c r="BC20" s="20">
        <v>3.4106871999999999</v>
      </c>
      <c r="BD20" s="21">
        <v>2.8236346000000001</v>
      </c>
      <c r="BE20" s="5">
        <f t="shared" si="47"/>
        <v>-0.65354862857142848</v>
      </c>
      <c r="BF20" s="5">
        <f t="shared" si="48"/>
        <v>-0.73002859999999981</v>
      </c>
      <c r="BG20" s="5">
        <f t="shared" si="49"/>
        <v>-0.4879363571428561</v>
      </c>
      <c r="BH20" s="5">
        <f t="shared" si="50"/>
        <v>-0.94737748571428604</v>
      </c>
      <c r="BJ20" s="19">
        <v>2.5698254</v>
      </c>
      <c r="BK20" s="20">
        <v>2.7465850000000001</v>
      </c>
      <c r="BL20" s="20">
        <v>2.5399250000000002</v>
      </c>
      <c r="BM20" s="21">
        <v>3.3099303</v>
      </c>
      <c r="BN20" s="5">
        <f t="shared" si="51"/>
        <v>-2.0968185285714291</v>
      </c>
      <c r="BO20" s="5">
        <f t="shared" si="52"/>
        <v>-2.4086329142857141</v>
      </c>
      <c r="BP20" s="5">
        <f t="shared" si="53"/>
        <v>-5.2565144285714274</v>
      </c>
      <c r="BQ20" s="5">
        <f t="shared" si="54"/>
        <v>-1.7904807857142857</v>
      </c>
      <c r="BS20" s="19">
        <v>4.0346250000000001</v>
      </c>
      <c r="BT20" s="20">
        <v>4.4200720000000002</v>
      </c>
      <c r="BU20" s="20">
        <v>4.4191099999999999</v>
      </c>
      <c r="BV20" s="21">
        <v>4.8453920000000004</v>
      </c>
      <c r="BW20" s="5">
        <f t="shared" si="55"/>
        <v>-3.5198242857142681E-2</v>
      </c>
      <c r="BX20" s="5">
        <f t="shared" si="56"/>
        <v>0.22181725714285694</v>
      </c>
      <c r="BY20" s="5">
        <f t="shared" si="57"/>
        <v>0.11538144285714313</v>
      </c>
      <c r="BZ20" s="5">
        <f t="shared" si="58"/>
        <v>0.27526952857142906</v>
      </c>
    </row>
    <row r="21" spans="1:78" x14ac:dyDescent="0.25">
      <c r="A21" s="38"/>
      <c r="B21" s="5">
        <v>12.4</v>
      </c>
      <c r="C21" s="5">
        <v>12.4</v>
      </c>
      <c r="D21" s="5">
        <v>12.5</v>
      </c>
      <c r="E21" s="5">
        <v>12.85</v>
      </c>
      <c r="F21" s="18">
        <v>32</v>
      </c>
      <c r="H21" s="19">
        <v>86.836439999999996</v>
      </c>
      <c r="I21" s="20">
        <v>87.186350000000004</v>
      </c>
      <c r="J21" s="20">
        <v>87.121080000000006</v>
      </c>
      <c r="K21" s="21">
        <v>86.581540000000004</v>
      </c>
      <c r="L21" s="5">
        <f t="shared" si="30"/>
        <v>0.86978799999999978</v>
      </c>
      <c r="M21" s="5">
        <f t="shared" si="30"/>
        <v>1.2375114285714375</v>
      </c>
      <c r="N21" s="5">
        <f t="shared" si="30"/>
        <v>1.1961337142857076</v>
      </c>
      <c r="O21" s="5">
        <f t="shared" si="30"/>
        <v>1.0811757142857346</v>
      </c>
      <c r="P21" s="5"/>
      <c r="Q21" s="19">
        <v>55.715904000000002</v>
      </c>
      <c r="R21" s="20">
        <v>55.925293000000003</v>
      </c>
      <c r="S21" s="20">
        <v>56.598644</v>
      </c>
      <c r="T21" s="21">
        <v>56.593066999999998</v>
      </c>
      <c r="U21" s="5">
        <f t="shared" si="31"/>
        <v>-3.3690395714285728</v>
      </c>
      <c r="V21" s="5">
        <f t="shared" si="32"/>
        <v>-2.2874995714285689</v>
      </c>
      <c r="W21" s="5">
        <f t="shared" si="33"/>
        <v>-2.8197049999999919</v>
      </c>
      <c r="X21" s="5">
        <f t="shared" si="34"/>
        <v>-3.0277465714285796</v>
      </c>
      <c r="Y21" s="5"/>
      <c r="Z21" s="19">
        <v>9.8246739999999999</v>
      </c>
      <c r="AA21" s="20">
        <v>9.8947350000000007</v>
      </c>
      <c r="AB21" s="20">
        <v>10.642842999999999</v>
      </c>
      <c r="AC21" s="21">
        <v>10.20336</v>
      </c>
      <c r="AD21" s="5">
        <f t="shared" si="35"/>
        <v>-1.7186250000000012</v>
      </c>
      <c r="AE21" s="5">
        <f t="shared" si="36"/>
        <v>-2.6228847857142839</v>
      </c>
      <c r="AF21" s="5">
        <f t="shared" si="37"/>
        <v>-6.4876155714285737</v>
      </c>
      <c r="AG21" s="5">
        <f t="shared" si="38"/>
        <v>-1.9289288571428571</v>
      </c>
      <c r="AH21" s="5"/>
      <c r="AI21" s="19">
        <v>7.0725850000000001</v>
      </c>
      <c r="AJ21" s="20">
        <v>7.3725540000000001</v>
      </c>
      <c r="AK21" s="20">
        <v>7.1315759999999999</v>
      </c>
      <c r="AL21" s="21">
        <v>6.9234004000000002</v>
      </c>
      <c r="AM21" s="5">
        <f t="shared" si="39"/>
        <v>0.4661439000000005</v>
      </c>
      <c r="AN21" s="5">
        <f t="shared" si="40"/>
        <v>0.64029837142857104</v>
      </c>
      <c r="AO21" s="5">
        <f t="shared" si="41"/>
        <v>0.49342677142857116</v>
      </c>
      <c r="AP21" s="5">
        <f t="shared" si="42"/>
        <v>0.28610557142857207</v>
      </c>
      <c r="AR21" s="19">
        <v>13.840408</v>
      </c>
      <c r="AS21" s="20">
        <v>15.943242</v>
      </c>
      <c r="AT21" s="20">
        <v>13.870716</v>
      </c>
      <c r="AU21" s="21">
        <v>14.026566499999999</v>
      </c>
      <c r="AV21" s="5">
        <f t="shared" si="43"/>
        <v>0.56953671428571617</v>
      </c>
      <c r="AW21" s="5">
        <f t="shared" si="44"/>
        <v>1.5580087142857124</v>
      </c>
      <c r="AX21" s="5">
        <f t="shared" si="45"/>
        <v>0.82975857142857201</v>
      </c>
      <c r="AY21" s="5">
        <f t="shared" si="46"/>
        <v>1.1372350714285719</v>
      </c>
      <c r="BA21" s="19">
        <v>2.7451569999999998</v>
      </c>
      <c r="BB21" s="20">
        <v>2.7732665999999999</v>
      </c>
      <c r="BC21" s="20">
        <v>2.7440844000000002</v>
      </c>
      <c r="BD21" s="21">
        <v>2.8220893999999999</v>
      </c>
      <c r="BE21" s="5">
        <f t="shared" si="47"/>
        <v>-0.66068452857142868</v>
      </c>
      <c r="BF21" s="5">
        <f t="shared" si="48"/>
        <v>-0.77273649999999972</v>
      </c>
      <c r="BG21" s="5">
        <f t="shared" si="49"/>
        <v>-1.1545391571428558</v>
      </c>
      <c r="BH21" s="5">
        <f t="shared" si="50"/>
        <v>-0.94892268571428628</v>
      </c>
      <c r="BJ21" s="19">
        <v>2.4696159999999998</v>
      </c>
      <c r="BK21" s="20">
        <v>2.4363617999999998</v>
      </c>
      <c r="BL21" s="20">
        <v>2.7080432999999999</v>
      </c>
      <c r="BM21" s="21">
        <v>2.5214669999999999</v>
      </c>
      <c r="BN21" s="5">
        <f t="shared" si="51"/>
        <v>-2.1970279285714294</v>
      </c>
      <c r="BO21" s="5">
        <f t="shared" si="52"/>
        <v>-2.7188561142857144</v>
      </c>
      <c r="BP21" s="5">
        <f t="shared" si="53"/>
        <v>-5.0883961285714276</v>
      </c>
      <c r="BQ21" s="5">
        <f t="shared" si="54"/>
        <v>-2.5789440857142858</v>
      </c>
      <c r="BS21" s="19">
        <v>3.2353641999999998</v>
      </c>
      <c r="BT21" s="20">
        <v>3.3404224</v>
      </c>
      <c r="BU21" s="20">
        <v>3.3066835000000001</v>
      </c>
      <c r="BV21" s="21">
        <v>4.5693397999999998</v>
      </c>
      <c r="BW21" s="5">
        <f t="shared" si="55"/>
        <v>-0.83445904285714301</v>
      </c>
      <c r="BX21" s="5">
        <f t="shared" si="56"/>
        <v>-0.85783234285714327</v>
      </c>
      <c r="BY21" s="5">
        <f t="shared" si="57"/>
        <v>-0.99704505714285663</v>
      </c>
      <c r="BZ21" s="5">
        <f t="shared" si="58"/>
        <v>-7.8267142857146865E-4</v>
      </c>
    </row>
    <row r="22" spans="1:78" x14ac:dyDescent="0.25">
      <c r="A22" s="37">
        <v>3</v>
      </c>
      <c r="B22" s="12"/>
      <c r="C22" s="12"/>
      <c r="D22" s="12"/>
      <c r="E22" s="12"/>
      <c r="F22" s="13"/>
      <c r="H22" s="14">
        <v>83.476973999999998</v>
      </c>
      <c r="I22" s="15">
        <v>85.114559999999997</v>
      </c>
      <c r="J22" s="15">
        <v>84.920190000000005</v>
      </c>
      <c r="K22" s="16">
        <v>85.006259999999997</v>
      </c>
      <c r="L22" s="12">
        <f t="shared" ref="L22:O28" si="59">IF(OR(H22="",H22="NaN"),"",H22-AVERAGE(H$22:H$28))</f>
        <v>-3.3448157142857156</v>
      </c>
      <c r="M22" s="12">
        <f t="shared" si="59"/>
        <v>-2.060855714285708</v>
      </c>
      <c r="N22" s="12">
        <f t="shared" si="59"/>
        <v>-2.1540637142857122</v>
      </c>
      <c r="O22" s="17">
        <f t="shared" si="59"/>
        <v>-1.7529005714285688</v>
      </c>
      <c r="P22" s="5"/>
      <c r="Q22" s="14">
        <v>54.267283999999997</v>
      </c>
      <c r="R22" s="15">
        <v>54.389206000000001</v>
      </c>
      <c r="S22" s="15">
        <v>56.65014</v>
      </c>
      <c r="T22" s="16">
        <v>54.715153000000001</v>
      </c>
      <c r="U22" s="12">
        <f t="shared" ref="U22:X28" si="60">IF(OR(Q22="",Q22="NaN"),"",Q22-AVERAGE(Q$22:Q$28))</f>
        <v>-0.93450128571429047</v>
      </c>
      <c r="V22" s="12">
        <f t="shared" si="60"/>
        <v>-0.54700142857142708</v>
      </c>
      <c r="W22" s="12">
        <f t="shared" si="60"/>
        <v>1.0595107142857287</v>
      </c>
      <c r="X22" s="17">
        <f t="shared" si="60"/>
        <v>-0.56217828571428186</v>
      </c>
      <c r="Y22" s="5"/>
      <c r="Z22" s="14">
        <v>18.28267</v>
      </c>
      <c r="AA22" s="15">
        <v>18.280663000000001</v>
      </c>
      <c r="AB22" s="15">
        <v>25.602222000000001</v>
      </c>
      <c r="AC22" s="16">
        <v>15.376500999999999</v>
      </c>
      <c r="AD22" s="12">
        <f t="shared" ref="AD22:AG28" si="61">IF(OR(Z22="",Z22="NaN"),"",Z22-AVERAGE(Z$22:Z$28))</f>
        <v>5.4205191428571435</v>
      </c>
      <c r="AE22" s="12">
        <f t="shared" si="61"/>
        <v>5.4036276428571419</v>
      </c>
      <c r="AF22" s="12">
        <f t="shared" si="61"/>
        <v>8.7626378571428596</v>
      </c>
      <c r="AG22" s="17">
        <f t="shared" si="61"/>
        <v>2.8281802857142857</v>
      </c>
      <c r="AH22" s="5"/>
      <c r="AI22" s="14">
        <v>6.9171146999999999</v>
      </c>
      <c r="AJ22" s="15">
        <v>6.7922586999999996</v>
      </c>
      <c r="AK22" s="15">
        <v>6.9611729999999996</v>
      </c>
      <c r="AL22" s="16">
        <v>6.8886976000000004</v>
      </c>
      <c r="AM22" s="12">
        <f t="shared" ref="AM22:AP28" si="62">IF(OR(AI22="",AI22="NaN"),"",AI22-AVERAGE(AI$22:AI$28))</f>
        <v>0.46543957142857195</v>
      </c>
      <c r="AN22" s="12">
        <f t="shared" si="62"/>
        <v>0.36330644285714175</v>
      </c>
      <c r="AO22" s="12">
        <f t="shared" si="62"/>
        <v>0.44503519999999952</v>
      </c>
      <c r="AP22" s="17">
        <f t="shared" si="62"/>
        <v>0.37636022857142937</v>
      </c>
      <c r="AR22" s="14">
        <v>17.847652</v>
      </c>
      <c r="AS22" s="15">
        <v>17.954393</v>
      </c>
      <c r="AT22" s="15">
        <v>18.313938</v>
      </c>
      <c r="AU22" s="16">
        <v>18.582653000000001</v>
      </c>
      <c r="AV22" s="12">
        <f t="shared" ref="AV22:AY28" si="63">IF(OR(AR22="",AR22="NaN"),"",AR22-AVERAGE(AR$22:AR$28))</f>
        <v>-0.43130571428571329</v>
      </c>
      <c r="AW22" s="12">
        <f t="shared" si="63"/>
        <v>-0.50008571428571713</v>
      </c>
      <c r="AX22" s="12">
        <f t="shared" si="63"/>
        <v>0.44959042857142961</v>
      </c>
      <c r="AY22" s="17">
        <f t="shared" si="63"/>
        <v>0.27380971428571499</v>
      </c>
      <c r="BA22" s="14">
        <v>4.2544354999999996</v>
      </c>
      <c r="BB22" s="15">
        <v>4.3834759999999999</v>
      </c>
      <c r="BC22" s="15">
        <v>4.3526464000000002</v>
      </c>
      <c r="BD22" s="16">
        <v>3.7745578000000002</v>
      </c>
      <c r="BE22" s="12">
        <f t="shared" ref="BE22:BH28" si="64">IF(OR(BA22="",BA22="NaN"),"",BA22-AVERAGE(BA$22:BA$28))</f>
        <v>0.96968278571428579</v>
      </c>
      <c r="BF22" s="12">
        <f t="shared" si="64"/>
        <v>1.0992605142857146</v>
      </c>
      <c r="BG22" s="12">
        <f t="shared" si="64"/>
        <v>0.58013761428571442</v>
      </c>
      <c r="BH22" s="17">
        <f t="shared" si="64"/>
        <v>0.66911134285714313</v>
      </c>
      <c r="BJ22" s="14">
        <v>14.18113</v>
      </c>
      <c r="BK22" s="15">
        <v>9.2717790000000004</v>
      </c>
      <c r="BL22" s="15">
        <v>16.525186999999999</v>
      </c>
      <c r="BM22" s="16">
        <v>8.2782359999999997</v>
      </c>
      <c r="BN22" s="12">
        <f t="shared" ref="BN22:BQ28" si="65">IF(OR(BJ22="",BJ22="NaN"),"",BJ22-AVERAGE(BJ$22:BJ$28))</f>
        <v>6.4384817857142842</v>
      </c>
      <c r="BO22" s="12">
        <f t="shared" si="65"/>
        <v>2.9858095142857151</v>
      </c>
      <c r="BP22" s="12">
        <f t="shared" si="65"/>
        <v>7.1707683428571407</v>
      </c>
      <c r="BQ22" s="17">
        <f t="shared" si="65"/>
        <v>1.6600385142857146</v>
      </c>
      <c r="BS22" s="14">
        <v>5.3550680000000002</v>
      </c>
      <c r="BT22" s="15">
        <v>5.3205299999999998</v>
      </c>
      <c r="BU22" s="15">
        <v>5.6145005000000001</v>
      </c>
      <c r="BV22" s="16">
        <v>5.3883656999999996</v>
      </c>
      <c r="BW22" s="12">
        <f t="shared" ref="BW22:BZ28" si="66">IF(OR(BS22="",BS22="NaN"),"",BS22-AVERAGE(BS$22:BS$28))</f>
        <v>3.8441557142856908E-2</v>
      </c>
      <c r="BX22" s="12">
        <f t="shared" si="66"/>
        <v>1.9486957142857086E-2</v>
      </c>
      <c r="BY22" s="12">
        <f t="shared" si="66"/>
        <v>0.25354028571428611</v>
      </c>
      <c r="BZ22" s="17">
        <f t="shared" si="66"/>
        <v>8.9899671428571359E-2</v>
      </c>
    </row>
    <row r="23" spans="1:78" x14ac:dyDescent="0.25">
      <c r="A23" s="38"/>
      <c r="B23" s="5"/>
      <c r="C23" s="5"/>
      <c r="D23" s="5"/>
      <c r="E23" s="5"/>
      <c r="F23" s="18"/>
      <c r="H23" s="19">
        <v>86.92671</v>
      </c>
      <c r="I23" s="20">
        <v>86.976759999999999</v>
      </c>
      <c r="J23" s="20">
        <v>87.065994000000003</v>
      </c>
      <c r="K23" s="21">
        <v>85.315830000000005</v>
      </c>
      <c r="L23" s="5">
        <f t="shared" si="59"/>
        <v>0.10492028571428591</v>
      </c>
      <c r="M23" s="5">
        <f t="shared" si="59"/>
        <v>-0.19865571428570661</v>
      </c>
      <c r="N23" s="5">
        <f t="shared" si="59"/>
        <v>-8.2597142857139261E-3</v>
      </c>
      <c r="O23" s="22">
        <f t="shared" si="59"/>
        <v>-1.4433305714285609</v>
      </c>
      <c r="P23" s="5"/>
      <c r="Q23" s="19">
        <v>55.796999999999997</v>
      </c>
      <c r="R23" s="20">
        <v>54.837024999999997</v>
      </c>
      <c r="S23" s="20">
        <v>56.007556999999998</v>
      </c>
      <c r="T23" s="21">
        <v>55.564545000000003</v>
      </c>
      <c r="U23" s="5">
        <f t="shared" si="60"/>
        <v>0.59521471428571004</v>
      </c>
      <c r="V23" s="5">
        <f t="shared" si="60"/>
        <v>-9.9182428571431558E-2</v>
      </c>
      <c r="W23" s="5">
        <f t="shared" si="60"/>
        <v>0.41692771428572684</v>
      </c>
      <c r="X23" s="22">
        <f t="shared" si="60"/>
        <v>0.28721371428571985</v>
      </c>
      <c r="Y23" s="5"/>
      <c r="Z23" s="19">
        <v>12.709937</v>
      </c>
      <c r="AA23" s="20">
        <v>12.591768999999999</v>
      </c>
      <c r="AB23" s="20">
        <v>26.293465000000001</v>
      </c>
      <c r="AC23" s="21">
        <v>12.862292999999999</v>
      </c>
      <c r="AD23" s="5">
        <f t="shared" si="61"/>
        <v>-0.15221385714285596</v>
      </c>
      <c r="AE23" s="5">
        <f t="shared" si="61"/>
        <v>-0.28526635714285931</v>
      </c>
      <c r="AF23" s="5">
        <f t="shared" si="61"/>
        <v>9.4538808571428596</v>
      </c>
      <c r="AG23" s="22">
        <f t="shared" si="61"/>
        <v>0.3139722857142857</v>
      </c>
      <c r="AH23" s="5"/>
      <c r="AI23" s="19">
        <v>6.4728794000000001</v>
      </c>
      <c r="AJ23" s="20">
        <v>6.5194879999999999</v>
      </c>
      <c r="AK23" s="20">
        <v>6.6642656000000002</v>
      </c>
      <c r="AL23" s="21">
        <v>6.4985685000000002</v>
      </c>
      <c r="AM23" s="5">
        <f t="shared" si="62"/>
        <v>2.1204271428572063E-2</v>
      </c>
      <c r="AN23" s="5">
        <f t="shared" si="62"/>
        <v>9.0535742857142054E-2</v>
      </c>
      <c r="AO23" s="5">
        <f t="shared" si="62"/>
        <v>0.14812780000000014</v>
      </c>
      <c r="AP23" s="22">
        <f t="shared" si="62"/>
        <v>-1.3768871428570861E-2</v>
      </c>
      <c r="AR23" s="19">
        <v>17.773174000000001</v>
      </c>
      <c r="AS23" s="20">
        <v>18.105547000000001</v>
      </c>
      <c r="AT23" s="20">
        <v>14.291078000000001</v>
      </c>
      <c r="AU23" s="21">
        <v>17.918682</v>
      </c>
      <c r="AV23" s="5">
        <f t="shared" si="63"/>
        <v>-0.50578371428571245</v>
      </c>
      <c r="AW23" s="5">
        <f t="shared" si="63"/>
        <v>-0.34893171428571534</v>
      </c>
      <c r="AX23" s="5">
        <f t="shared" si="63"/>
        <v>-3.57326957142857</v>
      </c>
      <c r="AY23" s="22">
        <f t="shared" si="63"/>
        <v>-0.3901612857142851</v>
      </c>
      <c r="BA23" s="19">
        <v>3.7379905999999998</v>
      </c>
      <c r="BB23" s="20">
        <v>3.7348034000000001</v>
      </c>
      <c r="BC23" s="20">
        <v>4.3108177000000003</v>
      </c>
      <c r="BD23" s="21">
        <v>3.0511332000000002</v>
      </c>
      <c r="BE23" s="5">
        <f t="shared" si="64"/>
        <v>0.45323788571428603</v>
      </c>
      <c r="BF23" s="5">
        <f t="shared" si="64"/>
        <v>0.45058791428571476</v>
      </c>
      <c r="BG23" s="5">
        <f t="shared" si="64"/>
        <v>0.53830891428571448</v>
      </c>
      <c r="BH23" s="22">
        <f t="shared" si="64"/>
        <v>-5.4313257142856841E-2</v>
      </c>
      <c r="BJ23" s="19">
        <v>7.5820283999999996</v>
      </c>
      <c r="BK23" s="20">
        <v>6.9159383999999999</v>
      </c>
      <c r="BL23" s="20">
        <v>17.848703</v>
      </c>
      <c r="BM23" s="21">
        <v>7.9298909999999996</v>
      </c>
      <c r="BN23" s="5">
        <f t="shared" si="65"/>
        <v>-0.16061981428571581</v>
      </c>
      <c r="BO23" s="5">
        <f t="shared" si="65"/>
        <v>0.62996891428571455</v>
      </c>
      <c r="BP23" s="5">
        <f t="shared" si="65"/>
        <v>8.4942843428571422</v>
      </c>
      <c r="BQ23" s="22">
        <f t="shared" si="65"/>
        <v>1.3116935142857145</v>
      </c>
      <c r="BS23" s="19">
        <v>5.3083366999999999</v>
      </c>
      <c r="BT23" s="20">
        <v>5.2664030000000004</v>
      </c>
      <c r="BU23" s="20">
        <v>5.4022402999999999</v>
      </c>
      <c r="BV23" s="21">
        <v>5.3214582999999998</v>
      </c>
      <c r="BW23" s="5">
        <f t="shared" si="66"/>
        <v>-8.2897428571433451E-3</v>
      </c>
      <c r="BX23" s="5">
        <f t="shared" si="66"/>
        <v>-3.4640042857142284E-2</v>
      </c>
      <c r="BY23" s="5">
        <f t="shared" si="66"/>
        <v>4.1280085714285875E-2</v>
      </c>
      <c r="BZ23" s="22">
        <f t="shared" si="66"/>
        <v>2.299227142857152E-2</v>
      </c>
    </row>
    <row r="24" spans="1:78" x14ac:dyDescent="0.25">
      <c r="A24" s="38"/>
      <c r="B24" s="5"/>
      <c r="C24" s="5"/>
      <c r="D24" s="5"/>
      <c r="E24" s="5"/>
      <c r="F24" s="18"/>
      <c r="H24" s="19">
        <v>86.938323999999994</v>
      </c>
      <c r="I24" s="20">
        <v>87.404105999999999</v>
      </c>
      <c r="J24" s="20">
        <v>86.890686000000002</v>
      </c>
      <c r="K24" s="21">
        <v>87.150980000000004</v>
      </c>
      <c r="L24" s="5">
        <f t="shared" si="59"/>
        <v>0.11653428571428037</v>
      </c>
      <c r="M24" s="5">
        <f t="shared" si="59"/>
        <v>0.2286902857142934</v>
      </c>
      <c r="N24" s="5">
        <f t="shared" si="59"/>
        <v>-0.18356771428571506</v>
      </c>
      <c r="O24" s="22">
        <f t="shared" si="59"/>
        <v>0.39181942857143781</v>
      </c>
      <c r="P24" s="5"/>
      <c r="Q24" s="19">
        <v>55.858116000000003</v>
      </c>
      <c r="R24" s="20">
        <v>54.97813</v>
      </c>
      <c r="S24" s="20">
        <v>55.716003000000001</v>
      </c>
      <c r="T24" s="21">
        <v>55.419089999999997</v>
      </c>
      <c r="U24" s="5">
        <f t="shared" si="60"/>
        <v>0.65633071428571554</v>
      </c>
      <c r="V24" s="5">
        <f t="shared" si="60"/>
        <v>4.1922571428571587E-2</v>
      </c>
      <c r="W24" s="5">
        <f t="shared" si="60"/>
        <v>0.12537371428572897</v>
      </c>
      <c r="X24" s="22">
        <f t="shared" si="60"/>
        <v>0.1417587142857144</v>
      </c>
      <c r="Y24" s="5"/>
      <c r="Z24" s="19">
        <v>12.68163</v>
      </c>
      <c r="AA24" s="20">
        <v>12.502769000000001</v>
      </c>
      <c r="AB24" s="20">
        <v>14.948426</v>
      </c>
      <c r="AC24" s="21">
        <v>12.125702</v>
      </c>
      <c r="AD24" s="5">
        <f t="shared" si="61"/>
        <v>-0.18052085714285582</v>
      </c>
      <c r="AE24" s="5">
        <f t="shared" si="61"/>
        <v>-0.37426635714285794</v>
      </c>
      <c r="AF24" s="5">
        <f t="shared" si="61"/>
        <v>-1.891158142857142</v>
      </c>
      <c r="AG24" s="22">
        <f t="shared" si="61"/>
        <v>-0.42261871428571318</v>
      </c>
      <c r="AH24" s="5"/>
      <c r="AI24" s="19">
        <v>6.4447774999999998</v>
      </c>
      <c r="AJ24" s="20">
        <v>6.4831795999999997</v>
      </c>
      <c r="AK24" s="20">
        <v>6.480524</v>
      </c>
      <c r="AL24" s="21">
        <v>6.4447774999999998</v>
      </c>
      <c r="AM24" s="5">
        <f t="shared" si="62"/>
        <v>-6.8976285714281715E-3</v>
      </c>
      <c r="AN24" s="5">
        <f t="shared" si="62"/>
        <v>5.4227342857141814E-2</v>
      </c>
      <c r="AO24" s="5">
        <f t="shared" si="62"/>
        <v>-3.561380000000014E-2</v>
      </c>
      <c r="AP24" s="22">
        <f t="shared" si="62"/>
        <v>-6.7559871428571228E-2</v>
      </c>
      <c r="AR24" s="19">
        <v>17.849125000000001</v>
      </c>
      <c r="AS24" s="20">
        <v>18.154071999999999</v>
      </c>
      <c r="AT24" s="20">
        <v>17.915507999999999</v>
      </c>
      <c r="AU24" s="21">
        <v>18.042083999999999</v>
      </c>
      <c r="AV24" s="5">
        <f t="shared" si="63"/>
        <v>-0.42983271428571257</v>
      </c>
      <c r="AW24" s="5">
        <f t="shared" si="63"/>
        <v>-0.30040671428571741</v>
      </c>
      <c r="AX24" s="5">
        <f t="shared" si="63"/>
        <v>5.116042857142844E-2</v>
      </c>
      <c r="AY24" s="22">
        <f t="shared" si="63"/>
        <v>-0.26675928571428642</v>
      </c>
      <c r="BA24" s="19">
        <v>3.0537252000000001</v>
      </c>
      <c r="BB24" s="20">
        <v>2.9907243000000001</v>
      </c>
      <c r="BC24" s="20">
        <v>4.3834759999999999</v>
      </c>
      <c r="BD24" s="21">
        <v>3.0097841999999999</v>
      </c>
      <c r="BE24" s="5">
        <f t="shared" si="64"/>
        <v>-0.23102751428571366</v>
      </c>
      <c r="BF24" s="5">
        <f t="shared" si="64"/>
        <v>-0.29349118571428523</v>
      </c>
      <c r="BG24" s="5">
        <f t="shared" si="64"/>
        <v>0.6109672142857141</v>
      </c>
      <c r="BH24" s="22">
        <f t="shared" si="64"/>
        <v>-9.5662257142857143E-2</v>
      </c>
      <c r="BJ24" s="19">
        <v>7.3379307000000003</v>
      </c>
      <c r="BK24" s="20">
        <v>6.3792286000000002</v>
      </c>
      <c r="BL24" s="20">
        <v>8.6548960000000008</v>
      </c>
      <c r="BM24" s="21">
        <v>6.8984537000000001</v>
      </c>
      <c r="BN24" s="5">
        <f t="shared" si="65"/>
        <v>-0.40471751428571512</v>
      </c>
      <c r="BO24" s="5">
        <f t="shared" si="65"/>
        <v>9.3259114285714872E-2</v>
      </c>
      <c r="BP24" s="5">
        <f t="shared" si="65"/>
        <v>-0.69952265714285744</v>
      </c>
      <c r="BQ24" s="22">
        <f t="shared" si="65"/>
        <v>0.28025621428571501</v>
      </c>
      <c r="BS24" s="19">
        <v>5.3276079999999997</v>
      </c>
      <c r="BT24" s="20">
        <v>5.2963579999999997</v>
      </c>
      <c r="BU24" s="20">
        <v>5.3173399999999997</v>
      </c>
      <c r="BV24" s="21">
        <v>5.3475365999999998</v>
      </c>
      <c r="BW24" s="5">
        <f t="shared" si="66"/>
        <v>1.0981557142856424E-2</v>
      </c>
      <c r="BX24" s="5">
        <f t="shared" si="66"/>
        <v>-4.6850428571429958E-3</v>
      </c>
      <c r="BY24" s="5">
        <f t="shared" si="66"/>
        <v>-4.3620214285714276E-2</v>
      </c>
      <c r="BZ24" s="22">
        <f t="shared" si="66"/>
        <v>4.9070571428571519E-2</v>
      </c>
    </row>
    <row r="25" spans="1:78" x14ac:dyDescent="0.25">
      <c r="A25" s="38"/>
      <c r="B25" s="5"/>
      <c r="C25" s="5"/>
      <c r="D25" s="5"/>
      <c r="E25" s="5"/>
      <c r="F25" s="18"/>
      <c r="H25" s="19">
        <v>87.625399999999999</v>
      </c>
      <c r="I25" s="20">
        <v>87.75712</v>
      </c>
      <c r="J25" s="20">
        <v>87.640780000000007</v>
      </c>
      <c r="K25" s="21">
        <v>87.20881</v>
      </c>
      <c r="L25" s="5">
        <f t="shared" si="59"/>
        <v>0.80361028571428506</v>
      </c>
      <c r="M25" s="5">
        <f t="shared" si="59"/>
        <v>0.58170428571429511</v>
      </c>
      <c r="N25" s="5">
        <f t="shared" si="59"/>
        <v>0.5665262857142892</v>
      </c>
      <c r="O25" s="22">
        <f t="shared" si="59"/>
        <v>0.44964942857143342</v>
      </c>
      <c r="P25" s="5"/>
      <c r="Q25" s="19">
        <v>55.204514000000003</v>
      </c>
      <c r="R25" s="20">
        <v>55.201770000000003</v>
      </c>
      <c r="S25" s="20">
        <v>55.045650000000002</v>
      </c>
      <c r="T25" s="21">
        <v>55.339179999999999</v>
      </c>
      <c r="U25" s="5">
        <f t="shared" si="60"/>
        <v>2.7287142857161939E-3</v>
      </c>
      <c r="V25" s="5">
        <f t="shared" si="60"/>
        <v>0.26556257142857476</v>
      </c>
      <c r="W25" s="5">
        <f t="shared" si="60"/>
        <v>-0.54497928571426968</v>
      </c>
      <c r="X25" s="22">
        <f t="shared" si="60"/>
        <v>6.1848714285716255E-2</v>
      </c>
      <c r="Y25" s="5"/>
      <c r="Z25" s="19">
        <v>11.905082999999999</v>
      </c>
      <c r="AA25" s="20">
        <v>11.878634999999999</v>
      </c>
      <c r="AB25" s="20">
        <v>15.019437999999999</v>
      </c>
      <c r="AC25" s="21">
        <v>12.117668999999999</v>
      </c>
      <c r="AD25" s="5">
        <f t="shared" si="61"/>
        <v>-0.95706785714285658</v>
      </c>
      <c r="AE25" s="5">
        <f t="shared" si="61"/>
        <v>-0.99840035714285946</v>
      </c>
      <c r="AF25" s="5">
        <f t="shared" si="61"/>
        <v>-1.8201461428571424</v>
      </c>
      <c r="AG25" s="22">
        <f t="shared" si="61"/>
        <v>-0.43065171428571425</v>
      </c>
      <c r="AH25" s="5"/>
      <c r="AI25" s="19">
        <v>6.3322573000000002</v>
      </c>
      <c r="AJ25" s="20">
        <v>6.3527259999999997</v>
      </c>
      <c r="AK25" s="20">
        <v>6.4985920000000004</v>
      </c>
      <c r="AL25" s="21">
        <v>6.5155849999999997</v>
      </c>
      <c r="AM25" s="5">
        <f t="shared" si="62"/>
        <v>-0.1194178285714278</v>
      </c>
      <c r="AN25" s="5">
        <f t="shared" si="62"/>
        <v>-7.6226257142858245E-2</v>
      </c>
      <c r="AO25" s="5">
        <f t="shared" si="62"/>
        <v>-1.7545799999999723E-2</v>
      </c>
      <c r="AP25" s="22">
        <f t="shared" si="62"/>
        <v>3.2476285714286846E-3</v>
      </c>
      <c r="AR25" s="19">
        <v>18.166371999999999</v>
      </c>
      <c r="AS25" s="20">
        <v>18.346024</v>
      </c>
      <c r="AT25" s="20">
        <v>18.155253999999999</v>
      </c>
      <c r="AU25" s="21">
        <v>18.012402000000002</v>
      </c>
      <c r="AV25" s="5">
        <f t="shared" si="63"/>
        <v>-0.11258571428571429</v>
      </c>
      <c r="AW25" s="5">
        <f t="shared" si="63"/>
        <v>-0.10845471428571685</v>
      </c>
      <c r="AX25" s="5">
        <f t="shared" si="63"/>
        <v>0.29090642857142868</v>
      </c>
      <c r="AY25" s="22">
        <f t="shared" si="63"/>
        <v>-0.29644128571428396</v>
      </c>
      <c r="BA25" s="19">
        <v>2.9837145999999999</v>
      </c>
      <c r="BB25" s="20">
        <v>2.9904177000000001</v>
      </c>
      <c r="BC25" s="20">
        <v>4.3814282000000002</v>
      </c>
      <c r="BD25" s="21">
        <v>2.9848094000000001</v>
      </c>
      <c r="BE25" s="5">
        <f t="shared" si="64"/>
        <v>-0.30103811428571392</v>
      </c>
      <c r="BF25" s="5">
        <f t="shared" si="64"/>
        <v>-0.29379778571428528</v>
      </c>
      <c r="BG25" s="5">
        <f t="shared" si="64"/>
        <v>0.60891941428571439</v>
      </c>
      <c r="BH25" s="22">
        <f t="shared" si="64"/>
        <v>-0.120637057142857</v>
      </c>
      <c r="BJ25" s="19">
        <v>6.8519490000000003</v>
      </c>
      <c r="BK25" s="20">
        <v>7.2724323000000002</v>
      </c>
      <c r="BL25" s="20">
        <v>6.6323686000000004</v>
      </c>
      <c r="BM25" s="21">
        <v>6.3714409999999999</v>
      </c>
      <c r="BN25" s="5">
        <f t="shared" si="65"/>
        <v>-0.89069921428571508</v>
      </c>
      <c r="BO25" s="5">
        <f t="shared" si="65"/>
        <v>0.98646281428571481</v>
      </c>
      <c r="BP25" s="5">
        <f t="shared" si="65"/>
        <v>-2.7220500571428579</v>
      </c>
      <c r="BQ25" s="22">
        <f t="shared" si="65"/>
        <v>-0.24675648571428521</v>
      </c>
      <c r="BS25" s="19">
        <v>5.3778129999999997</v>
      </c>
      <c r="BT25" s="20">
        <v>5.3145579999999999</v>
      </c>
      <c r="BU25" s="20">
        <v>5.3133793000000002</v>
      </c>
      <c r="BV25" s="21">
        <v>5.2815000000000003</v>
      </c>
      <c r="BW25" s="5">
        <f t="shared" si="66"/>
        <v>6.1186557142856479E-2</v>
      </c>
      <c r="BX25" s="5">
        <f t="shared" si="66"/>
        <v>1.351495714285722E-2</v>
      </c>
      <c r="BY25" s="5">
        <f t="shared" si="66"/>
        <v>-4.758091428571376E-2</v>
      </c>
      <c r="BZ25" s="22">
        <f t="shared" si="66"/>
        <v>-1.6966028571427927E-2</v>
      </c>
    </row>
    <row r="26" spans="1:78" x14ac:dyDescent="0.25">
      <c r="A26" s="38"/>
      <c r="B26" s="5"/>
      <c r="C26" s="5"/>
      <c r="D26" s="5"/>
      <c r="E26" s="5"/>
      <c r="F26" s="18"/>
      <c r="H26" s="19">
        <v>87.391649999999998</v>
      </c>
      <c r="I26" s="20">
        <v>87.568950000000001</v>
      </c>
      <c r="J26" s="20">
        <v>87.812126000000006</v>
      </c>
      <c r="K26" s="21">
        <v>87.592963999999995</v>
      </c>
      <c r="L26" s="5">
        <f t="shared" si="59"/>
        <v>0.56986028571428449</v>
      </c>
      <c r="M26" s="5">
        <f t="shared" si="59"/>
        <v>0.39353428571429561</v>
      </c>
      <c r="N26" s="5">
        <f t="shared" si="59"/>
        <v>0.73787228571428898</v>
      </c>
      <c r="O26" s="22">
        <f t="shared" si="59"/>
        <v>0.83380342857142864</v>
      </c>
      <c r="P26" s="5"/>
      <c r="Q26" s="19">
        <v>55.184570000000001</v>
      </c>
      <c r="R26" s="20">
        <v>55.189563999999997</v>
      </c>
      <c r="S26" s="20">
        <v>55.067970000000003</v>
      </c>
      <c r="T26" s="21">
        <v>55.332836</v>
      </c>
      <c r="U26" s="5">
        <f t="shared" si="60"/>
        <v>-1.721528571428621E-2</v>
      </c>
      <c r="V26" s="5">
        <f t="shared" si="60"/>
        <v>0.2533565714285686</v>
      </c>
      <c r="W26" s="5">
        <f t="shared" si="60"/>
        <v>-0.52265928571426912</v>
      </c>
      <c r="X26" s="22">
        <f t="shared" si="60"/>
        <v>5.5504714285717682E-2</v>
      </c>
      <c r="Y26" s="5"/>
      <c r="Z26" s="19">
        <v>11.634831999999999</v>
      </c>
      <c r="AA26" s="20">
        <v>11.65887</v>
      </c>
      <c r="AB26" s="20">
        <v>12.519129</v>
      </c>
      <c r="AC26" s="21">
        <v>12.063988999999999</v>
      </c>
      <c r="AD26" s="5">
        <f t="shared" si="61"/>
        <v>-1.2273188571428566</v>
      </c>
      <c r="AE26" s="5">
        <f t="shared" si="61"/>
        <v>-1.2181653571428583</v>
      </c>
      <c r="AF26" s="5">
        <f t="shared" si="61"/>
        <v>-4.3204551428571421</v>
      </c>
      <c r="AG26" s="22">
        <f t="shared" si="61"/>
        <v>-0.4843317142857142</v>
      </c>
      <c r="AH26" s="5"/>
      <c r="AI26" s="19">
        <v>6.4183669999999999</v>
      </c>
      <c r="AJ26" s="20">
        <v>6.3104579999999997</v>
      </c>
      <c r="AK26" s="20">
        <v>6.3944049999999999</v>
      </c>
      <c r="AL26" s="21">
        <v>6.4677040000000003</v>
      </c>
      <c r="AM26" s="5">
        <f t="shared" si="62"/>
        <v>-3.3308128571428064E-2</v>
      </c>
      <c r="AN26" s="5">
        <f t="shared" si="62"/>
        <v>-0.11849425714285822</v>
      </c>
      <c r="AO26" s="5">
        <f t="shared" si="62"/>
        <v>-0.1217328000000002</v>
      </c>
      <c r="AP26" s="22">
        <f t="shared" si="62"/>
        <v>-4.4633371428570712E-2</v>
      </c>
      <c r="AR26" s="19">
        <v>18.345348000000001</v>
      </c>
      <c r="AS26" s="20">
        <v>18.811368999999999</v>
      </c>
      <c r="AT26" s="20">
        <v>18.365193999999999</v>
      </c>
      <c r="AU26" s="21">
        <v>18.11626</v>
      </c>
      <c r="AV26" s="5">
        <f t="shared" si="63"/>
        <v>6.6390285714287955E-2</v>
      </c>
      <c r="AW26" s="5">
        <f t="shared" si="63"/>
        <v>0.35689028571428238</v>
      </c>
      <c r="AX26" s="5">
        <f t="shared" si="63"/>
        <v>0.50084642857142825</v>
      </c>
      <c r="AY26" s="22">
        <f t="shared" si="63"/>
        <v>-0.19258328571428507</v>
      </c>
      <c r="BA26" s="19">
        <v>2.9837145999999999</v>
      </c>
      <c r="BB26" s="20">
        <v>3.0068109999999999</v>
      </c>
      <c r="BC26" s="20">
        <v>3.0255901999999999</v>
      </c>
      <c r="BD26" s="21">
        <v>2.9869018000000001</v>
      </c>
      <c r="BE26" s="5">
        <f t="shared" si="64"/>
        <v>-0.30103811428571392</v>
      </c>
      <c r="BF26" s="5">
        <f t="shared" si="64"/>
        <v>-0.27740448571428544</v>
      </c>
      <c r="BG26" s="5">
        <f t="shared" si="64"/>
        <v>-0.74691858571428593</v>
      </c>
      <c r="BH26" s="22">
        <f t="shared" si="64"/>
        <v>-0.118544657142857</v>
      </c>
      <c r="BJ26" s="19">
        <v>7.6175160000000002</v>
      </c>
      <c r="BK26" s="20">
        <v>7.0056963000000003</v>
      </c>
      <c r="BL26" s="20">
        <v>6.9725760000000001</v>
      </c>
      <c r="BM26" s="21">
        <v>6.9473149999999997</v>
      </c>
      <c r="BN26" s="5">
        <f t="shared" si="65"/>
        <v>-0.12513221428571519</v>
      </c>
      <c r="BO26" s="5">
        <f t="shared" si="65"/>
        <v>0.71972681428571494</v>
      </c>
      <c r="BP26" s="5">
        <f t="shared" si="65"/>
        <v>-2.3818426571428581</v>
      </c>
      <c r="BQ26" s="22">
        <f t="shared" si="65"/>
        <v>0.32911751428571456</v>
      </c>
      <c r="BS26" s="19">
        <v>5.2878084000000003</v>
      </c>
      <c r="BT26" s="20">
        <v>5.2431979999999996</v>
      </c>
      <c r="BU26" s="20">
        <v>5.2737189999999998</v>
      </c>
      <c r="BV26" s="21">
        <v>5.2878423000000003</v>
      </c>
      <c r="BW26" s="5">
        <f t="shared" si="66"/>
        <v>-2.8818042857142956E-2</v>
      </c>
      <c r="BX26" s="5">
        <f t="shared" si="66"/>
        <v>-5.7845042857143092E-2</v>
      </c>
      <c r="BY26" s="5">
        <f t="shared" si="66"/>
        <v>-8.7241214285714186E-2</v>
      </c>
      <c r="BZ26" s="22">
        <f t="shared" si="66"/>
        <v>-1.0623728571427904E-2</v>
      </c>
    </row>
    <row r="27" spans="1:78" x14ac:dyDescent="0.25">
      <c r="A27" s="38"/>
      <c r="B27" s="5"/>
      <c r="C27" s="5"/>
      <c r="D27" s="5"/>
      <c r="E27" s="5"/>
      <c r="F27" s="18"/>
      <c r="H27" s="19">
        <v>87.636189999999999</v>
      </c>
      <c r="I27" s="20">
        <v>87.552379999999999</v>
      </c>
      <c r="J27" s="20">
        <v>87.384789999999995</v>
      </c>
      <c r="K27" s="21">
        <v>87.386520000000004</v>
      </c>
      <c r="L27" s="5">
        <f t="shared" si="59"/>
        <v>0.81440028571428513</v>
      </c>
      <c r="M27" s="5">
        <f t="shared" si="59"/>
        <v>0.37696428571429408</v>
      </c>
      <c r="N27" s="5">
        <f t="shared" si="59"/>
        <v>0.31053628571427794</v>
      </c>
      <c r="O27" s="22">
        <f t="shared" si="59"/>
        <v>0.62735942857143812</v>
      </c>
      <c r="P27" s="5"/>
      <c r="Q27" s="19">
        <v>55.260066999999999</v>
      </c>
      <c r="R27" s="20">
        <v>55.376289999999997</v>
      </c>
      <c r="S27" s="20">
        <v>55.420715000000001</v>
      </c>
      <c r="T27" s="21">
        <v>55.376232000000002</v>
      </c>
      <c r="U27" s="5">
        <f t="shared" si="60"/>
        <v>5.8281714285712383E-2</v>
      </c>
      <c r="V27" s="5">
        <f t="shared" si="60"/>
        <v>0.44008257142856877</v>
      </c>
      <c r="W27" s="5">
        <f t="shared" si="60"/>
        <v>-0.16991428571427036</v>
      </c>
      <c r="X27" s="22">
        <f t="shared" si="60"/>
        <v>9.8900714285719005E-2</v>
      </c>
      <c r="Y27" s="5"/>
      <c r="Z27" s="19">
        <v>11.394076999999999</v>
      </c>
      <c r="AA27" s="20">
        <v>11.6238575</v>
      </c>
      <c r="AB27" s="20">
        <v>11.850598</v>
      </c>
      <c r="AC27" s="21">
        <v>11.761839</v>
      </c>
      <c r="AD27" s="5">
        <f t="shared" si="61"/>
        <v>-1.4680738571428567</v>
      </c>
      <c r="AE27" s="5">
        <f t="shared" si="61"/>
        <v>-1.2531778571428589</v>
      </c>
      <c r="AF27" s="5">
        <f t="shared" si="61"/>
        <v>-4.9889861428571418</v>
      </c>
      <c r="AG27" s="22">
        <f t="shared" si="61"/>
        <v>-0.78648171428571345</v>
      </c>
      <c r="AH27" s="5"/>
      <c r="AI27" s="19">
        <v>6.4012510000000002</v>
      </c>
      <c r="AJ27" s="20">
        <v>6.3419970000000001</v>
      </c>
      <c r="AK27" s="20">
        <v>6.3819929999999996</v>
      </c>
      <c r="AL27" s="21">
        <v>6.4118769999999996</v>
      </c>
      <c r="AM27" s="5">
        <f t="shared" si="62"/>
        <v>-5.0424128571427751E-2</v>
      </c>
      <c r="AN27" s="5">
        <f t="shared" si="62"/>
        <v>-8.6955257142857789E-2</v>
      </c>
      <c r="AO27" s="5">
        <f t="shared" si="62"/>
        <v>-0.13414480000000051</v>
      </c>
      <c r="AP27" s="22">
        <f t="shared" si="62"/>
        <v>-0.10046037142857145</v>
      </c>
      <c r="AR27" s="19">
        <v>18.759637999999999</v>
      </c>
      <c r="AS27" s="20">
        <v>18.921537000000001</v>
      </c>
      <c r="AT27" s="20">
        <v>18.736969999999999</v>
      </c>
      <c r="AU27" s="21">
        <v>18.639700000000001</v>
      </c>
      <c r="AV27" s="5">
        <f t="shared" si="63"/>
        <v>0.48068028571428556</v>
      </c>
      <c r="AW27" s="5">
        <f t="shared" si="63"/>
        <v>0.46705828571428398</v>
      </c>
      <c r="AX27" s="5">
        <f t="shared" si="63"/>
        <v>0.8726224285714288</v>
      </c>
      <c r="AY27" s="22">
        <f t="shared" si="63"/>
        <v>0.33085671428571573</v>
      </c>
      <c r="BA27" s="19">
        <v>3.0087245</v>
      </c>
      <c r="BB27" s="20">
        <v>2.953341</v>
      </c>
      <c r="BC27" s="20">
        <v>2.9837145999999999</v>
      </c>
      <c r="BD27" s="21">
        <v>2.9869018000000001</v>
      </c>
      <c r="BE27" s="5">
        <f t="shared" si="64"/>
        <v>-0.27602821428571378</v>
      </c>
      <c r="BF27" s="5">
        <f t="shared" si="64"/>
        <v>-0.33087448571428535</v>
      </c>
      <c r="BG27" s="5">
        <f t="shared" si="64"/>
        <v>-0.78879418571428594</v>
      </c>
      <c r="BH27" s="22">
        <f t="shared" si="64"/>
        <v>-0.118544657142857</v>
      </c>
      <c r="BJ27" s="19">
        <v>7.4063907000000002</v>
      </c>
      <c r="BK27" s="20">
        <v>4.6584735000000004</v>
      </c>
      <c r="BL27" s="20">
        <v>7.0056380000000003</v>
      </c>
      <c r="BM27" s="21">
        <v>6.7674823000000002</v>
      </c>
      <c r="BN27" s="5">
        <f t="shared" si="65"/>
        <v>-0.33625751428571515</v>
      </c>
      <c r="BO27" s="5">
        <f t="shared" si="65"/>
        <v>-1.627495985714285</v>
      </c>
      <c r="BP27" s="5">
        <f t="shared" si="65"/>
        <v>-2.348780657142858</v>
      </c>
      <c r="BQ27" s="22">
        <f t="shared" si="65"/>
        <v>0.14928481428571505</v>
      </c>
      <c r="BS27" s="19">
        <v>5.231865</v>
      </c>
      <c r="BT27" s="20">
        <v>5.2863902999999999</v>
      </c>
      <c r="BU27" s="20">
        <v>5.2739269999999996</v>
      </c>
      <c r="BV27" s="21">
        <v>5.2457867</v>
      </c>
      <c r="BW27" s="5">
        <f t="shared" si="66"/>
        <v>-8.4761442857143265E-2</v>
      </c>
      <c r="BX27" s="5">
        <f t="shared" si="66"/>
        <v>-1.4652742857142798E-2</v>
      </c>
      <c r="BY27" s="5">
        <f t="shared" si="66"/>
        <v>-8.7033214285714422E-2</v>
      </c>
      <c r="BZ27" s="22">
        <f t="shared" si="66"/>
        <v>-5.2679328571428208E-2</v>
      </c>
    </row>
    <row r="28" spans="1:78" x14ac:dyDescent="0.25">
      <c r="A28" s="39"/>
      <c r="B28" s="23"/>
      <c r="C28" s="23"/>
      <c r="D28" s="23"/>
      <c r="E28" s="23"/>
      <c r="F28" s="24"/>
      <c r="H28" s="25">
        <v>87.757279999999994</v>
      </c>
      <c r="I28" s="26">
        <v>87.854033999999999</v>
      </c>
      <c r="J28" s="26">
        <v>87.805210000000002</v>
      </c>
      <c r="K28" s="27">
        <v>87.652760000000001</v>
      </c>
      <c r="L28" s="23">
        <f t="shared" si="59"/>
        <v>0.93549028571428039</v>
      </c>
      <c r="M28" s="23">
        <f t="shared" si="59"/>
        <v>0.67861828571429328</v>
      </c>
      <c r="N28" s="23">
        <f t="shared" si="59"/>
        <v>0.73095628571428506</v>
      </c>
      <c r="O28" s="28">
        <f t="shared" si="59"/>
        <v>0.89359942857143437</v>
      </c>
      <c r="P28" s="5"/>
      <c r="Q28" s="25">
        <v>54.840946000000002</v>
      </c>
      <c r="R28" s="26">
        <v>54.581467000000004</v>
      </c>
      <c r="S28" s="26">
        <v>55.226370000000003</v>
      </c>
      <c r="T28" s="27">
        <v>55.194282999999999</v>
      </c>
      <c r="U28" s="23">
        <f t="shared" si="60"/>
        <v>-0.36083928571428459</v>
      </c>
      <c r="V28" s="23">
        <f t="shared" si="60"/>
        <v>-0.35474042857142507</v>
      </c>
      <c r="W28" s="23">
        <f t="shared" si="60"/>
        <v>-0.3642592857142688</v>
      </c>
      <c r="X28" s="28">
        <f t="shared" si="60"/>
        <v>-8.304828571428402E-2</v>
      </c>
      <c r="Y28" s="5"/>
      <c r="Z28" s="25">
        <v>11.426826999999999</v>
      </c>
      <c r="AA28" s="26">
        <v>11.602684</v>
      </c>
      <c r="AB28" s="26">
        <v>11.643810999999999</v>
      </c>
      <c r="AC28" s="27">
        <v>11.530252000000001</v>
      </c>
      <c r="AD28" s="23">
        <f t="shared" si="61"/>
        <v>-1.4353238571428566</v>
      </c>
      <c r="AE28" s="23">
        <f t="shared" si="61"/>
        <v>-1.2743513571428586</v>
      </c>
      <c r="AF28" s="23">
        <f t="shared" si="61"/>
        <v>-5.1957731428571421</v>
      </c>
      <c r="AG28" s="28">
        <f t="shared" si="61"/>
        <v>-1.0180687142857128</v>
      </c>
      <c r="AH28" s="5"/>
      <c r="AI28" s="25">
        <v>6.1750790000000002</v>
      </c>
      <c r="AJ28" s="26">
        <v>6.2025585000000003</v>
      </c>
      <c r="AK28" s="26">
        <v>6.2320120000000001</v>
      </c>
      <c r="AL28" s="27">
        <v>6.3591519999999999</v>
      </c>
      <c r="AM28" s="23">
        <f t="shared" si="62"/>
        <v>-0.27659612857142779</v>
      </c>
      <c r="AN28" s="23">
        <f t="shared" si="62"/>
        <v>-0.22639375714285759</v>
      </c>
      <c r="AO28" s="23">
        <f t="shared" si="62"/>
        <v>-0.28412579999999998</v>
      </c>
      <c r="AP28" s="28">
        <f t="shared" si="62"/>
        <v>-0.15318537142857114</v>
      </c>
      <c r="AR28" s="25">
        <v>19.211395</v>
      </c>
      <c r="AS28" s="26">
        <v>18.888408999999999</v>
      </c>
      <c r="AT28" s="26">
        <v>19.272490999999999</v>
      </c>
      <c r="AU28" s="27">
        <v>18.850121999999999</v>
      </c>
      <c r="AV28" s="23">
        <f t="shared" si="63"/>
        <v>0.93243728571428619</v>
      </c>
      <c r="AW28" s="23">
        <f t="shared" si="63"/>
        <v>0.4339302857142826</v>
      </c>
      <c r="AX28" s="23">
        <f t="shared" si="63"/>
        <v>1.408143428571428</v>
      </c>
      <c r="AY28" s="28">
        <f t="shared" si="63"/>
        <v>0.54127871428571339</v>
      </c>
      <c r="BA28" s="25">
        <v>2.9709639999999999</v>
      </c>
      <c r="BB28" s="26">
        <v>2.929935</v>
      </c>
      <c r="BC28" s="26">
        <v>2.9698883999999999</v>
      </c>
      <c r="BD28" s="27">
        <v>2.9440369999999998</v>
      </c>
      <c r="BE28" s="23">
        <f t="shared" si="64"/>
        <v>-0.31378871428571387</v>
      </c>
      <c r="BF28" s="23">
        <f t="shared" si="64"/>
        <v>-0.35428048571428539</v>
      </c>
      <c r="BG28" s="23">
        <f t="shared" si="64"/>
        <v>-0.80262038571428596</v>
      </c>
      <c r="BH28" s="28">
        <f t="shared" si="64"/>
        <v>-0.16140945714285726</v>
      </c>
      <c r="BJ28" s="25">
        <v>3.2215927</v>
      </c>
      <c r="BK28" s="26">
        <v>2.4982383000000001</v>
      </c>
      <c r="BL28" s="26">
        <v>1.8415619999999999</v>
      </c>
      <c r="BM28" s="27">
        <v>3.1345634000000002</v>
      </c>
      <c r="BN28" s="23">
        <f t="shared" si="65"/>
        <v>-4.5210555142857149</v>
      </c>
      <c r="BO28" s="23">
        <f t="shared" si="65"/>
        <v>-3.7877311857142852</v>
      </c>
      <c r="BP28" s="23">
        <f t="shared" si="65"/>
        <v>-7.5128566571428586</v>
      </c>
      <c r="BQ28" s="28">
        <f t="shared" si="65"/>
        <v>-3.4836340857142849</v>
      </c>
      <c r="BS28" s="25">
        <v>5.3278860000000003</v>
      </c>
      <c r="BT28" s="26">
        <v>5.3798640000000004</v>
      </c>
      <c r="BU28" s="26">
        <v>5.3316153999999996</v>
      </c>
      <c r="BV28" s="27">
        <v>5.2167725999999996</v>
      </c>
      <c r="BW28" s="23">
        <f t="shared" si="66"/>
        <v>1.1259557142857091E-2</v>
      </c>
      <c r="BX28" s="23">
        <f t="shared" si="66"/>
        <v>7.882095714285775E-2</v>
      </c>
      <c r="BY28" s="23">
        <f t="shared" si="66"/>
        <v>-2.9344814285714449E-2</v>
      </c>
      <c r="BZ28" s="28">
        <f t="shared" si="66"/>
        <v>-8.1693428571428583E-2</v>
      </c>
    </row>
    <row r="30" spans="1:78" x14ac:dyDescent="0.25">
      <c r="B30" s="29">
        <f>(AVERAGE(B8,B15,B22)-AVERAGE(B14,B21,B28))/10</f>
        <v>4.3925000000000001</v>
      </c>
      <c r="C30" s="29">
        <f>(AVERAGE(C8,C15,C22)-AVERAGE(C14,C21,C28))/10</f>
        <v>4.5250000000000004</v>
      </c>
      <c r="D30" s="29">
        <f>(AVERAGE(D8,D15,D22)-AVERAGE(D14,D21,D28))/10</f>
        <v>4.3624999999999998</v>
      </c>
      <c r="E30" s="29">
        <f>(AVERAGE(E8,E15,E22)-AVERAGE(E14,E21,E28))/10</f>
        <v>4.3325000000000005</v>
      </c>
      <c r="F30" s="30"/>
      <c r="L30" s="5">
        <f t="shared" ref="L30:O36" si="67">AVERAGE(L8,L15,L22)</f>
        <v>-2.5029256666666746</v>
      </c>
      <c r="M30" s="5">
        <f t="shared" si="67"/>
        <v>-1.6255435238095213</v>
      </c>
      <c r="N30" s="5">
        <f t="shared" si="67"/>
        <v>-2.1364616666666714</v>
      </c>
      <c r="O30" s="5">
        <f t="shared" si="67"/>
        <v>-1.8078101904761894</v>
      </c>
      <c r="U30" s="5">
        <f t="shared" ref="U30:X36" si="68">AVERAGE(U8,U15,U22)</f>
        <v>0.38255566666666851</v>
      </c>
      <c r="V30" s="5">
        <f t="shared" si="68"/>
        <v>0.52476738095238318</v>
      </c>
      <c r="W30" s="5">
        <f t="shared" si="68"/>
        <v>1.0546561904761991</v>
      </c>
      <c r="X30" s="5">
        <f t="shared" si="68"/>
        <v>0.7683516190476164</v>
      </c>
      <c r="AD30" s="5">
        <f t="shared" ref="AD30:AG36" si="69">AVERAGE(AD8,AD15,AD22)</f>
        <v>3.6750111904761904</v>
      </c>
      <c r="AE30" s="5">
        <f t="shared" si="69"/>
        <v>5.0291762619047615</v>
      </c>
      <c r="AF30" s="5">
        <f t="shared" si="69"/>
        <v>6.842722666666667</v>
      </c>
      <c r="AG30" s="5">
        <f t="shared" si="69"/>
        <v>2.921138761904762</v>
      </c>
      <c r="AM30" s="5">
        <f t="shared" ref="AM30:AP36" si="70">AVERAGE(AM8,AM15,AM22)</f>
        <v>0.17879543333333339</v>
      </c>
      <c r="AN30" s="5">
        <f t="shared" si="70"/>
        <v>0.12748145238095207</v>
      </c>
      <c r="AO30" s="5">
        <f t="shared" si="70"/>
        <v>0.11273423809523801</v>
      </c>
      <c r="AP30" s="5">
        <f t="shared" si="70"/>
        <v>0.12495747619047688</v>
      </c>
      <c r="AV30" s="5">
        <f t="shared" ref="AV30:AY36" si="71">AVERAGE(AV8,AV15,AV22)</f>
        <v>-0.25254133333333151</v>
      </c>
      <c r="AW30" s="5">
        <f t="shared" si="71"/>
        <v>-0.35732319047619282</v>
      </c>
      <c r="AX30" s="5">
        <f t="shared" si="71"/>
        <v>4.4993142857143432E-2</v>
      </c>
      <c r="AY30" s="5">
        <f t="shared" si="71"/>
        <v>5.7188952380953374E-2</v>
      </c>
      <c r="BE30" s="5">
        <f t="shared" ref="BE30:BH36" si="72">AVERAGE(BE8,BE15,BE22)</f>
        <v>0.60297217142857151</v>
      </c>
      <c r="BF30" s="5">
        <f t="shared" si="72"/>
        <v>0.6184256428571433</v>
      </c>
      <c r="BG30" s="5">
        <f t="shared" si="72"/>
        <v>0.3430759238095244</v>
      </c>
      <c r="BH30" s="5">
        <f t="shared" si="72"/>
        <v>0.44101922380952407</v>
      </c>
      <c r="BN30" s="5">
        <f t="shared" ref="BN30:BQ36" si="73">AVERAGE(BN8,BN15,BN22)</f>
        <v>3.7759698476190469</v>
      </c>
      <c r="BO30" s="5">
        <f t="shared" si="73"/>
        <v>3.7185710999999997</v>
      </c>
      <c r="BP30" s="5">
        <f t="shared" si="73"/>
        <v>5.8400342999999992</v>
      </c>
      <c r="BQ30" s="5">
        <f t="shared" si="73"/>
        <v>2.6157764857142856</v>
      </c>
      <c r="BW30" s="5">
        <f t="shared" ref="BW30:BZ36" si="74">AVERAGE(BW8,BW15,BW22)</f>
        <v>0.14785704285714285</v>
      </c>
      <c r="BX30" s="5">
        <f t="shared" si="74"/>
        <v>0.15377321904761843</v>
      </c>
      <c r="BY30" s="5">
        <f t="shared" si="74"/>
        <v>0.28095838571428605</v>
      </c>
      <c r="BZ30" s="5">
        <f t="shared" si="74"/>
        <v>5.0007223809524014E-2</v>
      </c>
    </row>
    <row r="31" spans="1:78" x14ac:dyDescent="0.25">
      <c r="L31" s="5">
        <f t="shared" si="67"/>
        <v>-0.12850366666667412</v>
      </c>
      <c r="M31" s="5">
        <f t="shared" si="67"/>
        <v>-0.51562552380951843</v>
      </c>
      <c r="N31" s="5">
        <f t="shared" si="67"/>
        <v>-0.12723033333333925</v>
      </c>
      <c r="O31" s="5">
        <f t="shared" si="67"/>
        <v>-1.0614805238095215</v>
      </c>
      <c r="U31" s="5">
        <f t="shared" si="68"/>
        <v>0.88343299999999891</v>
      </c>
      <c r="V31" s="5">
        <f t="shared" si="68"/>
        <v>0.16209171428571523</v>
      </c>
      <c r="W31" s="5">
        <f t="shared" si="68"/>
        <v>0.72610619047619684</v>
      </c>
      <c r="X31" s="5">
        <f t="shared" si="68"/>
        <v>0.71566495238095007</v>
      </c>
      <c r="AD31" s="5">
        <f t="shared" si="69"/>
        <v>0.53807269047619022</v>
      </c>
      <c r="AE31" s="5">
        <f t="shared" si="69"/>
        <v>4.5729261904760676E-2</v>
      </c>
      <c r="AF31" s="5">
        <f t="shared" si="69"/>
        <v>5.0418951666666674</v>
      </c>
      <c r="AG31" s="5">
        <f t="shared" si="69"/>
        <v>0.41700176190476174</v>
      </c>
      <c r="AM31" s="5">
        <f t="shared" si="70"/>
        <v>5.4587133333333725E-2</v>
      </c>
      <c r="AN31" s="5">
        <f t="shared" si="70"/>
        <v>5.7842652380952174E-2</v>
      </c>
      <c r="AO31" s="5">
        <f t="shared" si="70"/>
        <v>0.1352940380952381</v>
      </c>
      <c r="AP31" s="5">
        <f t="shared" si="70"/>
        <v>0.10638927619047678</v>
      </c>
      <c r="AV31" s="5">
        <f t="shared" si="71"/>
        <v>-0.45393333333333175</v>
      </c>
      <c r="AW31" s="5">
        <f t="shared" si="71"/>
        <v>-0.75760819047619188</v>
      </c>
      <c r="AX31" s="5">
        <f t="shared" si="71"/>
        <v>-1.4919841904761899</v>
      </c>
      <c r="AY31" s="5">
        <f t="shared" si="71"/>
        <v>-0.32274504761904649</v>
      </c>
      <c r="BE31" s="5">
        <f t="shared" si="72"/>
        <v>0.45095917142857161</v>
      </c>
      <c r="BF31" s="5">
        <f t="shared" si="72"/>
        <v>0.42199827619047658</v>
      </c>
      <c r="BG31" s="5">
        <f t="shared" si="72"/>
        <v>0.30587985714285776</v>
      </c>
      <c r="BH31" s="5">
        <f t="shared" si="72"/>
        <v>0.17219905714285724</v>
      </c>
      <c r="BN31" s="5">
        <f t="shared" si="73"/>
        <v>1.5301399476190467</v>
      </c>
      <c r="BO31" s="5">
        <f t="shared" si="73"/>
        <v>1.2226098000000001</v>
      </c>
      <c r="BP31" s="5">
        <f t="shared" si="73"/>
        <v>6.1364378333333329</v>
      </c>
      <c r="BQ31" s="5">
        <f t="shared" si="73"/>
        <v>1.726889819047619</v>
      </c>
      <c r="BW31" s="5">
        <f t="shared" si="74"/>
        <v>-0.16099525714285731</v>
      </c>
      <c r="BX31" s="5">
        <f t="shared" si="74"/>
        <v>-0.153220747619048</v>
      </c>
      <c r="BY31" s="5">
        <f t="shared" si="74"/>
        <v>-9.7475014285713854E-2</v>
      </c>
      <c r="BZ31" s="5">
        <f t="shared" si="74"/>
        <v>-0.21339837619047616</v>
      </c>
    </row>
    <row r="32" spans="1:78" x14ac:dyDescent="0.25">
      <c r="L32" s="5">
        <f t="shared" si="67"/>
        <v>4.3110999999996125E-2</v>
      </c>
      <c r="M32" s="5">
        <f t="shared" si="67"/>
        <v>-6.9198190476186028E-2</v>
      </c>
      <c r="N32" s="5">
        <f t="shared" si="67"/>
        <v>-6.3438333333337482E-2</v>
      </c>
      <c r="O32" s="5">
        <f t="shared" si="67"/>
        <v>0.2888081428571449</v>
      </c>
      <c r="U32" s="5">
        <f t="shared" si="68"/>
        <v>0.68370866666667018</v>
      </c>
      <c r="V32" s="5">
        <f t="shared" si="68"/>
        <v>-5.7009285714284395E-2</v>
      </c>
      <c r="W32" s="5">
        <f t="shared" si="68"/>
        <v>8.2471190476198331E-2</v>
      </c>
      <c r="X32" s="5">
        <f t="shared" si="68"/>
        <v>-9.056714285717268E-3</v>
      </c>
      <c r="AD32" s="5">
        <f t="shared" si="69"/>
        <v>-0.10755330952380977</v>
      </c>
      <c r="AE32" s="5">
        <f t="shared" si="69"/>
        <v>1.5840952380946998E-3</v>
      </c>
      <c r="AF32" s="5">
        <f t="shared" si="69"/>
        <v>-0.46589216666666705</v>
      </c>
      <c r="AG32" s="5">
        <f t="shared" si="69"/>
        <v>-0.47951057142857145</v>
      </c>
      <c r="AM32" s="5">
        <f t="shared" si="70"/>
        <v>1.7595200000000293E-2</v>
      </c>
      <c r="AN32" s="5">
        <f t="shared" si="70"/>
        <v>3.1017952380951879E-2</v>
      </c>
      <c r="AO32" s="5">
        <f t="shared" si="70"/>
        <v>-1.3116195238095449E-2</v>
      </c>
      <c r="AP32" s="5">
        <f t="shared" si="70"/>
        <v>-3.9428904761900085E-3</v>
      </c>
      <c r="AV32" s="5">
        <f t="shared" si="71"/>
        <v>-0.5256759999999977</v>
      </c>
      <c r="AW32" s="5">
        <f t="shared" si="71"/>
        <v>-0.77930785714285966</v>
      </c>
      <c r="AX32" s="5">
        <f t="shared" si="71"/>
        <v>-0.36834485714285731</v>
      </c>
      <c r="AY32" s="5">
        <f t="shared" si="71"/>
        <v>-0.26694688095238089</v>
      </c>
      <c r="BE32" s="5">
        <f t="shared" si="72"/>
        <v>0.22101723809523843</v>
      </c>
      <c r="BF32" s="5">
        <f t="shared" si="72"/>
        <v>0.15913750952380981</v>
      </c>
      <c r="BG32" s="5">
        <f t="shared" si="72"/>
        <v>0.31584949047619099</v>
      </c>
      <c r="BH32" s="5">
        <f t="shared" si="72"/>
        <v>0.14315462380952373</v>
      </c>
      <c r="BN32" s="5">
        <f t="shared" si="73"/>
        <v>0.5373676476190471</v>
      </c>
      <c r="BO32" s="5">
        <f t="shared" si="73"/>
        <v>1.0262665</v>
      </c>
      <c r="BP32" s="5">
        <f t="shared" si="73"/>
        <v>-0.2606300333333329</v>
      </c>
      <c r="BQ32" s="5">
        <f t="shared" si="73"/>
        <v>1.4069492190476189</v>
      </c>
      <c r="BW32" s="5">
        <f t="shared" si="74"/>
        <v>-0.12733162380952404</v>
      </c>
      <c r="BX32" s="5">
        <f t="shared" si="74"/>
        <v>-0.11575511428571487</v>
      </c>
      <c r="BY32" s="5">
        <f t="shared" si="74"/>
        <v>-0.12859808095238071</v>
      </c>
      <c r="BZ32" s="5">
        <f t="shared" si="74"/>
        <v>-0.20629224285714245</v>
      </c>
    </row>
    <row r="33" spans="12:78" x14ac:dyDescent="0.25">
      <c r="L33" s="5">
        <f t="shared" si="67"/>
        <v>0.55822966666666218</v>
      </c>
      <c r="M33" s="5">
        <f t="shared" si="67"/>
        <v>0.2928864761904843</v>
      </c>
      <c r="N33" s="5">
        <f t="shared" si="67"/>
        <v>0.46624666666666315</v>
      </c>
      <c r="O33" s="5">
        <f t="shared" si="67"/>
        <v>0.30485347619047803</v>
      </c>
      <c r="U33" s="5">
        <f t="shared" si="68"/>
        <v>0.22675266666666735</v>
      </c>
      <c r="V33" s="5">
        <f t="shared" si="68"/>
        <v>-0.19715561904761833</v>
      </c>
      <c r="W33" s="5">
        <f t="shared" si="68"/>
        <v>-0.26219047619046876</v>
      </c>
      <c r="X33" s="5">
        <f t="shared" si="68"/>
        <v>-6.5799714285719332E-2</v>
      </c>
      <c r="AD33" s="5">
        <f t="shared" si="69"/>
        <v>-0.26728730952381002</v>
      </c>
      <c r="AE33" s="5">
        <f t="shared" si="69"/>
        <v>-0.73358773809523881</v>
      </c>
      <c r="AF33" s="5">
        <f t="shared" si="69"/>
        <v>-1.0625194999999998</v>
      </c>
      <c r="AG33" s="5">
        <f t="shared" si="69"/>
        <v>6.5903761904761396E-2</v>
      </c>
      <c r="AM33" s="5">
        <f t="shared" si="70"/>
        <v>-0.18824376666666609</v>
      </c>
      <c r="AN33" s="5">
        <f t="shared" si="70"/>
        <v>-8.2057447619048027E-2</v>
      </c>
      <c r="AO33" s="5">
        <f t="shared" si="70"/>
        <v>-3.2626928571428536E-2</v>
      </c>
      <c r="AP33" s="5">
        <f t="shared" si="70"/>
        <v>-4.2785957142856823E-2</v>
      </c>
      <c r="AV33" s="5">
        <f t="shared" si="71"/>
        <v>-0.31504699999999924</v>
      </c>
      <c r="AW33" s="5">
        <f t="shared" si="71"/>
        <v>-0.36939419047619282</v>
      </c>
      <c r="AX33" s="5">
        <f t="shared" si="71"/>
        <v>-0.18584152380952426</v>
      </c>
      <c r="AY33" s="5">
        <f t="shared" si="71"/>
        <v>-0.22976838095238014</v>
      </c>
      <c r="BE33" s="5">
        <f t="shared" si="72"/>
        <v>-0.25759912857142836</v>
      </c>
      <c r="BF33" s="5">
        <f t="shared" si="72"/>
        <v>-6.4833590476190153E-2</v>
      </c>
      <c r="BG33" s="5">
        <f t="shared" si="72"/>
        <v>0.33702249047619093</v>
      </c>
      <c r="BH33" s="5">
        <f t="shared" si="72"/>
        <v>0.13194232380952395</v>
      </c>
      <c r="BN33" s="5">
        <f t="shared" si="73"/>
        <v>-0.82044821904761955</v>
      </c>
      <c r="BO33" s="5">
        <f t="shared" si="73"/>
        <v>4.123966666666738E-3</v>
      </c>
      <c r="BP33" s="5">
        <f t="shared" si="73"/>
        <v>-1.5492735666666668</v>
      </c>
      <c r="BQ33" s="5">
        <f t="shared" si="73"/>
        <v>-0.86159834761904763</v>
      </c>
      <c r="BW33" s="5">
        <f t="shared" si="74"/>
        <v>6.9012676190475908E-2</v>
      </c>
      <c r="BX33" s="5">
        <f t="shared" si="74"/>
        <v>-4.0835747619048256E-2</v>
      </c>
      <c r="BY33" s="5">
        <f t="shared" si="74"/>
        <v>-6.0742580952380422E-2</v>
      </c>
      <c r="BZ33" s="5">
        <f t="shared" si="74"/>
        <v>-3.9028142857142477E-2</v>
      </c>
    </row>
    <row r="34" spans="12:78" x14ac:dyDescent="0.25">
      <c r="L34" s="5">
        <f t="shared" si="67"/>
        <v>0.46791966666665985</v>
      </c>
      <c r="M34" s="5">
        <f t="shared" si="67"/>
        <v>0.46613647619048493</v>
      </c>
      <c r="N34" s="5">
        <f t="shared" si="67"/>
        <v>0.51522366666666153</v>
      </c>
      <c r="O34" s="5">
        <f t="shared" si="67"/>
        <v>0.67494280952380825</v>
      </c>
      <c r="U34" s="5">
        <f t="shared" si="68"/>
        <v>-0.54050066666666652</v>
      </c>
      <c r="V34" s="5">
        <f t="shared" si="68"/>
        <v>0.21687904761904755</v>
      </c>
      <c r="W34" s="5">
        <f t="shared" si="68"/>
        <v>-0.37824314285713473</v>
      </c>
      <c r="X34" s="5">
        <f t="shared" si="68"/>
        <v>-0.29403038095238304</v>
      </c>
      <c r="AD34" s="5">
        <f t="shared" si="69"/>
        <v>-1.0447829761904768</v>
      </c>
      <c r="AE34" s="5">
        <f t="shared" si="69"/>
        <v>-1.3208934047619056</v>
      </c>
      <c r="AF34" s="5">
        <f t="shared" si="69"/>
        <v>-2.3023931666666662</v>
      </c>
      <c r="AG34" s="5">
        <f t="shared" si="69"/>
        <v>-0.54891057142857136</v>
      </c>
      <c r="AM34" s="5">
        <f t="shared" si="70"/>
        <v>-8.7011999999999645E-2</v>
      </c>
      <c r="AN34" s="5">
        <f t="shared" si="70"/>
        <v>-0.14441668095238155</v>
      </c>
      <c r="AO34" s="5">
        <f t="shared" si="70"/>
        <v>-0.17138132857142865</v>
      </c>
      <c r="AP34" s="5">
        <f t="shared" si="70"/>
        <v>-0.13603462380952328</v>
      </c>
      <c r="AV34" s="5">
        <f t="shared" si="71"/>
        <v>0.39845000000000158</v>
      </c>
      <c r="AW34" s="5">
        <f t="shared" si="71"/>
        <v>0.40977680952380763</v>
      </c>
      <c r="AX34" s="5">
        <f t="shared" si="71"/>
        <v>0.45435280952380985</v>
      </c>
      <c r="AY34" s="5">
        <f t="shared" si="71"/>
        <v>-0.16473271428571343</v>
      </c>
      <c r="BE34" s="5">
        <f t="shared" si="72"/>
        <v>-0.30895882857142826</v>
      </c>
      <c r="BF34" s="5">
        <f t="shared" si="72"/>
        <v>-0.34406779047619018</v>
      </c>
      <c r="BG34" s="5">
        <f t="shared" si="72"/>
        <v>-0.16457804285714253</v>
      </c>
      <c r="BH34" s="5">
        <f t="shared" si="72"/>
        <v>-0.10919830952380953</v>
      </c>
      <c r="BN34" s="5">
        <f t="shared" si="73"/>
        <v>-1.1903871190476196</v>
      </c>
      <c r="BO34" s="5">
        <f t="shared" si="73"/>
        <v>-1.2729790333333331</v>
      </c>
      <c r="BP34" s="5">
        <f t="shared" si="73"/>
        <v>-2.7912152999999997</v>
      </c>
      <c r="BQ34" s="5">
        <f t="shared" si="73"/>
        <v>-1.2900020142857143</v>
      </c>
      <c r="BW34" s="5">
        <f t="shared" si="74"/>
        <v>8.4928076190476112E-2</v>
      </c>
      <c r="BX34" s="5">
        <f t="shared" si="74"/>
        <v>4.067119047618621E-3</v>
      </c>
      <c r="BY34" s="5">
        <f t="shared" si="74"/>
        <v>-1.6548814285714048E-2</v>
      </c>
      <c r="BZ34" s="5">
        <f t="shared" si="74"/>
        <v>3.7606457142857742E-2</v>
      </c>
    </row>
    <row r="35" spans="12:78" x14ac:dyDescent="0.25">
      <c r="L35" s="5">
        <f t="shared" si="67"/>
        <v>0.68817266666665944</v>
      </c>
      <c r="M35" s="5">
        <f t="shared" si="67"/>
        <v>0.48207980952381507</v>
      </c>
      <c r="N35" s="5">
        <f t="shared" si="67"/>
        <v>0.49586166666666048</v>
      </c>
      <c r="O35" s="5">
        <f t="shared" si="67"/>
        <v>0.6425081428571483</v>
      </c>
      <c r="U35" s="5">
        <f t="shared" si="68"/>
        <v>-0.49938466666666415</v>
      </c>
      <c r="V35" s="5">
        <f t="shared" si="68"/>
        <v>8.6943380952379343E-2</v>
      </c>
      <c r="W35" s="5">
        <f t="shared" si="68"/>
        <v>-0.49483914285713365</v>
      </c>
      <c r="X35" s="5">
        <f t="shared" si="68"/>
        <v>-0.32918304761904932</v>
      </c>
      <c r="AD35" s="5">
        <f t="shared" si="69"/>
        <v>-1.4187786428571432</v>
      </c>
      <c r="AE35" s="5">
        <f t="shared" si="69"/>
        <v>-1.455759071428572</v>
      </c>
      <c r="AF35" s="5">
        <f t="shared" si="69"/>
        <v>-3.8383358333333333</v>
      </c>
      <c r="AG35" s="5">
        <f t="shared" si="69"/>
        <v>-0.9910385714285711</v>
      </c>
      <c r="AM35" s="5">
        <f t="shared" si="70"/>
        <v>-6.0391866666666516E-2</v>
      </c>
      <c r="AN35" s="5">
        <f t="shared" si="70"/>
        <v>-0.10137851428571458</v>
      </c>
      <c r="AO35" s="5">
        <f t="shared" si="70"/>
        <v>-0.1204749619047621</v>
      </c>
      <c r="AP35" s="5">
        <f t="shared" si="70"/>
        <v>-8.6941357142856709E-2</v>
      </c>
      <c r="AV35" s="5">
        <f t="shared" si="71"/>
        <v>0.64651166666666704</v>
      </c>
      <c r="AW35" s="5">
        <f t="shared" si="71"/>
        <v>1.235844476190475</v>
      </c>
      <c r="AX35" s="5">
        <f t="shared" si="71"/>
        <v>0.83511280952380906</v>
      </c>
      <c r="AY35" s="5">
        <f t="shared" si="71"/>
        <v>0.48060861904761981</v>
      </c>
      <c r="BE35" s="5">
        <f t="shared" si="72"/>
        <v>-0.34084572857142836</v>
      </c>
      <c r="BF35" s="5">
        <f t="shared" si="72"/>
        <v>-0.36402885714285693</v>
      </c>
      <c r="BG35" s="5">
        <f t="shared" si="72"/>
        <v>-0.43944827619047588</v>
      </c>
      <c r="BH35" s="5">
        <f t="shared" si="72"/>
        <v>-0.37424767619047622</v>
      </c>
      <c r="BN35" s="5">
        <f t="shared" si="73"/>
        <v>-1.1964294857142863</v>
      </c>
      <c r="BO35" s="5">
        <f t="shared" si="73"/>
        <v>-1.9925537999999996</v>
      </c>
      <c r="BP35" s="5">
        <f t="shared" si="73"/>
        <v>-2.8580959999999997</v>
      </c>
      <c r="BQ35" s="5">
        <f t="shared" si="73"/>
        <v>-1.0948924476190476</v>
      </c>
      <c r="BW35" s="5">
        <f t="shared" si="74"/>
        <v>4.269550952380937E-2</v>
      </c>
      <c r="BX35" s="5">
        <f t="shared" si="74"/>
        <v>0.11493968571428533</v>
      </c>
      <c r="BY35" s="5">
        <f t="shared" si="74"/>
        <v>7.8963152380952487E-2</v>
      </c>
      <c r="BZ35" s="5">
        <f t="shared" si="74"/>
        <v>0.1549072571428575</v>
      </c>
    </row>
    <row r="36" spans="12:78" x14ac:dyDescent="0.25">
      <c r="L36" s="5">
        <f t="shared" si="67"/>
        <v>0.87399633333332361</v>
      </c>
      <c r="M36" s="5">
        <f t="shared" si="67"/>
        <v>0.96926447619048395</v>
      </c>
      <c r="N36" s="5">
        <f t="shared" si="67"/>
        <v>0.84979833333332999</v>
      </c>
      <c r="O36" s="5">
        <f t="shared" si="67"/>
        <v>0.95817814285714553</v>
      </c>
      <c r="U36" s="5">
        <f t="shared" si="68"/>
        <v>-1.1365646666666649</v>
      </c>
      <c r="V36" s="5">
        <f t="shared" si="68"/>
        <v>-0.73651661904761545</v>
      </c>
      <c r="W36" s="5">
        <f t="shared" si="68"/>
        <v>-0.72796080952380271</v>
      </c>
      <c r="X36" s="5">
        <f t="shared" si="68"/>
        <v>-0.78594671428571894</v>
      </c>
      <c r="AD36" s="5">
        <f t="shared" si="69"/>
        <v>-1.3746816428571436</v>
      </c>
      <c r="AE36" s="5">
        <f t="shared" si="69"/>
        <v>-1.5662494047619056</v>
      </c>
      <c r="AF36" s="5">
        <f t="shared" si="69"/>
        <v>-4.2154771666666671</v>
      </c>
      <c r="AG36" s="5">
        <f t="shared" si="69"/>
        <v>-1.3845845714285712</v>
      </c>
      <c r="AM36" s="5">
        <f t="shared" si="70"/>
        <v>8.4669866666667204E-2</v>
      </c>
      <c r="AN36" s="5">
        <f t="shared" si="70"/>
        <v>0.11151058571428536</v>
      </c>
      <c r="AO36" s="5">
        <f t="shared" si="70"/>
        <v>8.9571138095238048E-2</v>
      </c>
      <c r="AP36" s="5">
        <f t="shared" si="70"/>
        <v>3.8358076190476709E-2</v>
      </c>
      <c r="AV36" s="5">
        <f t="shared" si="71"/>
        <v>0.50223600000000168</v>
      </c>
      <c r="AW36" s="5">
        <f t="shared" si="71"/>
        <v>0.6180121428571409</v>
      </c>
      <c r="AX36" s="5">
        <f t="shared" si="71"/>
        <v>0.71171180952380964</v>
      </c>
      <c r="AY36" s="5">
        <f t="shared" si="71"/>
        <v>0.44639545238095185</v>
      </c>
      <c r="BE36" s="5">
        <f t="shared" si="72"/>
        <v>-0.36754489523809514</v>
      </c>
      <c r="BF36" s="5">
        <f t="shared" si="72"/>
        <v>-0.42663119047619019</v>
      </c>
      <c r="BG36" s="5">
        <f t="shared" si="72"/>
        <v>-0.6978014428571423</v>
      </c>
      <c r="BH36" s="5">
        <f t="shared" si="72"/>
        <v>-0.40486924285714299</v>
      </c>
      <c r="BN36" s="5">
        <f t="shared" si="73"/>
        <v>-2.6362126190476194</v>
      </c>
      <c r="BO36" s="5">
        <f t="shared" si="73"/>
        <v>-2.706038533333333</v>
      </c>
      <c r="BP36" s="5">
        <f t="shared" si="73"/>
        <v>-4.517257233333333</v>
      </c>
      <c r="BQ36" s="5">
        <f t="shared" si="73"/>
        <v>-2.503122714285714</v>
      </c>
      <c r="BW36" s="5">
        <f t="shared" si="74"/>
        <v>-5.6166423809523781E-2</v>
      </c>
      <c r="BX36" s="5">
        <f t="shared" si="74"/>
        <v>3.7031585714285629E-2</v>
      </c>
      <c r="BY36" s="5">
        <f t="shared" si="74"/>
        <v>-5.6557047619047417E-2</v>
      </c>
      <c r="BZ36" s="5">
        <f t="shared" si="74"/>
        <v>0.2161978238095239</v>
      </c>
    </row>
  </sheetData>
  <mergeCells count="30">
    <mergeCell ref="BS6:BV6"/>
    <mergeCell ref="AR6:AU6"/>
    <mergeCell ref="A22:A28"/>
    <mergeCell ref="Z6:AC6"/>
    <mergeCell ref="BE6:BH6"/>
    <mergeCell ref="U6:X6"/>
    <mergeCell ref="BS1:BZ1"/>
    <mergeCell ref="A15:A21"/>
    <mergeCell ref="BW6:BZ6"/>
    <mergeCell ref="Q1:X1"/>
    <mergeCell ref="H6:K6"/>
    <mergeCell ref="BJ6:BM6"/>
    <mergeCell ref="AI6:AL6"/>
    <mergeCell ref="AD6:AG6"/>
    <mergeCell ref="Z1:AG1"/>
    <mergeCell ref="BA1:BH1"/>
    <mergeCell ref="Q6:T6"/>
    <mergeCell ref="AR1:AY1"/>
    <mergeCell ref="B6:E6"/>
    <mergeCell ref="H1:O1"/>
    <mergeCell ref="A8:A14"/>
    <mergeCell ref="L6:O6"/>
    <mergeCell ref="BJ1:BQ1"/>
    <mergeCell ref="AI1:AP1"/>
    <mergeCell ref="A6:A7"/>
    <mergeCell ref="AV6:AY6"/>
    <mergeCell ref="BN6:BQ6"/>
    <mergeCell ref="AM6:AP6"/>
    <mergeCell ref="BA6:BD6"/>
    <mergeCell ref="F6:F7"/>
  </mergeCells>
  <conditionalFormatting sqref="H3:K3 Z3:AC3 AI3:AL3 AR3:AU3 BA3:BD3 BJ3:BM3 BS3:BV3">
    <cfRule type="cellIs" dxfId="5" priority="2" operator="greaterThan">
      <formula>$F$4</formula>
    </cfRule>
  </conditionalFormatting>
  <conditionalFormatting sqref="Q3:T3">
    <cfRule type="cellIs" dxfId="4" priority="1" operator="greaterThan">
      <formula>$F$4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62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92" ht="21.75" customHeight="1" thickBot="1" x14ac:dyDescent="0.4">
      <c r="E1" s="44" t="s">
        <v>0</v>
      </c>
      <c r="F1" s="45"/>
      <c r="G1" s="45"/>
      <c r="H1" s="45"/>
      <c r="I1" s="45"/>
      <c r="J1" s="45"/>
      <c r="K1" s="45"/>
      <c r="L1" s="46"/>
      <c r="O1" s="44" t="s">
        <v>1</v>
      </c>
      <c r="P1" s="45"/>
      <c r="Q1" s="45"/>
      <c r="R1" s="45"/>
      <c r="S1" s="45"/>
      <c r="T1" s="45"/>
      <c r="U1" s="45"/>
      <c r="V1" s="46"/>
      <c r="Y1" s="44" t="s">
        <v>2</v>
      </c>
      <c r="Z1" s="45"/>
      <c r="AA1" s="45"/>
      <c r="AB1" s="45"/>
      <c r="AC1" s="45"/>
      <c r="AD1" s="45"/>
      <c r="AE1" s="45"/>
      <c r="AF1" s="46"/>
      <c r="AI1" s="44" t="s">
        <v>3</v>
      </c>
      <c r="AJ1" s="45"/>
      <c r="AK1" s="45"/>
      <c r="AL1" s="45"/>
      <c r="AM1" s="45"/>
      <c r="AN1" s="45"/>
      <c r="AO1" s="45"/>
      <c r="AP1" s="46"/>
      <c r="AS1" s="44" t="s">
        <v>4</v>
      </c>
      <c r="AT1" s="45"/>
      <c r="AU1" s="45"/>
      <c r="AV1" s="45"/>
      <c r="AW1" s="45"/>
      <c r="AX1" s="45"/>
      <c r="AY1" s="45"/>
      <c r="AZ1" s="46"/>
      <c r="BC1" s="44" t="s">
        <v>5</v>
      </c>
      <c r="BD1" s="45"/>
      <c r="BE1" s="45"/>
      <c r="BF1" s="45"/>
      <c r="BG1" s="45"/>
      <c r="BH1" s="45"/>
      <c r="BI1" s="45"/>
      <c r="BJ1" s="46"/>
      <c r="BM1" s="44" t="s">
        <v>6</v>
      </c>
      <c r="BN1" s="45"/>
      <c r="BO1" s="45"/>
      <c r="BP1" s="45"/>
      <c r="BQ1" s="45"/>
      <c r="BR1" s="45"/>
      <c r="BS1" s="45"/>
      <c r="BT1" s="46"/>
      <c r="BW1" s="44" t="s">
        <v>7</v>
      </c>
      <c r="BX1" s="45"/>
      <c r="BY1" s="45"/>
      <c r="BZ1" s="45"/>
      <c r="CA1" s="45"/>
      <c r="CB1" s="45"/>
      <c r="CC1" s="45"/>
      <c r="CD1" s="46"/>
    </row>
    <row r="2" spans="1:92" x14ac:dyDescent="0.25">
      <c r="D2" s="1" t="s">
        <v>8</v>
      </c>
      <c r="E2" s="2" t="s">
        <v>9</v>
      </c>
      <c r="F2" s="3">
        <v>249063</v>
      </c>
      <c r="G2" s="3">
        <v>249062</v>
      </c>
      <c r="H2" s="4">
        <v>249061</v>
      </c>
      <c r="N2" s="1" t="s">
        <v>8</v>
      </c>
      <c r="O2" s="2" t="s">
        <v>9</v>
      </c>
      <c r="P2" s="3">
        <v>249063</v>
      </c>
      <c r="Q2" s="3">
        <v>249062</v>
      </c>
      <c r="R2" s="4">
        <v>249061</v>
      </c>
      <c r="X2" s="1" t="s">
        <v>8</v>
      </c>
      <c r="Y2" s="2" t="s">
        <v>9</v>
      </c>
      <c r="Z2" s="3">
        <v>249063</v>
      </c>
      <c r="AA2" s="3">
        <v>249062</v>
      </c>
      <c r="AB2" s="4">
        <v>249061</v>
      </c>
      <c r="AH2" s="1" t="s">
        <v>8</v>
      </c>
      <c r="AI2" s="2" t="s">
        <v>9</v>
      </c>
      <c r="AJ2" s="3">
        <v>249063</v>
      </c>
      <c r="AK2" s="3">
        <v>249062</v>
      </c>
      <c r="AL2" s="4">
        <v>249061</v>
      </c>
      <c r="AR2" s="1" t="s">
        <v>8</v>
      </c>
      <c r="AS2" s="2" t="s">
        <v>9</v>
      </c>
      <c r="AT2" s="3">
        <v>249063</v>
      </c>
      <c r="AU2" s="3">
        <v>249062</v>
      </c>
      <c r="AV2" s="4">
        <v>249061</v>
      </c>
      <c r="BB2" s="1" t="s">
        <v>8</v>
      </c>
      <c r="BC2" s="2" t="s">
        <v>9</v>
      </c>
      <c r="BD2" s="3">
        <v>249063</v>
      </c>
      <c r="BE2" s="3">
        <v>249062</v>
      </c>
      <c r="BF2" s="4">
        <v>249061</v>
      </c>
      <c r="BL2" s="1" t="s">
        <v>8</v>
      </c>
      <c r="BM2" s="2" t="s">
        <v>9</v>
      </c>
      <c r="BN2" s="3">
        <v>249063</v>
      </c>
      <c r="BO2" s="3">
        <v>249062</v>
      </c>
      <c r="BP2" s="4">
        <v>249061</v>
      </c>
      <c r="BV2" s="1" t="s">
        <v>8</v>
      </c>
      <c r="BW2" s="2" t="s">
        <v>9</v>
      </c>
      <c r="BX2" s="3">
        <v>249063</v>
      </c>
      <c r="BY2" s="3">
        <v>249062</v>
      </c>
      <c r="BZ2" s="4">
        <v>249061</v>
      </c>
    </row>
    <row r="3" spans="1:92" x14ac:dyDescent="0.25">
      <c r="D3" s="5">
        <v>1</v>
      </c>
      <c r="E3" s="31">
        <f>IF((MAX(I13:I22)-MIN(I13:I22))/2=0,"",(MAX(I13:I22)-MIN(I13:I22))/2)</f>
        <v>7.0616999999998598E-2</v>
      </c>
      <c r="F3" s="32">
        <f>IF((MAX(J13:J22)-MIN(J13:J22))/2=0,"",(MAX(J13:J22)-MIN(J13:J22))/2)</f>
        <v>43.081956974365227</v>
      </c>
      <c r="G3" s="32">
        <f>IF((MAX(K13:K22)-MIN(K13:K22))/2=0,"",(MAX(K13:K22)-MIN(K13:K22))/2)</f>
        <v>43.179993678222651</v>
      </c>
      <c r="H3" s="33">
        <f>IF((MAX(L13:L22)-MIN(L13:L22))/2=0,"",(MAX(L13:L22)-MIN(L13:L22))/2)</f>
        <v>3.34417724609375</v>
      </c>
      <c r="N3" s="5">
        <v>1</v>
      </c>
      <c r="O3" s="31">
        <f>IF((MAX(S13:S22)-MIN(S13:S22))/2=0,"",(MAX(S13:S22)-MIN(S13:S22))/2)</f>
        <v>0.26886950000000098</v>
      </c>
      <c r="P3" s="32">
        <f>IF((MAX(T13:T22)-MIN(T13:T22))/2=0,"",(MAX(T13:T22)-MIN(T13:T22))/2)</f>
        <v>35.924062768994148</v>
      </c>
      <c r="Q3" s="32">
        <f>IF((MAX(U13:U22)-MIN(U13:U22))/2=0,"",(MAX(U13:U22)-MIN(U13:U22))/2)</f>
        <v>36.232806960888666</v>
      </c>
      <c r="R3" s="33">
        <f>IF((MAX(V13:V22)-MIN(V13:V22))/2=0,"",(MAX(V13:V22)-MIN(V13:V22))/2)</f>
        <v>4.9622287750244141</v>
      </c>
      <c r="X3" s="5">
        <v>1</v>
      </c>
      <c r="Y3" s="31">
        <f>IF((MAX(AC13:AC22)-MIN(AC13:AC22))/2=0,"",(MAX(AC13:AC22)-MIN(AC13:AC22))/2)</f>
        <v>5.3820500000000493E-2</v>
      </c>
      <c r="Z3" s="32">
        <f>IF((MAX(AD13:AD22)-MIN(AD13:AD22))/2=0,"",(MAX(AD13:AD22)-MIN(AD13:AD22))/2)</f>
        <v>4.9049026015014654</v>
      </c>
      <c r="AA3" s="32">
        <f>IF((MAX(AE13:AE22)-MIN(AE13:AE22))/2=0,"",(MAX(AE13:AE22)-MIN(AE13:AE22))/2)</f>
        <v>10.969775244323731</v>
      </c>
      <c r="AB3" s="33">
        <f>IF((MAX(AF13:AF22)-MIN(AF13:AF22))/2=0,"",(MAX(AF13:AF22)-MIN(AF13:AF22))/2)</f>
        <v>6.1777887344360352</v>
      </c>
      <c r="AH3" s="5">
        <v>1</v>
      </c>
      <c r="AI3" s="31">
        <f>IF((MAX(AM13:AM22)-MIN(AM13:AM22))/2=0,"",(MAX(AM13:AM22)-MIN(AM13:AM22))/2)</f>
        <v>0.17152250000000002</v>
      </c>
      <c r="AJ3" s="32">
        <f>IF((MAX(AN13:AN22)-MIN(AN13:AN22))/2=0,"",(MAX(AN13:AN22)-MIN(AN13:AN22))/2)</f>
        <v>3.5180762746020506</v>
      </c>
      <c r="AK3" s="32">
        <f>IF((MAX(AO13:AO22)-MIN(AO13:AO22))/2=0,"",(MAX(AO13:AO22)-MIN(AO13:AO22))/2)</f>
        <v>4.2674512462695322</v>
      </c>
      <c r="AL3" s="33">
        <f>IF((MAX(AP13:AP22)-MIN(AP13:AP22))/2=0,"",(MAX(AP13:AP22)-MIN(AP13:AP22))/2)</f>
        <v>0.7287905216217041</v>
      </c>
      <c r="AR3" s="5">
        <v>1</v>
      </c>
      <c r="AS3" s="31">
        <f>IF((MAX(AW13:AW22)-MIN(AW13:AW22))/2=0,"",(MAX(AW13:AW22)-MIN(AW13:AW22))/2)</f>
        <v>0.31892099999999957</v>
      </c>
      <c r="AT3" s="32">
        <f>IF((MAX(AX13:AX22)-MIN(AX13:AX22))/2=0,"",(MAX(AX13:AX22)-MIN(AX13:AX22))/2)</f>
        <v>5.18074698826294</v>
      </c>
      <c r="AU3" s="32">
        <f>IF((MAX(AY13:AY22)-MIN(AY13:AY22))/2=0,"",(MAX(AY13:AY22)-MIN(AY13:AY22))/2)</f>
        <v>8.9911774528686497</v>
      </c>
      <c r="AV3" s="33">
        <f>IF((MAX(AZ13:AZ22)-MIN(AZ13:AZ22))/2=0,"",(MAX(AZ13:AZ22)-MIN(AZ13:AZ22))/2)</f>
        <v>4.5265398025512678</v>
      </c>
      <c r="BB3" s="5">
        <v>1</v>
      </c>
      <c r="BC3" s="31">
        <f>IF((MAX(BG13:BG22)-MIN(BG13:BG22))/2=0,"",(MAX(BG13:BG22)-MIN(BG13:BG22))/2)</f>
        <v>8.4513000000001615E-3</v>
      </c>
      <c r="BD3" s="32">
        <f>IF((MAX(BH13:BH22)-MIN(BH13:BH22))/2=0,"",(MAX(BH13:BH22)-MIN(BH13:BH22))/2)</f>
        <v>0.88859706371597313</v>
      </c>
      <c r="BE3" s="32">
        <f>IF((MAX(BI13:BI22)-MIN(BI13:BI22))/2=0,"",(MAX(BI13:BI22)-MIN(BI13:BI22))/2)</f>
        <v>1.3221278046496583</v>
      </c>
      <c r="BF3" s="33">
        <f>IF((MAX(BJ13:BJ22)-MIN(BJ13:BJ22))/2=0,"",(MAX(BJ13:BJ22)-MIN(BJ13:BJ22))/2)</f>
        <v>0.49364733695983853</v>
      </c>
      <c r="BL3" s="5">
        <v>1</v>
      </c>
      <c r="BM3" s="31">
        <f>IF((MAX(BQ13:BQ22)-MIN(BQ13:BQ22))/2=0,"",(MAX(BQ13:BQ22)-MIN(BQ13:BQ22))/2)</f>
        <v>2.4556500000000092E-2</v>
      </c>
      <c r="BN3" s="32">
        <f>IF((MAX(BR13:BR22)-MIN(BR13:BR22))/2=0,"",(MAX(BR13:BR22)-MIN(BR13:BR22))/2)</f>
        <v>3.8297358191284179</v>
      </c>
      <c r="BO3" s="32">
        <f>IF((MAX(BS13:BS22)-MIN(BS13:BS22))/2=0,"",(MAX(BS13:BS22)-MIN(BS13:BS22))/2)</f>
        <v>7.5680673214880354</v>
      </c>
      <c r="BP3" s="33">
        <f>IF((MAX(BT13:BT22)-MIN(BT13:BT22))/2=0,"",(MAX(BT13:BT22)-MIN(BT13:BT22))/2)</f>
        <v>5.8110526800155622</v>
      </c>
      <c r="BV3" s="5">
        <v>1</v>
      </c>
      <c r="BW3" s="31">
        <f>IF((MAX(CA13:CA22)-MIN(CA13:CA22))/2=0,"",(MAX(CA13:CA22)-MIN(CA13:CA22))/2)</f>
        <v>0.10035850000000002</v>
      </c>
      <c r="BX3" s="32">
        <f>IF((MAX(CB13:CB22)-MIN(CB13:CB22))/2=0,"",(MAX(CB13:CB22)-MIN(CB13:CB22))/2)</f>
        <v>0.98973290233840994</v>
      </c>
      <c r="BY3" s="32">
        <f>IF((MAX(CC13:CC22)-MIN(CC13:CC22))/2=0,"",(MAX(CC13:CC22)-MIN(CC13:CC22))/2)</f>
        <v>1.7471046811230468</v>
      </c>
      <c r="BZ3" s="33">
        <f>IF((MAX(CD13:CD22)-MIN(CD13:CD22))/2=0,"",(MAX(CD13:CD22)-MIN(CD13:CD22))/2)</f>
        <v>1.0899153351783757</v>
      </c>
    </row>
    <row r="4" spans="1:92" x14ac:dyDescent="0.25">
      <c r="D4" s="5">
        <v>2</v>
      </c>
      <c r="E4" s="31">
        <f>IF((MAX(I23:I32)-MIN(I23:I32))/2=0,"",(MAX(I23:I32)-MIN(I23:I32))/2)</f>
        <v>5.0961000000000922E-2</v>
      </c>
      <c r="F4" s="32">
        <f>IF((MAX(J23:J32)-MIN(J23:J32))/2=0,"",(MAX(J23:J32)-MIN(J23:J32))/2)</f>
        <v>0.28021250000000464</v>
      </c>
      <c r="G4" s="32">
        <f>IF((MAX(K23:K32)-MIN(K23:K32))/2=0,"",(MAX(K23:K32)-MIN(K23:K32))/2)</f>
        <v>6.4105000000004964E-2</v>
      </c>
      <c r="H4" s="33">
        <f>IF((MAX(L23:L32)-MIN(L23:L32))/2=0,"",(MAX(L23:L32)-MIN(L23:L32))/2)</f>
        <v>0.82392120361328125</v>
      </c>
      <c r="N4" s="5">
        <v>2</v>
      </c>
      <c r="O4" s="31">
        <f>IF((MAX(S23:S32)-MIN(S23:S32))/2=0,"",(MAX(S23:S32)-MIN(S23:S32))/2)</f>
        <v>8.2218500000003303E-2</v>
      </c>
      <c r="P4" s="32">
        <f>IF((MAX(T23:T32)-MIN(T23:T32))/2=0,"",(MAX(T23:T32)-MIN(T23:T32))/2)</f>
        <v>0.20194799999999802</v>
      </c>
      <c r="Q4" s="32">
        <f>IF((MAX(U23:U32)-MIN(U23:U32))/2=0,"",(MAX(U23:U32)-MIN(U23:U32))/2)</f>
        <v>0.21229149999999919</v>
      </c>
      <c r="R4" s="33">
        <f>IF((MAX(V23:V32)-MIN(V23:V32))/2=0,"",(MAX(V23:V32)-MIN(V23:V32))/2)</f>
        <v>6.0044422149658203</v>
      </c>
      <c r="X4" s="5">
        <v>2</v>
      </c>
      <c r="Y4" s="31">
        <f>IF((MAX(AC23:AC32)-MIN(AC23:AC32))/2=0,"",(MAX(AC23:AC32)-MIN(AC23:AC32))/2)</f>
        <v>8.9171499999999959E-2</v>
      </c>
      <c r="Z4" s="32">
        <f>IF((MAX(AD23:AD32)-MIN(AD23:AD32))/2=0,"",(MAX(AD23:AD32)-MIN(AD23:AD32))/2)</f>
        <v>0.20680600000000027</v>
      </c>
      <c r="AA4" s="32">
        <f>IF((MAX(AE23:AE32)-MIN(AE23:AE32))/2=0,"",(MAX(AE23:AE32)-MIN(AE23:AE32))/2)</f>
        <v>0.49346449999999997</v>
      </c>
      <c r="AB4" s="33">
        <f>IF((MAX(AF23:AF32)-MIN(AF23:AF32))/2=0,"",(MAX(AF23:AF32)-MIN(AF23:AF32))/2)</f>
        <v>0.94345426559447976</v>
      </c>
      <c r="AH4" s="5">
        <v>2</v>
      </c>
      <c r="AI4" s="31">
        <f>IF((MAX(AM23:AM32)-MIN(AM23:AM32))/2=0,"",(MAX(AM23:AM32)-MIN(AM23:AM32))/2)</f>
        <v>0.16699969999999986</v>
      </c>
      <c r="AJ4" s="32">
        <f>IF((MAX(AN23:AN32)-MIN(AN23:AN32))/2=0,"",(MAX(AN23:AN32)-MIN(AN23:AN32))/2)</f>
        <v>0.10913329999999988</v>
      </c>
      <c r="AK4" s="32">
        <f>IF((MAX(AO23:AO32)-MIN(AO23:AO32))/2=0,"",(MAX(AO23:AO32)-MIN(AO23:AO32))/2)</f>
        <v>0.10094380000000003</v>
      </c>
      <c r="AL4" s="33">
        <f>IF((MAX(AP23:AP32)-MIN(AP23:AP32))/2=0,"",(MAX(AP23:AP32)-MIN(AP23:AP32))/2)</f>
        <v>0.18106460571289063</v>
      </c>
      <c r="AR4" s="5">
        <v>2</v>
      </c>
      <c r="AS4" s="31">
        <f>IF((MAX(AW23:AW32)-MIN(AW23:AW32))/2=0,"",(MAX(AW23:AW32)-MIN(AW23:AW32))/2)</f>
        <v>0.11333950000000037</v>
      </c>
      <c r="AT4" s="32">
        <f>IF((MAX(AX23:AX32)-MIN(AX23:AX32))/2=0,"",(MAX(AX23:AX32)-MIN(AX23:AX32))/2)</f>
        <v>5.4696999999999107E-2</v>
      </c>
      <c r="AU4" s="32">
        <f>IF((MAX(AY23:AY32)-MIN(AY23:AY32))/2=0,"",(MAX(AY23:AY32)-MIN(AY23:AY32))/2)</f>
        <v>6.2009999999990129E-3</v>
      </c>
      <c r="AV4" s="33">
        <f>IF((MAX(AZ23:AZ32)-MIN(AZ23:AZ32))/2=0,"",(MAX(AZ23:AZ32)-MIN(AZ23:AZ32))/2)</f>
        <v>2.3547272682189933</v>
      </c>
      <c r="BB4" s="5">
        <v>2</v>
      </c>
      <c r="BC4" s="31" t="str">
        <f>IF((MAX(BG23:BG32)-MIN(BG23:BG32))/2=0,"",(MAX(BG23:BG32)-MIN(BG23:BG32))/2)</f>
        <v/>
      </c>
      <c r="BD4" s="32">
        <f>IF((MAX(BH23:BH32)-MIN(BH23:BH32))/2=0,"",(MAX(BH23:BH32)-MIN(BH23:BH32))/2)</f>
        <v>1.8724100000000021E-2</v>
      </c>
      <c r="BE4" s="32">
        <f>IF((MAX(BI23:BI32)-MIN(BI23:BI32))/2=0,"",(MAX(BI23:BI32)-MIN(BI23:BI32))/2)</f>
        <v>1.3350699999999938E-2</v>
      </c>
      <c r="BF4" s="33">
        <f>IF((MAX(BJ23:BJ32)-MIN(BJ23:BJ32))/2=0,"",(MAX(BJ23:BJ32)-MIN(BJ23:BJ32))/2)</f>
        <v>1.2371498942375183</v>
      </c>
      <c r="BL4" s="5">
        <v>2</v>
      </c>
      <c r="BM4" s="31">
        <f>IF((MAX(BQ23:BQ32)-MIN(BQ23:BQ32))/2=0,"",(MAX(BQ23:BQ32)-MIN(BQ23:BQ32))/2)</f>
        <v>6.1081500000000233E-2</v>
      </c>
      <c r="BN4" s="32">
        <f>IF((MAX(BR23:BR32)-MIN(BR23:BR32))/2=0,"",(MAX(BR23:BR32)-MIN(BR23:BR32))/2)</f>
        <v>0.66746459999999996</v>
      </c>
      <c r="BO4" s="32">
        <f>IF((MAX(BS23:BS32)-MIN(BS23:BS32))/2=0,"",(MAX(BS23:BS32)-MIN(BS23:BS32))/2)</f>
        <v>0.34458359999999999</v>
      </c>
      <c r="BP4" s="33">
        <f>IF((MAX(BT23:BT32)-MIN(BT23:BT32))/2=0,"",(MAX(BT23:BT32)-MIN(BT23:BT32))/2)</f>
        <v>1.1134338378906248</v>
      </c>
      <c r="BV4" s="5">
        <v>2</v>
      </c>
      <c r="BW4" s="31">
        <f>IF((MAX(CA23:CA32)-MIN(CA23:CA32))/2=0,"",(MAX(CA23:CA32)-MIN(CA23:CA32))/2)</f>
        <v>7.526849999999996E-2</v>
      </c>
      <c r="BX4" s="32">
        <f>IF((MAX(CB23:CB32)-MIN(CB23:CB32))/2=0,"",(MAX(CB23:CB32)-MIN(CB23:CB32))/2)</f>
        <v>1.9280849999999905E-2</v>
      </c>
      <c r="BY4" s="32">
        <f>IF((MAX(CC23:CC32)-MIN(CC23:CC32))/2=0,"",(MAX(CC23:CC32)-MIN(CC23:CC32))/2)</f>
        <v>9.7835000000001671E-3</v>
      </c>
      <c r="BZ4" s="33">
        <f>IF((MAX(CD23:CD32)-MIN(CD23:CD32))/2=0,"",(MAX(CD23:CD32)-MIN(CD23:CD32))/2)</f>
        <v>1.6309412121772766</v>
      </c>
    </row>
    <row r="5" spans="1:92" x14ac:dyDescent="0.25">
      <c r="D5" s="5">
        <v>3</v>
      </c>
      <c r="E5" s="31">
        <f>IF((MAX(I33:I42)-MIN(I33:I42))/2=0,"",(MAX(I33:I42)-MIN(I33:I42))/2)</f>
        <v>4.0745000000001141E-2</v>
      </c>
      <c r="F5" s="32">
        <f>IF((MAX(J33:J42)-MIN(J33:J42))/2=0,"",(MAX(J33:J42)-MIN(J33:J42))/2)</f>
        <v>0.10652749999999855</v>
      </c>
      <c r="G5" s="32">
        <f>IF((MAX(K33:K42)-MIN(K33:K42))/2=0,"",(MAX(K33:K42)-MIN(K33:K42))/2)</f>
        <v>5.7968000000002462E-2</v>
      </c>
      <c r="H5" s="33">
        <f>IF((MAX(L33:L42)-MIN(L33:L42))/2=0,"",(MAX(L33:L42)-MIN(L33:L42))/2)</f>
        <v>0.772003173828125</v>
      </c>
      <c r="N5" s="5">
        <v>3</v>
      </c>
      <c r="O5" s="31">
        <f>IF((MAX(S33:S42)-MIN(S33:S42))/2=0,"",(MAX(S33:S42)-MIN(S33:S42))/2)</f>
        <v>0.23296549999999883</v>
      </c>
      <c r="P5" s="32">
        <f>IF((MAX(T33:T42)-MIN(T33:T42))/2=0,"",(MAX(T33:T42)-MIN(T33:T42))/2)</f>
        <v>0.37917749999999728</v>
      </c>
      <c r="Q5" s="32">
        <f>IF((MAX(U33:U42)-MIN(U33:U42))/2=0,"",(MAX(U33:U42)-MIN(U33:U42))/2)</f>
        <v>0.37765500000000074</v>
      </c>
      <c r="R5" s="33">
        <f>IF((MAX(V33:V42)-MIN(V33:V42))/2=0,"",(MAX(V33:V42)-MIN(V33:V42))/2)</f>
        <v>6.1103591918945313</v>
      </c>
      <c r="X5" s="5">
        <v>3</v>
      </c>
      <c r="Y5" s="31">
        <f>IF((MAX(AC33:AC42)-MIN(AC33:AC42))/2=0,"",(MAX(AC33:AC42)-MIN(AC33:AC42))/2)</f>
        <v>0.35117750000000036</v>
      </c>
      <c r="Z5" s="32">
        <f>IF((MAX(AD33:AD42)-MIN(AD33:AD42))/2=0,"",(MAX(AD33:AD42)-MIN(AD33:AD42))/2)</f>
        <v>0.31176849999999945</v>
      </c>
      <c r="AA5" s="32">
        <f>IF((MAX(AE33:AE42)-MIN(AE33:AE42))/2=0,"",(MAX(AE33:AE42)-MIN(AE33:AE42))/2)</f>
        <v>0.66432049999999965</v>
      </c>
      <c r="AB5" s="33">
        <f>IF((MAX(AF33:AF42)-MIN(AF33:AF42))/2=0,"",(MAX(AF33:AF42)-MIN(AF33:AF42))/2)</f>
        <v>7.2874975204467791</v>
      </c>
      <c r="AH5" s="5">
        <v>3</v>
      </c>
      <c r="AI5" s="31">
        <f>IF((MAX(AM33:AM42)-MIN(AM33:AM42))/2=0,"",(MAX(AM33:AM42)-MIN(AM33:AM42))/2)</f>
        <v>1.6720100000000127E-2</v>
      </c>
      <c r="AJ5" s="32">
        <f>IF((MAX(AN33:AN42)-MIN(AN33:AN42))/2=0,"",(MAX(AN33:AN42)-MIN(AN33:AN42))/2)</f>
        <v>0.10327339999999996</v>
      </c>
      <c r="AK5" s="32">
        <f>IF((MAX(AO33:AO42)-MIN(AO33:AO42))/2=0,"",(MAX(AO33:AO42)-MIN(AO33:AO42))/2)</f>
        <v>0.10163160000000016</v>
      </c>
      <c r="AL5" s="33">
        <f>IF((MAX(AP33:AP42)-MIN(AP33:AP42))/2=0,"",(MAX(AP33:AP42)-MIN(AP33:AP42))/2)</f>
        <v>0.31635355949401855</v>
      </c>
      <c r="AR5" s="5">
        <v>3</v>
      </c>
      <c r="AS5" s="31">
        <f>IF((MAX(AW33:AW42)-MIN(AW33:AW42))/2=0,"",(MAX(AW33:AW42)-MIN(AW33:AW42))/2)</f>
        <v>0.35520100000000099</v>
      </c>
      <c r="AT5" s="32">
        <f>IF((MAX(AX33:AX42)-MIN(AX33:AX42))/2=0,"",(MAX(AX33:AX42)-MIN(AX33:AX42))/2)</f>
        <v>0.27360849999999992</v>
      </c>
      <c r="AU5" s="32">
        <f>IF((MAX(AY33:AY42)-MIN(AY33:AY42))/2=0,"",(MAX(AY33:AY42)-MIN(AY33:AY42))/2)</f>
        <v>0.3641835000000011</v>
      </c>
      <c r="AV5" s="33">
        <f>IF((MAX(AZ33:AZ42)-MIN(AZ33:AZ42))/2=0,"",(MAX(AZ33:AZ42)-MIN(AZ33:AZ42))/2)</f>
        <v>2.6011328697204572</v>
      </c>
      <c r="BB5" s="5">
        <v>3</v>
      </c>
      <c r="BC5" s="31">
        <f>IF((MAX(BG33:BG42)-MIN(BG33:BG42))/2=0,"",(MAX(BG33:BG42)-MIN(BG33:BG42))/2)</f>
        <v>4.8338999999999466E-3</v>
      </c>
      <c r="BD5" s="32">
        <f>IF((MAX(BH33:BH42)-MIN(BH33:BH42))/2=0,"",(MAX(BH33:BH42)-MIN(BH33:BH42))/2)</f>
        <v>9.5347000000001181E-3</v>
      </c>
      <c r="BE5" s="32">
        <f>IF((MAX(BI33:BI42)-MIN(BI33:BI42))/2=0,"",(MAX(BI33:BI42)-MIN(BI33:BI42))/2)</f>
        <v>5.6740650000000059E-2</v>
      </c>
      <c r="BF5" s="33">
        <f>IF((MAX(BJ33:BJ42)-MIN(BJ33:BJ42))/2=0,"",(MAX(BJ33:BJ42)-MIN(BJ33:BJ42))/2)</f>
        <v>1.0996609926223757</v>
      </c>
      <c r="BL5" s="5">
        <v>3</v>
      </c>
      <c r="BM5" s="31">
        <f>IF((MAX(BQ33:BQ42)-MIN(BQ33:BQ42))/2=0,"",(MAX(BQ33:BQ42)-MIN(BQ33:BQ42))/2)</f>
        <v>0.11653019999999992</v>
      </c>
      <c r="BN5" s="32">
        <f>IF((MAX(BR33:BR42)-MIN(BR33:BR42))/2=0,"",(MAX(BR33:BR42)-MIN(BR33:BR42))/2)</f>
        <v>8.3144050000000025E-2</v>
      </c>
      <c r="BO5" s="32">
        <f>IF((MAX(BS33:BS42)-MIN(BS33:BS42))/2=0,"",(MAX(BS33:BS42)-MIN(BS33:BS42))/2)</f>
        <v>9.7890250000000067E-2</v>
      </c>
      <c r="BP5" s="33">
        <f>IF((MAX(BT33:BT42)-MIN(BT33:BT42))/2=0,"",(MAX(BT33:BT42)-MIN(BT33:BT42))/2)</f>
        <v>5.2828338146209726</v>
      </c>
      <c r="BV5" s="5">
        <v>3</v>
      </c>
      <c r="BW5" s="31">
        <f>IF((MAX(CA33:CA42)-MIN(CA33:CA42))/2=0,"",(MAX(CA33:CA42)-MIN(CA33:CA42))/2)</f>
        <v>0.2394668499999999</v>
      </c>
      <c r="BX5" s="32">
        <f>IF((MAX(CB33:CB42)-MIN(CB33:CB42))/2=0,"",(MAX(CB33:CB42)-MIN(CB33:CB42))/2)</f>
        <v>0.13726649999999996</v>
      </c>
      <c r="BY5" s="32">
        <f>IF((MAX(CC33:CC42)-MIN(CC33:CC42))/2=0,"",(MAX(CC33:CC42)-MIN(CC33:CC42))/2)</f>
        <v>0.1508077000000001</v>
      </c>
      <c r="BZ5" s="33">
        <f>IF((MAX(CD33:CD42)-MIN(CD33:CD42))/2=0,"",(MAX(CD33:CD42)-MIN(CD33:CD42))/2)</f>
        <v>1.425109267234802</v>
      </c>
    </row>
    <row r="6" spans="1:92" x14ac:dyDescent="0.25">
      <c r="D6" s="5">
        <v>4</v>
      </c>
      <c r="E6" s="31">
        <f>IF((MAX(I43:I52)-MIN(I43:I52))/2=0,"",(MAX(I43:I52)-MIN(I43:I52))/2)</f>
        <v>5.4147499999999127E-2</v>
      </c>
      <c r="F6" s="32">
        <f>IF((MAX(J43:J52)-MIN(J43:J52))/2=0,"",(MAX(J43:J52)-MIN(J43:J52))/2)</f>
        <v>0.17358049999999992</v>
      </c>
      <c r="G6" s="32">
        <f>IF((MAX(K43:K52)-MIN(K43:K52))/2=0,"",(MAX(K43:K52)-MIN(K43:K52))/2)</f>
        <v>0.14836999999999989</v>
      </c>
      <c r="H6" s="33">
        <f>IF((MAX(L43:L52)-MIN(L43:L52))/2=0,"",(MAX(L43:L52)-MIN(L43:L52))/2)</f>
        <v>42.310061817382817</v>
      </c>
      <c r="N6" s="5">
        <v>4</v>
      </c>
      <c r="O6" s="31">
        <f>IF((MAX(S43:S52)-MIN(S43:S52))/2=0,"",(MAX(S43:S52)-MIN(S43:S52))/2)</f>
        <v>0.13549200000000283</v>
      </c>
      <c r="P6" s="32">
        <f>IF((MAX(T43:T52)-MIN(T43:T52))/2=0,"",(MAX(T43:T52)-MIN(T43:T52))/2)</f>
        <v>0.22738750000000252</v>
      </c>
      <c r="Q6" s="32">
        <f>IF((MAX(U43:U52)-MIN(U43:U52))/2=0,"",(MAX(U43:U52)-MIN(U43:U52))/2)</f>
        <v>0.18170149999999907</v>
      </c>
      <c r="R6" s="33">
        <f>IF((MAX(V43:V52)-MIN(V43:V52))/2=0,"",(MAX(V43:V52)-MIN(V43:V52))/2)</f>
        <v>36.468617016113278</v>
      </c>
      <c r="X6" s="5">
        <v>4</v>
      </c>
      <c r="Y6" s="31">
        <f>IF((MAX(AC43:AC52)-MIN(AC43:AC52))/2=0,"",(MAX(AC43:AC52)-MIN(AC43:AC52))/2)</f>
        <v>0.14313650000000067</v>
      </c>
      <c r="Z6" s="32">
        <f>IF((MAX(AD43:AD52)-MIN(AD43:AD52))/2=0,"",(MAX(AD43:AD52)-MIN(AD43:AD52))/2)</f>
        <v>6.4213999999999771E-2</v>
      </c>
      <c r="AA6" s="32">
        <f>IF((MAX(AE43:AE52)-MIN(AE43:AE52))/2=0,"",(MAX(AE43:AE52)-MIN(AE43:AE52))/2)</f>
        <v>9.0959500000000304E-2</v>
      </c>
      <c r="AB6" s="33">
        <f>IF((MAX(AF43:AF52)-MIN(AF43:AF52))/2=0,"",(MAX(AF43:AF52)-MIN(AF43:AF52))/2)</f>
        <v>12.984153933813481</v>
      </c>
      <c r="AH6" s="5">
        <v>4</v>
      </c>
      <c r="AI6" s="31">
        <f>IF((MAX(AM43:AM52)-MIN(AM43:AM52))/2=0,"",(MAX(AM43:AM52)-MIN(AM43:AM52))/2)</f>
        <v>0.25709215000000007</v>
      </c>
      <c r="AJ6" s="32">
        <f>IF((MAX(AN43:AN52)-MIN(AN43:AN52))/2=0,"",(MAX(AN43:AN52)-MIN(AN43:AN52))/2)</f>
        <v>0.17871114999999982</v>
      </c>
      <c r="AK6" s="32">
        <f>IF((MAX(AO43:AO52)-MIN(AO43:AO52))/2=0,"",(MAX(AO43:AO52)-MIN(AO43:AO52))/2)</f>
        <v>0.23926829999999999</v>
      </c>
      <c r="AL6" s="33">
        <f>IF((MAX(AP43:AP52)-MIN(AP43:AP52))/2=0,"",(MAX(AP43:AP52)-MIN(AP43:AP52))/2)</f>
        <v>3.4660451642401129</v>
      </c>
      <c r="AR6" s="5">
        <v>4</v>
      </c>
      <c r="AS6" s="31">
        <f>IF((MAX(AW43:AW52)-MIN(AW43:AW52))/2=0,"",(MAX(AW43:AW52)-MIN(AW43:AW52))/2)</f>
        <v>3.3120999999999512E-2</v>
      </c>
      <c r="AT6" s="32">
        <f>IF((MAX(AX43:AX52)-MIN(AX43:AX52))/2=0,"",(MAX(AX43:AX52)-MIN(AX43:AX52))/2)</f>
        <v>0.26495749999999951</v>
      </c>
      <c r="AU6" s="32">
        <f>IF((MAX(AY43:AY52)-MIN(AY43:AY52))/2=0,"",(MAX(AY43:AY52)-MIN(AY43:AY52))/2)</f>
        <v>0.20469950000000026</v>
      </c>
      <c r="AV6" s="33">
        <f>IF((MAX(AZ43:AZ52)-MIN(AZ43:AZ52))/2=0,"",(MAX(AZ43:AZ52)-MIN(AZ43:AZ52))/2)</f>
        <v>4.6687640347595183</v>
      </c>
      <c r="BB6" s="5">
        <v>4</v>
      </c>
      <c r="BC6" s="31">
        <f>IF((MAX(BG43:BG52)-MIN(BG43:BG52))/2=0,"",(MAX(BG43:BG52)-MIN(BG43:BG52))/2)</f>
        <v>2.4023999999998047E-3</v>
      </c>
      <c r="BD6" s="32">
        <f>IF((MAX(BH43:BH52)-MIN(BH43:BH52))/2=0,"",(MAX(BH43:BH52)-MIN(BH43:BH52))/2)</f>
        <v>2.8388249999999893E-2</v>
      </c>
      <c r="BE6" s="32">
        <f>IF((MAX(BI43:BI52)-MIN(BI43:BI52))/2=0,"",(MAX(BI43:BI52)-MIN(BI43:BI52))/2)</f>
        <v>1.4821100000000031E-2</v>
      </c>
      <c r="BF6" s="33">
        <f>IF((MAX(BJ43:BJ52)-MIN(BJ43:BJ52))/2=0,"",(MAX(BJ43:BJ52)-MIN(BJ43:BJ52))/2)</f>
        <v>1.0200040594567872</v>
      </c>
      <c r="BL6" s="5">
        <v>4</v>
      </c>
      <c r="BM6" s="31">
        <f>IF((MAX(BQ43:BQ52)-MIN(BQ43:BQ52))/2=0,"",(MAX(BQ43:BQ52)-MIN(BQ43:BQ52))/2)</f>
        <v>3.5322300000000029E-2</v>
      </c>
      <c r="BN6" s="32">
        <f>IF((MAX(BR43:BR52)-MIN(BR43:BR52))/2=0,"",(MAX(BR43:BR52)-MIN(BR43:BR52))/2)</f>
        <v>6.6418900000000058E-2</v>
      </c>
      <c r="BO6" s="32">
        <f>IF((MAX(BS43:BS52)-MIN(BS43:BS52))/2=0,"",(MAX(BS43:BS52)-MIN(BS43:BS52))/2)</f>
        <v>0.43625995000000006</v>
      </c>
      <c r="BP6" s="33">
        <f>IF((MAX(BT43:BT52)-MIN(BT43:BT52))/2=0,"",(MAX(BT43:BT52)-MIN(BT43:BT52))/2)</f>
        <v>5.8844464693115253</v>
      </c>
      <c r="BV6" s="5">
        <v>4</v>
      </c>
      <c r="BW6" s="31">
        <f>IF((MAX(CA43:CA52)-MIN(CA43:CA52))/2=0,"",(MAX(CA43:CA52)-MIN(CA43:CA52))/2)</f>
        <v>6.1843500000000162E-2</v>
      </c>
      <c r="BX6" s="32">
        <f>IF((MAX(CB43:CB52)-MIN(CB43:CB52))/2=0,"",(MAX(CB43:CB52)-MIN(CB43:CB52))/2)</f>
        <v>0.14521980000000001</v>
      </c>
      <c r="BY6" s="32">
        <f>IF((MAX(CC43:CC52)-MIN(CC43:CC52))/2=0,"",(MAX(CC43:CC52)-MIN(CC43:CC52))/2)</f>
        <v>7.4657250000000008E-2</v>
      </c>
      <c r="BZ6" s="33">
        <f>IF((MAX(CD43:CD52)-MIN(CD43:CD52))/2=0,"",(MAX(CD43:CD52)-MIN(CD43:CD52))/2)</f>
        <v>0.8801460304010007</v>
      </c>
    </row>
    <row r="7" spans="1:92" x14ac:dyDescent="0.25">
      <c r="D7" s="5">
        <v>5</v>
      </c>
      <c r="E7" s="6">
        <f>IF((MAX(I53:I62)-MIN(I53:I62))/2=0,"",(MAX(I53:I62)-MIN(I53:I62))/2)</f>
        <v>0.23038749999999908</v>
      </c>
      <c r="F7" s="7">
        <f>IF((MAX(J53:J62)-MIN(J53:J62))/2=0,"",(MAX(J53:J62)-MIN(J53:J62))/2)</f>
        <v>0.19599699999999842</v>
      </c>
      <c r="G7" s="7">
        <f>IF((MAX(K53:K62)-MIN(K53:K62))/2=0,"",(MAX(K53:K62)-MIN(K53:K62))/2)</f>
        <v>0.26274000000000086</v>
      </c>
      <c r="H7" s="8">
        <f>IF((MAX(L53:L62)-MIN(L53:L62))/2=0,"",(MAX(L53:L62)-MIN(L53:L62))/2)</f>
        <v>0.36814499999999839</v>
      </c>
      <c r="N7" s="5">
        <v>5</v>
      </c>
      <c r="O7" s="6">
        <f>IF((MAX(S53:S62)-MIN(S53:S62))/2=0,"",(MAX(S53:S62)-MIN(S53:S62))/2)</f>
        <v>0.14178449999999998</v>
      </c>
      <c r="P7" s="7">
        <f>IF((MAX(T53:T62)-MIN(T53:T62))/2=0,"",(MAX(T53:T62)-MIN(T53:T62))/2)</f>
        <v>0.60980849999999975</v>
      </c>
      <c r="Q7" s="7">
        <f>IF((MAX(U53:U62)-MIN(U53:U62))/2=0,"",(MAX(U53:U62)-MIN(U53:U62))/2)</f>
        <v>6.0234000000001231E-2</v>
      </c>
      <c r="R7" s="8">
        <f>IF((MAX(V53:V62)-MIN(V53:V62))/2=0,"",(MAX(V53:V62)-MIN(V53:V62))/2)</f>
        <v>0.13046600000000197</v>
      </c>
      <c r="X7" s="5">
        <v>5</v>
      </c>
      <c r="Y7" s="6">
        <f>IF((MAX(AC53:AC62)-MIN(AC53:AC62))/2=0,"",(MAX(AC53:AC62)-MIN(AC53:AC62))/2)</f>
        <v>0.25173899999999971</v>
      </c>
      <c r="Z7" s="7">
        <f>IF((MAX(AD53:AD62)-MIN(AD53:AD62))/2=0,"",(MAX(AD53:AD62)-MIN(AD53:AD62))/2)</f>
        <v>0.24873800000000035</v>
      </c>
      <c r="AA7" s="7">
        <f>IF((MAX(AE53:AE62)-MIN(AE53:AE62))/2=0,"",(MAX(AE53:AE62)-MIN(AE53:AE62))/2)</f>
        <v>0.1663117500000002</v>
      </c>
      <c r="AB7" s="8">
        <f>IF((MAX(AF53:AF62)-MIN(AF53:AF62))/2=0,"",(MAX(AF53:AF62)-MIN(AF53:AF62))/2)</f>
        <v>0.29899650000000033</v>
      </c>
      <c r="AH7" s="5">
        <v>5</v>
      </c>
      <c r="AI7" s="6">
        <f>IF((MAX(AM53:AM62)-MIN(AM53:AM62))/2=0,"",(MAX(AM53:AM62)-MIN(AM53:AM62))/2)</f>
        <v>0.16031074999999984</v>
      </c>
      <c r="AJ7" s="7">
        <f>IF((MAX(AN53:AN62)-MIN(AN53:AN62))/2=0,"",(MAX(AN53:AN62)-MIN(AN53:AN62))/2)</f>
        <v>0.32850769999999985</v>
      </c>
      <c r="AK7" s="7">
        <f>IF((MAX(AO53:AO62)-MIN(AO53:AO62))/2=0,"",(MAX(AO53:AO62)-MIN(AO53:AO62))/2)</f>
        <v>3.3257649999999916E-2</v>
      </c>
      <c r="AL7" s="8">
        <f>IF((MAX(AP53:AP62)-MIN(AP53:AP62))/2=0,"",(MAX(AP53:AP62)-MIN(AP53:AP62))/2)</f>
        <v>0.12071824999999992</v>
      </c>
      <c r="AR7" s="5">
        <v>5</v>
      </c>
      <c r="AS7" s="6">
        <f>IF((MAX(AW53:AW62)-MIN(AW53:AW62))/2=0,"",(MAX(AW53:AW62)-MIN(AW53:AW62))/2)</f>
        <v>0.11411000000000016</v>
      </c>
      <c r="AT7" s="7">
        <f>IF((MAX(AX53:AX62)-MIN(AX53:AX62))/2=0,"",(MAX(AX53:AX62)-MIN(AX53:AX62))/2)</f>
        <v>0.10071750000000002</v>
      </c>
      <c r="AU7" s="7">
        <f>IF((MAX(AY53:AY62)-MIN(AY53:AY62))/2=0,"",(MAX(AY53:AY62)-MIN(AY53:AY62))/2)</f>
        <v>2.7005000000013268E-3</v>
      </c>
      <c r="AV7" s="8">
        <f>IF((MAX(AZ53:AZ62)-MIN(AZ53:AZ62))/2=0,"",(MAX(AZ53:AZ62)-MIN(AZ53:AZ62))/2)</f>
        <v>6.8488499999999064E-2</v>
      </c>
      <c r="BB7" s="5">
        <v>5</v>
      </c>
      <c r="BC7" s="6">
        <f>IF((MAX(BG53:BG62)-MIN(BG53:BG62))/2=0,"",(MAX(BG53:BG62)-MIN(BG53:BG62))/2)</f>
        <v>3.5797499999998816E-3</v>
      </c>
      <c r="BD7" s="7">
        <f>IF((MAX(BH53:BH62)-MIN(BH53:BH62))/2=0,"",(MAX(BH53:BH62)-MIN(BH53:BH62))/2)</f>
        <v>4.2345049999999995E-2</v>
      </c>
      <c r="BE7" s="7">
        <f>IF((MAX(BI53:BI62)-MIN(BI53:BI62))/2=0,"",(MAX(BI53:BI62)-MIN(BI53:BI62))/2)</f>
        <v>4.1504599999999892E-2</v>
      </c>
      <c r="BF7" s="8">
        <f>IF((MAX(BJ53:BJ62)-MIN(BJ53:BJ62))/2=0,"",(MAX(BJ53:BJ62)-MIN(BJ53:BJ62))/2)</f>
        <v>1.2646500000000005E-2</v>
      </c>
      <c r="BL7" s="5">
        <v>5</v>
      </c>
      <c r="BM7" s="6">
        <f>IF((MAX(BQ53:BQ62)-MIN(BQ53:BQ62))/2=0,"",(MAX(BQ53:BQ62)-MIN(BQ53:BQ62))/2)</f>
        <v>0.80298080000000027</v>
      </c>
      <c r="BN7" s="7">
        <f>IF((MAX(BR53:BR62)-MIN(BR53:BR62))/2=0,"",(MAX(BR53:BR62)-MIN(BR53:BR62))/2)</f>
        <v>0.11202844999999995</v>
      </c>
      <c r="BO7" s="7">
        <f>IF((MAX(BS53:BS62)-MIN(BS53:BS62))/2=0,"",(MAX(BS53:BS62)-MIN(BS53:BS62))/2)</f>
        <v>0.48925220000000014</v>
      </c>
      <c r="BP7" s="8">
        <f>IF((MAX(BT53:BT62)-MIN(BT53:BT62))/2=0,"",(MAX(BT53:BT62)-MIN(BT53:BT62))/2)</f>
        <v>1.3841690999999998</v>
      </c>
      <c r="BV7" s="5">
        <v>5</v>
      </c>
      <c r="BW7" s="6">
        <f>IF((MAX(CA53:CA62)-MIN(CA53:CA62))/2=0,"",(MAX(CA53:CA62)-MIN(CA53:CA62))/2)</f>
        <v>0.11208920000000022</v>
      </c>
      <c r="BX7" s="7">
        <f>IF((MAX(CB53:CB62)-MIN(CB53:CB62))/2=0,"",(MAX(CB53:CB62)-MIN(CB53:CB62))/2)</f>
        <v>0.13896134999999976</v>
      </c>
      <c r="BY7" s="7">
        <f>IF((MAX(CC53:CC62)-MIN(CC53:CC62))/2=0,"",(MAX(CC53:CC62)-MIN(CC53:CC62))/2)</f>
        <v>6.4611299999999705E-2</v>
      </c>
      <c r="BZ7" s="8">
        <f>IF((MAX(CD53:CD62)-MIN(CD53:CD62))/2=0,"",(MAX(CD53:CD62)-MIN(CD53:CD62))/2)</f>
        <v>0.10495279999999996</v>
      </c>
    </row>
    <row r="8" spans="1:92" x14ac:dyDescent="0.25">
      <c r="D8" s="1" t="s">
        <v>10</v>
      </c>
      <c r="E8" s="34">
        <f>AVERAGE(E3:E7)</f>
        <v>8.9371599999999773E-2</v>
      </c>
      <c r="F8" s="34">
        <f>AVERAGE(F3:F7)</f>
        <v>8.7676548948730453</v>
      </c>
      <c r="G8" s="34">
        <f>AVERAGE(G3:G7)</f>
        <v>8.7426353356445325</v>
      </c>
      <c r="H8" s="34">
        <f>AVERAGE(H3:H7)</f>
        <v>9.5236616881835943</v>
      </c>
      <c r="N8" s="1" t="s">
        <v>10</v>
      </c>
      <c r="O8" s="34">
        <f>AVERAGE(O3:O7)</f>
        <v>0.1722660000000012</v>
      </c>
      <c r="P8" s="34">
        <f>AVERAGE(P3:P7)</f>
        <v>7.4684768537988306</v>
      </c>
      <c r="Q8" s="34">
        <f>AVERAGE(Q3:Q7)</f>
        <v>7.4129377921777335</v>
      </c>
      <c r="R8" s="34">
        <f>AVERAGE(R3:R7)</f>
        <v>10.735222639599609</v>
      </c>
      <c r="X8" s="1" t="s">
        <v>10</v>
      </c>
      <c r="Y8" s="34">
        <f>AVERAGE(Y3:Y7)</f>
        <v>0.17780900000000024</v>
      </c>
      <c r="Z8" s="34">
        <f>AVERAGE(Z3:Z7)</f>
        <v>1.1472858203002931</v>
      </c>
      <c r="AA8" s="34">
        <f>AVERAGE(AA3:AA7)</f>
        <v>2.4769662988647463</v>
      </c>
      <c r="AB8" s="34">
        <f>AVERAGE(AB3:AB7)</f>
        <v>5.5383781908581557</v>
      </c>
      <c r="AH8" s="1" t="s">
        <v>10</v>
      </c>
      <c r="AI8" s="34">
        <f>AVERAGE(AI3:AI7)</f>
        <v>0.15452903999999998</v>
      </c>
      <c r="AJ8" s="34">
        <f>AVERAGE(AJ3:AJ7)</f>
        <v>0.84754036492041007</v>
      </c>
      <c r="AK8" s="34">
        <f>AVERAGE(AK3:AK7)</f>
        <v>0.94851051925390628</v>
      </c>
      <c r="AL8" s="34">
        <f>AVERAGE(AL3:AL7)</f>
        <v>0.96259442021374508</v>
      </c>
      <c r="AR8" s="1" t="s">
        <v>10</v>
      </c>
      <c r="AS8" s="34">
        <f>AVERAGE(AS3:AS7)</f>
        <v>0.18693850000000012</v>
      </c>
      <c r="AT8" s="34">
        <f>AVERAGE(AT3:AT7)</f>
        <v>1.1749454976525877</v>
      </c>
      <c r="AU8" s="34">
        <f>AVERAGE(AU3:AU7)</f>
        <v>1.9137923905737302</v>
      </c>
      <c r="AV8" s="34">
        <f>AVERAGE(AV3:AV7)</f>
        <v>2.8439304950500475</v>
      </c>
      <c r="BB8" s="1" t="s">
        <v>10</v>
      </c>
      <c r="BC8" s="34">
        <f>AVERAGE(BC3:BC7)</f>
        <v>4.8168374999999486E-3</v>
      </c>
      <c r="BD8" s="34">
        <f>AVERAGE(BD3:BD7)</f>
        <v>0.19751783274319462</v>
      </c>
      <c r="BE8" s="34">
        <f>AVERAGE(BE3:BE7)</f>
        <v>0.28970897092993164</v>
      </c>
      <c r="BF8" s="34">
        <f>AVERAGE(BF3:BF7)</f>
        <v>0.77262175665530397</v>
      </c>
      <c r="BL8" s="1" t="s">
        <v>10</v>
      </c>
      <c r="BM8" s="34">
        <f>AVERAGE(BM3:BM7)</f>
        <v>0.20809426000000011</v>
      </c>
      <c r="BN8" s="34">
        <f>AVERAGE(BN3:BN7)</f>
        <v>0.9517583638256838</v>
      </c>
      <c r="BO8" s="34">
        <f>AVERAGE(BO3:BO7)</f>
        <v>1.7872106642976071</v>
      </c>
      <c r="BP8" s="34">
        <f>AVERAGE(BP3:BP7)</f>
        <v>3.8951871803677376</v>
      </c>
      <c r="BV8" s="1" t="s">
        <v>10</v>
      </c>
      <c r="BW8" s="34">
        <f>AVERAGE(BW3:BW7)</f>
        <v>0.11780531000000005</v>
      </c>
      <c r="BX8" s="34">
        <f>AVERAGE(BX3:BX7)</f>
        <v>0.28609228046768187</v>
      </c>
      <c r="BY8" s="34">
        <f>AVERAGE(BY3:BY7)</f>
        <v>0.40939288622460934</v>
      </c>
      <c r="BZ8" s="34">
        <f>AVERAGE(BZ3:BZ7)</f>
        <v>1.0262129289982909</v>
      </c>
    </row>
    <row r="9" spans="1:92" x14ac:dyDescent="0.25">
      <c r="B9" s="9" t="s">
        <v>11</v>
      </c>
      <c r="C9" s="9">
        <v>0.4</v>
      </c>
    </row>
    <row r="11" spans="1:92" x14ac:dyDescent="0.25">
      <c r="A11" s="43" t="s">
        <v>12</v>
      </c>
      <c r="B11" s="43" t="s">
        <v>13</v>
      </c>
      <c r="C11" s="47" t="s">
        <v>14</v>
      </c>
      <c r="E11" s="40" t="s">
        <v>15</v>
      </c>
      <c r="F11" s="41"/>
      <c r="G11" s="41"/>
      <c r="H11" s="42"/>
      <c r="I11" s="35" t="s">
        <v>16</v>
      </c>
      <c r="J11" s="36"/>
      <c r="K11" s="36"/>
      <c r="L11" s="36"/>
      <c r="O11" s="40" t="s">
        <v>15</v>
      </c>
      <c r="P11" s="41"/>
      <c r="Q11" s="41"/>
      <c r="R11" s="42"/>
      <c r="S11" s="35" t="s">
        <v>16</v>
      </c>
      <c r="T11" s="36"/>
      <c r="U11" s="36"/>
      <c r="V11" s="36"/>
      <c r="Y11" s="40" t="s">
        <v>15</v>
      </c>
      <c r="Z11" s="41"/>
      <c r="AA11" s="41"/>
      <c r="AB11" s="42"/>
      <c r="AC11" s="35" t="s">
        <v>16</v>
      </c>
      <c r="AD11" s="36"/>
      <c r="AE11" s="36"/>
      <c r="AF11" s="36"/>
      <c r="AI11" s="40" t="s">
        <v>15</v>
      </c>
      <c r="AJ11" s="41"/>
      <c r="AK11" s="41"/>
      <c r="AL11" s="42"/>
      <c r="AM11" s="35" t="s">
        <v>16</v>
      </c>
      <c r="AN11" s="36"/>
      <c r="AO11" s="36"/>
      <c r="AP11" s="36"/>
      <c r="AS11" s="40" t="s">
        <v>15</v>
      </c>
      <c r="AT11" s="41"/>
      <c r="AU11" s="41"/>
      <c r="AV11" s="42"/>
      <c r="AW11" s="35" t="s">
        <v>16</v>
      </c>
      <c r="AX11" s="36"/>
      <c r="AY11" s="36"/>
      <c r="AZ11" s="36"/>
      <c r="BC11" s="40" t="s">
        <v>15</v>
      </c>
      <c r="BD11" s="41"/>
      <c r="BE11" s="41"/>
      <c r="BF11" s="42"/>
      <c r="BG11" s="35" t="s">
        <v>16</v>
      </c>
      <c r="BH11" s="36"/>
      <c r="BI11" s="36"/>
      <c r="BJ11" s="36"/>
      <c r="BM11" s="40" t="s">
        <v>15</v>
      </c>
      <c r="BN11" s="41"/>
      <c r="BO11" s="41"/>
      <c r="BP11" s="42"/>
      <c r="BQ11" s="35" t="s">
        <v>16</v>
      </c>
      <c r="BR11" s="36"/>
      <c r="BS11" s="36"/>
      <c r="BT11" s="36"/>
      <c r="BW11" s="40" t="s">
        <v>15</v>
      </c>
      <c r="BX11" s="41"/>
      <c r="BY11" s="41"/>
      <c r="BZ11" s="42"/>
      <c r="CA11" s="35" t="s">
        <v>16</v>
      </c>
      <c r="CB11" s="36"/>
      <c r="CC11" s="36"/>
      <c r="CD11" s="36"/>
    </row>
    <row r="12" spans="1:92" x14ac:dyDescent="0.25">
      <c r="A12" s="36"/>
      <c r="B12" s="36"/>
      <c r="C12" s="36"/>
      <c r="E12" s="2" t="s">
        <v>9</v>
      </c>
      <c r="F12" s="3">
        <v>249063</v>
      </c>
      <c r="G12" s="3">
        <v>249062</v>
      </c>
      <c r="H12" s="4">
        <v>249061</v>
      </c>
      <c r="I12" s="2" t="s">
        <v>9</v>
      </c>
      <c r="J12" s="3">
        <v>249063</v>
      </c>
      <c r="K12" s="3">
        <v>249062</v>
      </c>
      <c r="L12" s="4">
        <v>249061</v>
      </c>
      <c r="O12" s="2" t="s">
        <v>9</v>
      </c>
      <c r="P12" s="3">
        <v>249063</v>
      </c>
      <c r="Q12" s="3">
        <v>249062</v>
      </c>
      <c r="R12" s="4">
        <v>249061</v>
      </c>
      <c r="S12" s="2" t="s">
        <v>9</v>
      </c>
      <c r="T12" s="3">
        <v>249063</v>
      </c>
      <c r="U12" s="3">
        <v>249062</v>
      </c>
      <c r="V12" s="4">
        <v>249061</v>
      </c>
      <c r="Y12" s="2" t="s">
        <v>9</v>
      </c>
      <c r="Z12" s="3">
        <v>249063</v>
      </c>
      <c r="AA12" s="3">
        <v>249062</v>
      </c>
      <c r="AB12" s="4">
        <v>249061</v>
      </c>
      <c r="AC12" s="2" t="s">
        <v>9</v>
      </c>
      <c r="AD12" s="3">
        <v>249063</v>
      </c>
      <c r="AE12" s="3">
        <v>249062</v>
      </c>
      <c r="AF12" s="4">
        <v>249061</v>
      </c>
      <c r="AI12" s="2" t="s">
        <v>9</v>
      </c>
      <c r="AJ12" s="3">
        <v>249063</v>
      </c>
      <c r="AK12" s="3">
        <v>249062</v>
      </c>
      <c r="AL12" s="4">
        <v>249061</v>
      </c>
      <c r="AM12" s="2" t="s">
        <v>9</v>
      </c>
      <c r="AN12" s="3">
        <v>249063</v>
      </c>
      <c r="AO12" s="3">
        <v>249062</v>
      </c>
      <c r="AP12" s="4">
        <v>249061</v>
      </c>
      <c r="AS12" s="2" t="s">
        <v>9</v>
      </c>
      <c r="AT12" s="3">
        <v>249063</v>
      </c>
      <c r="AU12" s="3">
        <v>249062</v>
      </c>
      <c r="AV12" s="4">
        <v>249061</v>
      </c>
      <c r="AW12" s="2" t="s">
        <v>9</v>
      </c>
      <c r="AX12" s="3">
        <v>249063</v>
      </c>
      <c r="AY12" s="3">
        <v>249062</v>
      </c>
      <c r="AZ12" s="4">
        <v>249061</v>
      </c>
      <c r="BC12" s="2" t="s">
        <v>9</v>
      </c>
      <c r="BD12" s="3">
        <v>249063</v>
      </c>
      <c r="BE12" s="3">
        <v>249062</v>
      </c>
      <c r="BF12" s="4">
        <v>249061</v>
      </c>
      <c r="BG12" s="2" t="s">
        <v>9</v>
      </c>
      <c r="BH12" s="3">
        <v>249063</v>
      </c>
      <c r="BI12" s="3">
        <v>249062</v>
      </c>
      <c r="BJ12" s="4">
        <v>249061</v>
      </c>
      <c r="BM12" s="2" t="s">
        <v>9</v>
      </c>
      <c r="BN12" s="3">
        <v>249063</v>
      </c>
      <c r="BO12" s="3">
        <v>249062</v>
      </c>
      <c r="BP12" s="4">
        <v>249061</v>
      </c>
      <c r="BQ12" s="2" t="s">
        <v>9</v>
      </c>
      <c r="BR12" s="3">
        <v>249063</v>
      </c>
      <c r="BS12" s="3">
        <v>249062</v>
      </c>
      <c r="BT12" s="4">
        <v>249061</v>
      </c>
      <c r="BW12" s="2" t="s">
        <v>9</v>
      </c>
      <c r="BX12" s="3">
        <v>249063</v>
      </c>
      <c r="BY12" s="3">
        <v>249062</v>
      </c>
      <c r="BZ12" s="4">
        <v>249061</v>
      </c>
      <c r="CA12" s="2" t="s">
        <v>9</v>
      </c>
      <c r="CB12" s="3">
        <v>249063</v>
      </c>
      <c r="CC12" s="3">
        <v>249062</v>
      </c>
      <c r="CD12" s="4">
        <v>249061</v>
      </c>
    </row>
    <row r="13" spans="1:92" x14ac:dyDescent="0.25">
      <c r="A13" s="37">
        <v>1</v>
      </c>
      <c r="B13" s="12">
        <v>1</v>
      </c>
      <c r="C13" s="13">
        <v>1</v>
      </c>
      <c r="E13" s="14">
        <v>88.579809999999995</v>
      </c>
      <c r="F13" s="15">
        <v>88.690939999999998</v>
      </c>
      <c r="G13" s="15">
        <v>88.482900000000001</v>
      </c>
      <c r="H13" s="16">
        <v>88.285809999999998</v>
      </c>
      <c r="I13" s="12">
        <f t="shared" ref="I13:I22" si="0">IF(OR(E13="",E13="NaN"),"",E13-AVERAGE(E$13:E$22))</f>
        <v>5.2561400000001868E-2</v>
      </c>
      <c r="J13" s="12">
        <v>86.124259948730469</v>
      </c>
      <c r="K13" s="12">
        <v>86.094802856445313</v>
      </c>
      <c r="L13" s="17">
        <v>77.235771179199219</v>
      </c>
      <c r="M13" s="5"/>
      <c r="N13" s="5"/>
      <c r="O13" s="14">
        <v>53.405563000000001</v>
      </c>
      <c r="P13" s="15">
        <v>53.51343</v>
      </c>
      <c r="Q13" s="15">
        <v>54.061219999999999</v>
      </c>
      <c r="R13" s="16">
        <v>53.971984999999997</v>
      </c>
      <c r="S13" s="12">
        <f t="shared" ref="S13:S22" si="1">IF(OR(O13="",O13="NaN"),"",O13-AVERAGE(O$13:O$22))</f>
        <v>-0.43420050000000288</v>
      </c>
      <c r="T13" s="12">
        <v>71.50335693359375</v>
      </c>
      <c r="U13" s="12">
        <v>72.261192321777344</v>
      </c>
      <c r="V13" s="17">
        <v>62.470417022705078</v>
      </c>
      <c r="W13" s="5"/>
      <c r="X13" s="5"/>
      <c r="Y13" s="14">
        <v>9.9375649999999993</v>
      </c>
      <c r="Z13" s="15">
        <v>9.8670299999999997</v>
      </c>
      <c r="AA13" s="15">
        <v>9.9924730000000004</v>
      </c>
      <c r="AB13" s="16">
        <v>10.108015999999999</v>
      </c>
      <c r="AC13" s="12">
        <f t="shared" ref="AC13:AC22" si="2">IF(OR(Y13="",Y13="NaN"),"",Y13-AVERAGE(Y$13:Y$22))</f>
        <v>-5.2157599999999249E-2</v>
      </c>
      <c r="AD13" s="12">
        <v>9.7310924530029297</v>
      </c>
      <c r="AE13" s="12">
        <v>9.5324506759643555</v>
      </c>
      <c r="AF13" s="17">
        <v>21.885885238647461</v>
      </c>
      <c r="AG13" s="5"/>
      <c r="AH13" s="5"/>
      <c r="AI13" s="14">
        <v>6.9060759999999997</v>
      </c>
      <c r="AJ13" s="15">
        <v>6.9322609999999996</v>
      </c>
      <c r="AK13" s="15">
        <v>6.6162257000000002</v>
      </c>
      <c r="AL13" s="16">
        <v>6.7438172999999999</v>
      </c>
      <c r="AM13" s="12">
        <f t="shared" ref="AM13:AM22" si="3">IF(OR(AI13="",AI13="NaN"),"",AI13-AVERAGE(AI$13:AI$22))</f>
        <v>0.22413125000000012</v>
      </c>
      <c r="AN13" s="12">
        <v>6.8528914451599121</v>
      </c>
      <c r="AO13" s="12">
        <v>6.9340763092041016</v>
      </c>
      <c r="AP13" s="17">
        <v>8.5092926025390625</v>
      </c>
      <c r="AR13" s="5"/>
      <c r="AS13" s="14">
        <v>18.571012</v>
      </c>
      <c r="AT13" s="15">
        <v>18.284925000000001</v>
      </c>
      <c r="AU13" s="15">
        <v>19.420517</v>
      </c>
      <c r="AV13" s="16">
        <v>18.635998000000001</v>
      </c>
      <c r="AW13" s="12">
        <f t="shared" ref="AW13:AW22" si="4">IF(OR(AS13="",AS13="NaN"),"",AS13-AVERAGE(AS$13:AS$22))</f>
        <v>-0.27299539999999922</v>
      </c>
      <c r="AX13" s="12">
        <v>10.247696876525881</v>
      </c>
      <c r="AY13" s="12">
        <v>9.8079900741577166</v>
      </c>
      <c r="AZ13" s="17">
        <v>17.723371505737301</v>
      </c>
      <c r="BB13" s="5"/>
      <c r="BC13" s="14">
        <v>2.8664960000000002</v>
      </c>
      <c r="BD13" s="15">
        <v>2.8575294000000002</v>
      </c>
      <c r="BE13" s="15">
        <v>2.8539512</v>
      </c>
      <c r="BF13" s="16">
        <v>2.8607165999999999</v>
      </c>
      <c r="BG13" s="12">
        <f t="shared" ref="BG13:BG22" si="5">IF(OR(BC13="",BC13="NaN"),"",BC13-AVERAGE(BC$13:BC$22))</f>
        <v>1.1554809999999804E-2</v>
      </c>
      <c r="BH13" s="12">
        <v>1.50868833065033</v>
      </c>
      <c r="BI13" s="12">
        <v>1.529995441436768</v>
      </c>
      <c r="BJ13" s="17">
        <v>2.642823219299316</v>
      </c>
      <c r="BL13" s="5"/>
      <c r="BM13" s="14">
        <v>2.6911740000000002</v>
      </c>
      <c r="BN13" s="15">
        <v>2.6821649999999999</v>
      </c>
      <c r="BO13" s="15">
        <v>2.7159536000000002</v>
      </c>
      <c r="BP13" s="16">
        <v>2.658995</v>
      </c>
      <c r="BQ13" s="12">
        <f t="shared" ref="BQ13:BQ22" si="6">IF(OR(BM13="",BM13="NaN"),"",BM13-AVERAGE(BM$13:BM$22))</f>
        <v>2.7144200000002172E-3</v>
      </c>
      <c r="BR13" s="12">
        <v>5.9646682739257813</v>
      </c>
      <c r="BS13" s="12">
        <v>7.172243595123291</v>
      </c>
      <c r="BT13" s="17">
        <v>15.075961112976071</v>
      </c>
      <c r="BV13" s="5"/>
      <c r="BW13" s="14">
        <v>5.5815789999999996</v>
      </c>
      <c r="BX13" s="15">
        <v>5.5430145</v>
      </c>
      <c r="BY13" s="15">
        <v>5.4619359999999997</v>
      </c>
      <c r="BZ13" s="16">
        <v>5.4182110000000003</v>
      </c>
      <c r="CA13" s="12">
        <f t="shared" ref="CA13:CA22" si="7">IF(OR(BW13="",BW13="NaN"),"",BW13-AVERAGE(BW$13:BW$22))</f>
        <v>0.14487392999999926</v>
      </c>
      <c r="CB13" s="12">
        <v>1.827481389045716</v>
      </c>
      <c r="CC13" s="12">
        <v>1.7136039733886721</v>
      </c>
      <c r="CD13" s="17">
        <v>3.4586410522460942</v>
      </c>
      <c r="CG13">
        <v>1.9935982227325439</v>
      </c>
      <c r="CH13">
        <v>1.954490184783936</v>
      </c>
      <c r="CI13">
        <v>3.4586410522460942</v>
      </c>
      <c r="CL13">
        <v>1.597766041755676</v>
      </c>
      <c r="CM13">
        <v>1.570557832717896</v>
      </c>
      <c r="CN13">
        <v>3.4586410522460942</v>
      </c>
    </row>
    <row r="14" spans="1:92" x14ac:dyDescent="0.25">
      <c r="A14" s="38"/>
      <c r="B14" s="5">
        <v>2</v>
      </c>
      <c r="C14" s="18">
        <v>6</v>
      </c>
      <c r="E14" s="19">
        <v>88.572130000000001</v>
      </c>
      <c r="F14" s="20">
        <v>88.606255000000004</v>
      </c>
      <c r="G14" s="20">
        <v>88.379189999999994</v>
      </c>
      <c r="H14" s="21">
        <v>87.923699999999997</v>
      </c>
      <c r="I14" s="5">
        <f t="shared" si="0"/>
        <v>4.4881400000008398E-2</v>
      </c>
      <c r="J14" s="5">
        <v>86.073104858398438</v>
      </c>
      <c r="K14" s="5">
        <v>85.856895446777344</v>
      </c>
      <c r="L14" s="22">
        <v>77.235771179199219</v>
      </c>
      <c r="M14" s="5"/>
      <c r="N14" s="5"/>
      <c r="O14" s="19">
        <v>53.943302000000003</v>
      </c>
      <c r="P14" s="20">
        <v>54.162394999999997</v>
      </c>
      <c r="Q14" s="20">
        <v>54.180813000000001</v>
      </c>
      <c r="R14" s="21">
        <v>54.118540000000003</v>
      </c>
      <c r="S14" s="5">
        <f t="shared" si="1"/>
        <v>0.10353849999999909</v>
      </c>
      <c r="T14" s="5">
        <v>71.611770629882813</v>
      </c>
      <c r="U14" s="5">
        <v>71.840850830078125</v>
      </c>
      <c r="V14" s="22">
        <v>62.470417022705078</v>
      </c>
      <c r="W14" s="5"/>
      <c r="X14" s="5"/>
      <c r="Y14" s="19">
        <v>10.045206</v>
      </c>
      <c r="Z14" s="20">
        <v>9.9788340000000009</v>
      </c>
      <c r="AA14" s="20">
        <v>9.9896539999999998</v>
      </c>
      <c r="AB14" s="21">
        <v>10.133734</v>
      </c>
      <c r="AC14" s="5">
        <f t="shared" si="2"/>
        <v>5.5483400000001737E-2</v>
      </c>
      <c r="AD14" s="5">
        <v>9.5929040908813477</v>
      </c>
      <c r="AE14" s="5">
        <v>20.6865234375</v>
      </c>
      <c r="AF14" s="22">
        <v>21.885885238647461</v>
      </c>
      <c r="AG14" s="5"/>
      <c r="AH14" s="5"/>
      <c r="AI14" s="19">
        <v>6.7641470000000004</v>
      </c>
      <c r="AJ14" s="20">
        <v>6.9229865000000004</v>
      </c>
      <c r="AK14" s="20">
        <v>6.5387909999999998</v>
      </c>
      <c r="AL14" s="21">
        <v>6.6109213999999996</v>
      </c>
      <c r="AM14" s="5">
        <f t="shared" si="3"/>
        <v>8.2202250000000809E-2</v>
      </c>
      <c r="AN14" s="5">
        <v>6.9142427444458008</v>
      </c>
      <c r="AO14" s="5">
        <v>6.9679818153381348</v>
      </c>
      <c r="AP14" s="22">
        <v>8.5092926025390625</v>
      </c>
      <c r="AR14" s="5"/>
      <c r="AS14" s="19">
        <v>18.445945999999999</v>
      </c>
      <c r="AT14" s="20">
        <v>18.432442000000002</v>
      </c>
      <c r="AU14" s="20">
        <v>19.603874000000001</v>
      </c>
      <c r="AV14" s="21">
        <v>19.097598999999999</v>
      </c>
      <c r="AW14" s="5">
        <f t="shared" si="4"/>
        <v>-0.39806139999999957</v>
      </c>
      <c r="AX14" s="5">
        <v>10.14006233215332</v>
      </c>
      <c r="AY14" s="5">
        <v>10.17270088195801</v>
      </c>
      <c r="AZ14" s="22">
        <v>17.723371505737301</v>
      </c>
      <c r="BB14" s="5"/>
      <c r="BC14" s="19">
        <v>2.8591734999999998</v>
      </c>
      <c r="BD14" s="20">
        <v>2.8575294000000002</v>
      </c>
      <c r="BE14" s="20">
        <v>2.8539512</v>
      </c>
      <c r="BF14" s="21">
        <v>2.8656644999999998</v>
      </c>
      <c r="BG14" s="5">
        <f t="shared" si="5"/>
        <v>4.2323099999994618E-3</v>
      </c>
      <c r="BH14" s="5">
        <v>1.50868833065033</v>
      </c>
      <c r="BI14" s="5">
        <v>1.773964047431946</v>
      </c>
      <c r="BJ14" s="22">
        <v>2.642823219299316</v>
      </c>
      <c r="BL14" s="5"/>
      <c r="BM14" s="19">
        <v>2.6583589999999999</v>
      </c>
      <c r="BN14" s="20">
        <v>2.7074769000000001</v>
      </c>
      <c r="BO14" s="20">
        <v>2.773231</v>
      </c>
      <c r="BP14" s="21">
        <v>2.6346872000000001</v>
      </c>
      <c r="BQ14" s="5">
        <f t="shared" si="6"/>
        <v>-3.0100580000000043E-2</v>
      </c>
      <c r="BR14" s="5">
        <v>5.848085880279541</v>
      </c>
      <c r="BS14" s="5">
        <v>7.5219988822937012</v>
      </c>
      <c r="BT14" s="22">
        <v>15.075961112976071</v>
      </c>
      <c r="BV14" s="5"/>
      <c r="BW14" s="19">
        <v>5.3808619999999996</v>
      </c>
      <c r="BX14" s="20">
        <v>5.3478246</v>
      </c>
      <c r="BY14" s="20">
        <v>5.3525850000000004</v>
      </c>
      <c r="BZ14" s="21">
        <v>5.4172039999999999</v>
      </c>
      <c r="CA14" s="5">
        <f t="shared" si="7"/>
        <v>-5.5843070000000772E-2</v>
      </c>
      <c r="CB14" s="5">
        <v>1.8147608041763299</v>
      </c>
      <c r="CC14" s="5">
        <v>1.9867731332778931</v>
      </c>
      <c r="CD14" s="22">
        <v>3.4586410522460942</v>
      </c>
      <c r="CG14">
        <v>1.9122438430786131</v>
      </c>
      <c r="CH14">
        <v>1.95616626739502</v>
      </c>
      <c r="CI14">
        <v>3.4586410522460942</v>
      </c>
      <c r="CL14">
        <v>1.5697135925292971</v>
      </c>
      <c r="CM14">
        <v>1.570557832717896</v>
      </c>
      <c r="CN14">
        <v>3.4586410522460942</v>
      </c>
    </row>
    <row r="15" spans="1:92" x14ac:dyDescent="0.25">
      <c r="A15" s="38"/>
      <c r="B15" s="5">
        <v>3</v>
      </c>
      <c r="C15" s="18">
        <v>11</v>
      </c>
      <c r="E15" s="19">
        <v>88.551419999999993</v>
      </c>
      <c r="F15" s="20">
        <v>88.673029999999997</v>
      </c>
      <c r="G15" s="20">
        <v>88.085655000000003</v>
      </c>
      <c r="H15" s="21">
        <v>87.952560000000005</v>
      </c>
      <c r="I15" s="5">
        <f t="shared" si="0"/>
        <v>2.4171400000000176E-2</v>
      </c>
      <c r="J15" s="5">
        <v>86.012519836425781</v>
      </c>
      <c r="K15" s="5">
        <v>86.060539245605469</v>
      </c>
      <c r="L15" s="22">
        <v>77.235771179199219</v>
      </c>
      <c r="M15" s="5"/>
      <c r="N15" s="5"/>
      <c r="O15" s="19">
        <v>53.890582999999999</v>
      </c>
      <c r="P15" s="20">
        <v>54.13458</v>
      </c>
      <c r="Q15" s="20">
        <v>54.173991999999998</v>
      </c>
      <c r="R15" s="21">
        <v>54.039090000000002</v>
      </c>
      <c r="S15" s="5">
        <f t="shared" si="1"/>
        <v>5.0819499999995799E-2</v>
      </c>
      <c r="T15" s="5">
        <v>71.744384765625</v>
      </c>
      <c r="U15" s="5">
        <v>71.990165710449219</v>
      </c>
      <c r="V15" s="22">
        <v>62.470417022705078</v>
      </c>
      <c r="W15" s="5"/>
      <c r="X15" s="5"/>
      <c r="Y15" s="19">
        <v>10.035269</v>
      </c>
      <c r="Z15" s="20">
        <v>9.9231289999999994</v>
      </c>
      <c r="AA15" s="20">
        <v>9.8772789999999997</v>
      </c>
      <c r="AB15" s="21">
        <v>10.114573500000001</v>
      </c>
      <c r="AC15" s="5">
        <f t="shared" si="2"/>
        <v>4.5546400000000986E-2</v>
      </c>
      <c r="AD15" s="5">
        <v>9.6188001632690447</v>
      </c>
      <c r="AE15" s="5">
        <v>9.5476503372192383</v>
      </c>
      <c r="AF15" s="22">
        <v>21.885885238647461</v>
      </c>
      <c r="AG15" s="5"/>
      <c r="AH15" s="5"/>
      <c r="AI15" s="19">
        <v>6.7598995999999998</v>
      </c>
      <c r="AJ15" s="20">
        <v>6.9104203999999996</v>
      </c>
      <c r="AK15" s="20">
        <v>6.5480504000000002</v>
      </c>
      <c r="AL15" s="21">
        <v>6.6162999999999998</v>
      </c>
      <c r="AM15" s="5">
        <f t="shared" si="3"/>
        <v>7.7954850000000242E-2</v>
      </c>
      <c r="AN15" s="5">
        <v>6.9340763092041016</v>
      </c>
      <c r="AO15" s="5">
        <v>6.9679818153381348</v>
      </c>
      <c r="AP15" s="22">
        <v>8.5092926025390625</v>
      </c>
      <c r="AR15" s="5"/>
      <c r="AS15" s="19">
        <v>18.798121999999999</v>
      </c>
      <c r="AT15" s="20">
        <v>18.420517</v>
      </c>
      <c r="AU15" s="20">
        <v>19.734919999999999</v>
      </c>
      <c r="AV15" s="21">
        <v>19.111984</v>
      </c>
      <c r="AW15" s="5">
        <f t="shared" si="4"/>
        <v>-4.5885399999999521E-2</v>
      </c>
      <c r="AX15" s="5">
        <v>10.157918930053709</v>
      </c>
      <c r="AY15" s="5">
        <v>9.8792972564697283</v>
      </c>
      <c r="AZ15" s="22">
        <v>17.723371505737301</v>
      </c>
      <c r="BB15" s="5"/>
      <c r="BC15" s="19">
        <v>2.8495933999999998</v>
      </c>
      <c r="BD15" s="20">
        <v>2.8575294000000002</v>
      </c>
      <c r="BE15" s="20">
        <v>2.8576685999999998</v>
      </c>
      <c r="BF15" s="21">
        <v>2.8564630000000002</v>
      </c>
      <c r="BG15" s="5">
        <f t="shared" si="5"/>
        <v>-5.3477900000005185E-3</v>
      </c>
      <c r="BH15" s="5">
        <v>1.5168387889862061</v>
      </c>
      <c r="BI15" s="5">
        <v>1.773964047431946</v>
      </c>
      <c r="BJ15" s="22">
        <v>2.642823219299316</v>
      </c>
      <c r="BL15" s="5"/>
      <c r="BM15" s="19">
        <v>2.7074720000000001</v>
      </c>
      <c r="BN15" s="20">
        <v>2.6822414000000001</v>
      </c>
      <c r="BO15" s="20">
        <v>2.6129193000000002</v>
      </c>
      <c r="BP15" s="21">
        <v>2.6603593999999999</v>
      </c>
      <c r="BQ15" s="5">
        <f t="shared" si="6"/>
        <v>1.9012420000000141E-2</v>
      </c>
      <c r="BR15" s="5">
        <v>7.0803279876708984</v>
      </c>
      <c r="BS15" s="5">
        <v>7.5122003555297852</v>
      </c>
      <c r="BT15" s="22">
        <v>15.075961112976071</v>
      </c>
      <c r="BV15" s="5"/>
      <c r="BW15" s="19">
        <v>5.3970083999999998</v>
      </c>
      <c r="BX15" s="20">
        <v>5.3478246</v>
      </c>
      <c r="BY15" s="20">
        <v>5.3660506999999997</v>
      </c>
      <c r="BZ15" s="21">
        <v>5.4032070000000001</v>
      </c>
      <c r="CA15" s="5">
        <f t="shared" si="7"/>
        <v>-3.9696670000000545E-2</v>
      </c>
      <c r="CB15" s="5">
        <v>1.921244263648987</v>
      </c>
      <c r="CC15" s="5">
        <v>1.8477427959442141</v>
      </c>
      <c r="CD15" s="22">
        <v>3.4586410522460942</v>
      </c>
      <c r="CG15">
        <v>1.919477224349976</v>
      </c>
      <c r="CH15">
        <v>1.976276636123657</v>
      </c>
      <c r="CI15">
        <v>3.4586410522460942</v>
      </c>
      <c r="CL15">
        <v>1.571975946426392</v>
      </c>
      <c r="CM15">
        <v>3.4586410522460942</v>
      </c>
      <c r="CN15">
        <v>3.4586410522460942</v>
      </c>
    </row>
    <row r="16" spans="1:92" x14ac:dyDescent="0.25">
      <c r="A16" s="38"/>
      <c r="B16" s="5">
        <v>4</v>
      </c>
      <c r="C16" s="18">
        <v>16</v>
      </c>
      <c r="E16" s="19">
        <v>88.470330000000004</v>
      </c>
      <c r="F16" s="20">
        <v>88.614624000000006</v>
      </c>
      <c r="G16" s="20">
        <v>87.926240000000007</v>
      </c>
      <c r="H16" s="21">
        <v>87.900549999999996</v>
      </c>
      <c r="I16" s="5">
        <f t="shared" si="0"/>
        <v>-5.6918599999988828E-2</v>
      </c>
      <c r="J16" s="5">
        <v>86.077468872070313</v>
      </c>
      <c r="K16" s="5">
        <v>77.235771179199219</v>
      </c>
      <c r="L16" s="22">
        <v>77.235771179199219</v>
      </c>
      <c r="M16" s="5"/>
      <c r="N16" s="5"/>
      <c r="O16" s="19">
        <v>53.892769999999999</v>
      </c>
      <c r="P16" s="20">
        <v>54.176212</v>
      </c>
      <c r="Q16" s="20">
        <v>54.328279999999999</v>
      </c>
      <c r="R16" s="21">
        <v>54.035457999999998</v>
      </c>
      <c r="S16" s="5">
        <f t="shared" si="1"/>
        <v>5.3006499999995071E-2</v>
      </c>
      <c r="T16" s="5">
        <v>71.868598937988281</v>
      </c>
      <c r="U16" s="5">
        <v>62.470417022705078</v>
      </c>
      <c r="V16" s="22">
        <v>62.470417022705078</v>
      </c>
      <c r="W16" s="5"/>
      <c r="X16" s="5"/>
      <c r="Y16" s="19">
        <v>10.001150000000001</v>
      </c>
      <c r="Z16" s="20">
        <v>9.9406960000000009</v>
      </c>
      <c r="AA16" s="20">
        <v>9.9316139999999997</v>
      </c>
      <c r="AB16" s="21">
        <v>10.197136</v>
      </c>
      <c r="AC16" s="5">
        <f t="shared" si="2"/>
        <v>1.1427400000002308E-2</v>
      </c>
      <c r="AD16" s="5">
        <v>9.4865531921386719</v>
      </c>
      <c r="AE16" s="5">
        <v>21.885885238647461</v>
      </c>
      <c r="AF16" s="22">
        <v>21.885885238647461</v>
      </c>
      <c r="AG16" s="5"/>
      <c r="AH16" s="5"/>
      <c r="AI16" s="19">
        <v>6.6486893</v>
      </c>
      <c r="AJ16" s="20">
        <v>6.8302930000000002</v>
      </c>
      <c r="AK16" s="20">
        <v>6.5482725999999998</v>
      </c>
      <c r="AL16" s="21">
        <v>6.6369119999999997</v>
      </c>
      <c r="AM16" s="5">
        <f t="shared" si="3"/>
        <v>-3.325544999999952E-2</v>
      </c>
      <c r="AN16" s="5">
        <v>6.9253706932067871</v>
      </c>
      <c r="AO16" s="5">
        <v>8.5092926025390625</v>
      </c>
      <c r="AP16" s="22">
        <v>8.5092926025390625</v>
      </c>
      <c r="AR16" s="5"/>
      <c r="AS16" s="19">
        <v>19.03932</v>
      </c>
      <c r="AT16" s="20">
        <v>18.404848000000001</v>
      </c>
      <c r="AU16" s="20">
        <v>19.805911999999999</v>
      </c>
      <c r="AV16" s="21">
        <v>19.288574000000001</v>
      </c>
      <c r="AW16" s="5">
        <f t="shared" si="4"/>
        <v>0.19531260000000117</v>
      </c>
      <c r="AX16" s="5">
        <v>10.131172180175779</v>
      </c>
      <c r="AY16" s="5">
        <v>17.723371505737301</v>
      </c>
      <c r="AZ16" s="22">
        <v>17.723371505737301</v>
      </c>
      <c r="BB16" s="5"/>
      <c r="BC16" s="19">
        <v>2.8495933999999998</v>
      </c>
      <c r="BD16" s="20">
        <v>2.8575294000000002</v>
      </c>
      <c r="BE16" s="20">
        <v>2.8580508</v>
      </c>
      <c r="BF16" s="21">
        <v>2.8558403999999999</v>
      </c>
      <c r="BG16" s="5">
        <f t="shared" si="5"/>
        <v>-5.3477900000005185E-3</v>
      </c>
      <c r="BH16" s="5">
        <v>1.5168387889862061</v>
      </c>
      <c r="BI16" s="5">
        <v>2.642823219299316</v>
      </c>
      <c r="BJ16" s="22">
        <v>2.642823219299316</v>
      </c>
      <c r="BL16" s="5"/>
      <c r="BM16" s="19">
        <v>2.7012317000000001</v>
      </c>
      <c r="BN16" s="20">
        <v>2.7074769000000001</v>
      </c>
      <c r="BO16" s="20">
        <v>2.5933187000000002</v>
      </c>
      <c r="BP16" s="21">
        <v>2.6503777999999998</v>
      </c>
      <c r="BQ16" s="5">
        <f t="shared" si="6"/>
        <v>1.2772120000000164E-2</v>
      </c>
      <c r="BR16" s="5">
        <v>7.5024175643920898</v>
      </c>
      <c r="BS16" s="5">
        <v>15.075961112976071</v>
      </c>
      <c r="BT16" s="22">
        <v>15.075961112976071</v>
      </c>
      <c r="BV16" s="5"/>
      <c r="BW16" s="19">
        <v>5.4400516000000003</v>
      </c>
      <c r="BX16" s="20">
        <v>5.3712229999999996</v>
      </c>
      <c r="BY16" s="20">
        <v>5.3333259999999996</v>
      </c>
      <c r="BZ16" s="21">
        <v>5.4339789999999999</v>
      </c>
      <c r="CA16" s="5">
        <f t="shared" si="7"/>
        <v>3.3465299999999587E-3</v>
      </c>
      <c r="CB16" s="5">
        <v>1.921244263648987</v>
      </c>
      <c r="CC16" s="5">
        <v>3.4586410522460942</v>
      </c>
      <c r="CD16" s="22">
        <v>3.4586410522460942</v>
      </c>
      <c r="CG16">
        <v>2.0089774131774898</v>
      </c>
      <c r="CH16">
        <v>3.4586410522460942</v>
      </c>
      <c r="CI16">
        <v>3.4586410522460942</v>
      </c>
      <c r="CL16">
        <v>1.533805727958679</v>
      </c>
      <c r="CM16">
        <v>3.4586410522460942</v>
      </c>
      <c r="CN16">
        <v>3.4586410522460942</v>
      </c>
    </row>
    <row r="17" spans="1:92" x14ac:dyDescent="0.25">
      <c r="A17" s="38"/>
      <c r="B17" s="5">
        <v>5</v>
      </c>
      <c r="C17" s="18">
        <v>21</v>
      </c>
      <c r="E17" s="19">
        <v>88.438575999999998</v>
      </c>
      <c r="F17" s="20">
        <v>88.592124999999996</v>
      </c>
      <c r="G17" s="20">
        <v>87.965429999999998</v>
      </c>
      <c r="H17" s="21">
        <v>87.871703999999994</v>
      </c>
      <c r="I17" s="5">
        <f t="shared" si="0"/>
        <v>-8.8672599999995327E-2</v>
      </c>
      <c r="J17" s="5">
        <v>85.783256530761719</v>
      </c>
      <c r="K17" s="5">
        <v>77.235771179199219</v>
      </c>
      <c r="L17" s="22">
        <v>77.235771179199219</v>
      </c>
      <c r="M17" s="5"/>
      <c r="N17" s="5"/>
      <c r="O17" s="19">
        <v>53.919289999999997</v>
      </c>
      <c r="P17" s="20">
        <v>54.256239999999998</v>
      </c>
      <c r="Q17" s="20">
        <v>54.376519999999999</v>
      </c>
      <c r="R17" s="21">
        <v>54.076900000000002</v>
      </c>
      <c r="S17" s="5">
        <f t="shared" si="1"/>
        <v>7.952649999999295E-2</v>
      </c>
      <c r="T17" s="5">
        <v>71.790069580078125</v>
      </c>
      <c r="U17" s="5">
        <v>62.470417022705078</v>
      </c>
      <c r="V17" s="22">
        <v>62.470417022705078</v>
      </c>
      <c r="W17" s="5"/>
      <c r="X17" s="5"/>
      <c r="Y17" s="19">
        <v>10.023031</v>
      </c>
      <c r="Z17" s="20">
        <v>9.9440565000000003</v>
      </c>
      <c r="AA17" s="20">
        <v>9.9012709999999995</v>
      </c>
      <c r="AB17" s="21">
        <v>10.197136</v>
      </c>
      <c r="AC17" s="5">
        <f t="shared" si="2"/>
        <v>3.3308400000001015E-2</v>
      </c>
      <c r="AD17" s="5">
        <v>9.3057107925415039</v>
      </c>
      <c r="AE17" s="5">
        <v>21.885885238647461</v>
      </c>
      <c r="AF17" s="22">
        <v>21.885885238647461</v>
      </c>
      <c r="AG17" s="5"/>
      <c r="AH17" s="5"/>
      <c r="AI17" s="19">
        <v>6.5630309999999996</v>
      </c>
      <c r="AJ17" s="20">
        <v>6.8788605</v>
      </c>
      <c r="AK17" s="20">
        <v>6.5388812999999999</v>
      </c>
      <c r="AL17" s="21">
        <v>6.639659</v>
      </c>
      <c r="AM17" s="5">
        <f t="shared" si="3"/>
        <v>-0.11891374999999993</v>
      </c>
      <c r="AN17" s="5">
        <v>6.8631591796875</v>
      </c>
      <c r="AO17" s="5">
        <v>8.5092926025390625</v>
      </c>
      <c r="AP17" s="22">
        <v>8.5092926025390625</v>
      </c>
      <c r="AR17" s="5"/>
      <c r="AS17" s="19">
        <v>18.934835</v>
      </c>
      <c r="AT17" s="20">
        <v>18.396255</v>
      </c>
      <c r="AU17" s="20">
        <v>19.745729999999998</v>
      </c>
      <c r="AV17" s="21">
        <v>19.327158000000001</v>
      </c>
      <c r="AW17" s="5">
        <f t="shared" si="4"/>
        <v>9.0827600000000785E-2</v>
      </c>
      <c r="AX17" s="5">
        <v>10.12913227081299</v>
      </c>
      <c r="AY17" s="5">
        <v>17.723371505737301</v>
      </c>
      <c r="AZ17" s="22">
        <v>17.723371505737301</v>
      </c>
      <c r="BB17" s="5"/>
      <c r="BC17" s="19">
        <v>2.8495933999999998</v>
      </c>
      <c r="BD17" s="20">
        <v>2.8575294000000002</v>
      </c>
      <c r="BE17" s="20">
        <v>2.8580508</v>
      </c>
      <c r="BF17" s="21">
        <v>2.8479044</v>
      </c>
      <c r="BG17" s="5">
        <f t="shared" si="5"/>
        <v>-5.3477900000005185E-3</v>
      </c>
      <c r="BH17" s="5">
        <v>1.773964047431946</v>
      </c>
      <c r="BI17" s="5">
        <v>2.642823219299316</v>
      </c>
      <c r="BJ17" s="22">
        <v>2.642823219299316</v>
      </c>
      <c r="BL17" s="5"/>
      <c r="BM17" s="19">
        <v>2.6848459999999998</v>
      </c>
      <c r="BN17" s="20">
        <v>2.6964228000000001</v>
      </c>
      <c r="BO17" s="20">
        <v>2.5685362999999999</v>
      </c>
      <c r="BP17" s="21">
        <v>2.6503777999999998</v>
      </c>
      <c r="BQ17" s="5">
        <f t="shared" si="6"/>
        <v>-3.6135800000001161E-3</v>
      </c>
      <c r="BR17" s="5">
        <v>7.3237009048461914</v>
      </c>
      <c r="BS17" s="5">
        <v>15.075961112976071</v>
      </c>
      <c r="BT17" s="22">
        <v>15.075961112976071</v>
      </c>
      <c r="BV17" s="5"/>
      <c r="BW17" s="19">
        <v>5.4443536000000003</v>
      </c>
      <c r="BX17" s="20">
        <v>5.2591320000000001</v>
      </c>
      <c r="BY17" s="20">
        <v>5.2211439999999998</v>
      </c>
      <c r="BZ17" s="21">
        <v>5.3072596000000001</v>
      </c>
      <c r="CA17" s="5">
        <f t="shared" si="7"/>
        <v>7.6485299999999867E-3</v>
      </c>
      <c r="CB17" s="5">
        <v>1.9320522546768191</v>
      </c>
      <c r="CC17" s="5">
        <v>3.4586410522460942</v>
      </c>
      <c r="CD17" s="22">
        <v>3.4586410522460942</v>
      </c>
      <c r="CG17">
        <v>1.947256803512573</v>
      </c>
      <c r="CH17">
        <v>3.4586410522460942</v>
      </c>
      <c r="CI17">
        <v>3.4586410522460942</v>
      </c>
      <c r="CL17">
        <v>1.5714032649993901</v>
      </c>
      <c r="CM17">
        <v>3.4586410522460942</v>
      </c>
      <c r="CN17">
        <v>3.4586410522460942</v>
      </c>
    </row>
    <row r="18" spans="1:92" x14ac:dyDescent="0.25">
      <c r="A18" s="38"/>
      <c r="B18" s="5">
        <v>6</v>
      </c>
      <c r="C18" s="18">
        <v>26</v>
      </c>
      <c r="E18" s="19">
        <v>88.510279999999995</v>
      </c>
      <c r="F18" s="20">
        <v>88.554670000000002</v>
      </c>
      <c r="G18" s="20">
        <v>87.939430000000002</v>
      </c>
      <c r="H18" s="21">
        <v>87.895240000000001</v>
      </c>
      <c r="I18" s="5">
        <f t="shared" si="0"/>
        <v>-1.6968599999998446E-2</v>
      </c>
      <c r="J18" s="5">
        <v>86.104415893554688</v>
      </c>
      <c r="K18" s="5">
        <v>77.235771179199219</v>
      </c>
      <c r="L18" s="22">
        <v>77.235771179199219</v>
      </c>
      <c r="M18" s="5"/>
      <c r="N18" s="5"/>
      <c r="O18" s="19">
        <v>53.846961999999998</v>
      </c>
      <c r="P18" s="20">
        <v>54.151493000000002</v>
      </c>
      <c r="Q18" s="20">
        <v>54.346653000000003</v>
      </c>
      <c r="R18" s="21">
        <v>53.984496999999998</v>
      </c>
      <c r="S18" s="5">
        <f t="shared" si="1"/>
        <v>7.1984999999941124E-3</v>
      </c>
      <c r="T18" s="5">
        <v>71.63934326171875</v>
      </c>
      <c r="U18" s="5">
        <v>62.470417022705078</v>
      </c>
      <c r="V18" s="22">
        <v>62.470417022705078</v>
      </c>
      <c r="W18" s="5"/>
      <c r="X18" s="5"/>
      <c r="Y18" s="19">
        <v>9.9761959999999998</v>
      </c>
      <c r="Z18" s="20">
        <v>9.9862540000000006</v>
      </c>
      <c r="AA18" s="20">
        <v>9.9191474999999993</v>
      </c>
      <c r="AB18" s="21">
        <v>10.181350999999999</v>
      </c>
      <c r="AC18" s="5">
        <f t="shared" si="2"/>
        <v>-1.3526599999998723E-2</v>
      </c>
      <c r="AD18" s="5">
        <v>9.4714612960815447</v>
      </c>
      <c r="AE18" s="5">
        <v>21.885885238647461</v>
      </c>
      <c r="AF18" s="22">
        <v>21.885885238647461</v>
      </c>
      <c r="AG18" s="5"/>
      <c r="AH18" s="5"/>
      <c r="AI18" s="19">
        <v>6.6349587000000003</v>
      </c>
      <c r="AJ18" s="20">
        <v>6.7906336999999999</v>
      </c>
      <c r="AK18" s="20">
        <v>6.5388812999999999</v>
      </c>
      <c r="AL18" s="21">
        <v>6.6215204999999999</v>
      </c>
      <c r="AM18" s="5">
        <f t="shared" si="3"/>
        <v>-4.6986049999999224E-2</v>
      </c>
      <c r="AN18" s="5">
        <v>6.9253706932067871</v>
      </c>
      <c r="AO18" s="5">
        <v>8.5092926025390625</v>
      </c>
      <c r="AP18" s="22">
        <v>8.5092926025390625</v>
      </c>
      <c r="AR18" s="5"/>
      <c r="AS18" s="19">
        <v>18.827562</v>
      </c>
      <c r="AT18" s="20">
        <v>18.932323</v>
      </c>
      <c r="AU18" s="20">
        <v>19.662662999999998</v>
      </c>
      <c r="AV18" s="21">
        <v>19.272942</v>
      </c>
      <c r="AW18" s="5">
        <f t="shared" si="4"/>
        <v>-1.64453999999985E-2</v>
      </c>
      <c r="AX18" s="5">
        <v>10.12913227081299</v>
      </c>
      <c r="AY18" s="5">
        <v>17.723371505737301</v>
      </c>
      <c r="AZ18" s="22">
        <v>17.723371505737301</v>
      </c>
      <c r="BB18" s="5"/>
      <c r="BC18" s="19">
        <v>2.8607165999999999</v>
      </c>
      <c r="BD18" s="20">
        <v>2.8656046000000002</v>
      </c>
      <c r="BE18" s="20">
        <v>2.8580508</v>
      </c>
      <c r="BF18" s="21">
        <v>2.8558403999999999</v>
      </c>
      <c r="BG18" s="5">
        <f t="shared" si="5"/>
        <v>5.7754099999995923E-3</v>
      </c>
      <c r="BH18" s="5">
        <v>1.773964047431946</v>
      </c>
      <c r="BI18" s="5">
        <v>2.642823219299316</v>
      </c>
      <c r="BJ18" s="22">
        <v>2.642823219299316</v>
      </c>
      <c r="BL18" s="5"/>
      <c r="BM18" s="19">
        <v>2.6759963</v>
      </c>
      <c r="BN18" s="20">
        <v>2.536111</v>
      </c>
      <c r="BO18" s="20">
        <v>2.5585806</v>
      </c>
      <c r="BP18" s="21">
        <v>2.6499267</v>
      </c>
      <c r="BQ18" s="5">
        <f t="shared" si="6"/>
        <v>-1.2463279999999965E-2</v>
      </c>
      <c r="BR18" s="5">
        <v>7.5284485816955566</v>
      </c>
      <c r="BS18" s="5">
        <v>15.075961112976071</v>
      </c>
      <c r="BT18" s="22">
        <v>15.075961112976071</v>
      </c>
      <c r="BV18" s="5"/>
      <c r="BW18" s="19">
        <v>5.4293693999999997</v>
      </c>
      <c r="BX18" s="20">
        <v>5.392309</v>
      </c>
      <c r="BY18" s="20">
        <v>5.3224090000000004</v>
      </c>
      <c r="BZ18" s="21">
        <v>5.4433927999999998</v>
      </c>
      <c r="CA18" s="5">
        <f t="shared" si="7"/>
        <v>-7.3356700000006825E-3</v>
      </c>
      <c r="CB18" s="5">
        <v>1.921244263648987</v>
      </c>
      <c r="CC18" s="5">
        <v>3.4586410522460942</v>
      </c>
      <c r="CD18" s="22">
        <v>3.4586410522460942</v>
      </c>
      <c r="CG18">
        <v>1.976276636123657</v>
      </c>
      <c r="CH18">
        <v>3.4586410522460942</v>
      </c>
      <c r="CI18">
        <v>3.4586410522460942</v>
      </c>
      <c r="CL18">
        <v>1.5714032649993901</v>
      </c>
      <c r="CM18">
        <v>3.4586410522460942</v>
      </c>
      <c r="CN18">
        <v>3.4586410522460942</v>
      </c>
    </row>
    <row r="19" spans="1:92" x14ac:dyDescent="0.25">
      <c r="A19" s="38"/>
      <c r="B19" s="5">
        <v>7</v>
      </c>
      <c r="C19" s="18">
        <v>31</v>
      </c>
      <c r="E19" s="19">
        <v>88.548010000000005</v>
      </c>
      <c r="F19" s="20">
        <v>88.606110000000001</v>
      </c>
      <c r="G19" s="20">
        <v>88.019919999999999</v>
      </c>
      <c r="H19" s="21">
        <v>87.929220000000001</v>
      </c>
      <c r="I19" s="5">
        <f t="shared" si="0"/>
        <v>2.0761400000012031E-2</v>
      </c>
      <c r="J19" s="5">
        <v>86.103286743164063</v>
      </c>
      <c r="K19" s="5">
        <v>77.235771179199219</v>
      </c>
      <c r="L19" s="22">
        <v>83.924125671386719</v>
      </c>
      <c r="M19" s="5"/>
      <c r="N19" s="5"/>
      <c r="O19" s="19">
        <v>53.887585000000001</v>
      </c>
      <c r="P19" s="20">
        <v>54.245089999999998</v>
      </c>
      <c r="Q19" s="20">
        <v>54.32056</v>
      </c>
      <c r="R19" s="21">
        <v>53.970157999999998</v>
      </c>
      <c r="S19" s="5">
        <f t="shared" si="1"/>
        <v>4.7821499999997741E-2</v>
      </c>
      <c r="T19" s="5">
        <v>71.809906005859375</v>
      </c>
      <c r="U19" s="5">
        <v>62.470417022705078</v>
      </c>
      <c r="V19" s="22">
        <v>72.394325256347656</v>
      </c>
      <c r="W19" s="5"/>
      <c r="X19" s="5"/>
      <c r="Y19" s="19">
        <v>10.014044</v>
      </c>
      <c r="Z19" s="20">
        <v>9.8695579999999996</v>
      </c>
      <c r="AA19" s="20">
        <v>9.8782250000000005</v>
      </c>
      <c r="AB19" s="21">
        <v>10.224930000000001</v>
      </c>
      <c r="AC19" s="5">
        <f t="shared" si="2"/>
        <v>2.4321400000001603E-2</v>
      </c>
      <c r="AD19" s="5">
        <v>9.5372619628906232</v>
      </c>
      <c r="AE19" s="5">
        <v>21.885885238647461</v>
      </c>
      <c r="AF19" s="22">
        <v>9.5303077697753906</v>
      </c>
      <c r="AG19" s="5"/>
      <c r="AH19" s="5"/>
      <c r="AI19" s="19">
        <v>6.6814669999999996</v>
      </c>
      <c r="AJ19" s="20">
        <v>6.9140449999999998</v>
      </c>
      <c r="AK19" s="20">
        <v>6.6499370000000004</v>
      </c>
      <c r="AL19" s="21">
        <v>6.6027617000000003</v>
      </c>
      <c r="AM19" s="5">
        <f t="shared" si="3"/>
        <v>-4.777499999999435E-4</v>
      </c>
      <c r="AN19" s="5">
        <v>6.9142427444458008</v>
      </c>
      <c r="AO19" s="5">
        <v>8.5092926025390625</v>
      </c>
      <c r="AP19" s="22">
        <v>7.0517115592956543</v>
      </c>
      <c r="AR19" s="5"/>
      <c r="AS19" s="19">
        <v>18.777685000000002</v>
      </c>
      <c r="AT19" s="20">
        <v>18.423850000000002</v>
      </c>
      <c r="AU19" s="20">
        <v>19.714739999999999</v>
      </c>
      <c r="AV19" s="21">
        <v>18.967241000000001</v>
      </c>
      <c r="AW19" s="5">
        <f t="shared" si="4"/>
        <v>-6.6322399999997117E-2</v>
      </c>
      <c r="AX19" s="5">
        <v>10.144845008850099</v>
      </c>
      <c r="AY19" s="5">
        <v>17.723371505737301</v>
      </c>
      <c r="AZ19" s="22">
        <v>8.7853021621704102</v>
      </c>
      <c r="BB19" s="5"/>
      <c r="BC19" s="19">
        <v>2.8575294000000002</v>
      </c>
      <c r="BD19" s="20">
        <v>2.8656046000000002</v>
      </c>
      <c r="BE19" s="20">
        <v>2.8576685999999998</v>
      </c>
      <c r="BF19" s="21">
        <v>2.8558403999999999</v>
      </c>
      <c r="BG19" s="5">
        <f t="shared" si="5"/>
        <v>2.5882099999998687E-3</v>
      </c>
      <c r="BH19" s="5">
        <v>1.773964047431946</v>
      </c>
      <c r="BI19" s="5">
        <v>2.642823219299316</v>
      </c>
      <c r="BJ19" s="22">
        <v>1.6555285453796389</v>
      </c>
      <c r="BL19" s="5"/>
      <c r="BM19" s="19">
        <v>2.6708832</v>
      </c>
      <c r="BN19" s="20">
        <v>2.5471651999999998</v>
      </c>
      <c r="BO19" s="20">
        <v>2.619872</v>
      </c>
      <c r="BP19" s="21">
        <v>2.6563005</v>
      </c>
      <c r="BQ19" s="5">
        <f t="shared" si="6"/>
        <v>-1.7576379999999947E-2</v>
      </c>
      <c r="BR19" s="5">
        <v>7.5527248382568359</v>
      </c>
      <c r="BS19" s="5">
        <v>15.075961112976071</v>
      </c>
      <c r="BT19" s="22">
        <v>3.4538557529449458</v>
      </c>
      <c r="BV19" s="5"/>
      <c r="BW19" s="19">
        <v>5.4208702999999998</v>
      </c>
      <c r="BX19" s="20">
        <v>5.3571305000000002</v>
      </c>
      <c r="BY19" s="20">
        <v>5.3325151999999996</v>
      </c>
      <c r="BZ19" s="21">
        <v>5.4433927999999998</v>
      </c>
      <c r="CA19" s="5">
        <f t="shared" si="7"/>
        <v>-1.5834770000000553E-2</v>
      </c>
      <c r="CB19" s="5">
        <v>1.921244263648987</v>
      </c>
      <c r="CC19" s="5">
        <v>3.4586410522460942</v>
      </c>
      <c r="CD19" s="22">
        <v>1.2808796167373659</v>
      </c>
      <c r="CG19">
        <v>2.0067942142486568</v>
      </c>
      <c r="CH19">
        <v>3.4586410522460942</v>
      </c>
      <c r="CI19">
        <v>1.177248477935791</v>
      </c>
      <c r="CL19">
        <v>1.5683736801147461</v>
      </c>
      <c r="CM19">
        <v>3.4586410522460942</v>
      </c>
      <c r="CN19">
        <v>1.1961414813995359</v>
      </c>
    </row>
    <row r="20" spans="1:92" x14ac:dyDescent="0.25">
      <c r="A20" s="38"/>
      <c r="B20" s="5">
        <v>8</v>
      </c>
      <c r="C20" s="18">
        <v>36</v>
      </c>
      <c r="E20" s="19">
        <v>88.553920000000005</v>
      </c>
      <c r="F20" s="20">
        <v>88.592124999999996</v>
      </c>
      <c r="G20" s="20">
        <v>88.529020000000003</v>
      </c>
      <c r="H20" s="21">
        <v>87.936970000000002</v>
      </c>
      <c r="I20" s="5">
        <f t="shared" si="0"/>
        <v>2.6671400000012113E-2</v>
      </c>
      <c r="J20" s="5">
        <f t="shared" ref="J20:K22" si="8">IF(OR(F20="",F20="NaN"),"",F20-AVERAGE(F$13:F$22))</f>
        <v>-1.7024999999989632E-2</v>
      </c>
      <c r="K20" s="5">
        <f t="shared" si="8"/>
        <v>0.42281550000001289</v>
      </c>
      <c r="L20" s="22">
        <v>83.775810241699219</v>
      </c>
      <c r="M20" s="5"/>
      <c r="N20" s="5"/>
      <c r="O20" s="19">
        <v>53.876457000000002</v>
      </c>
      <c r="P20" s="20">
        <v>54.224105999999999</v>
      </c>
      <c r="Q20" s="20">
        <v>54.077889999999996</v>
      </c>
      <c r="R20" s="21">
        <v>53.915737</v>
      </c>
      <c r="S20" s="5">
        <f t="shared" si="1"/>
        <v>3.669349999999838E-2</v>
      </c>
      <c r="T20" s="5">
        <f t="shared" ref="T20:U22" si="9">IF(OR(P20="",P20="NaN"),"",P20-AVERAGE(P$13:P$22))</f>
        <v>9.2971399999989046E-2</v>
      </c>
      <c r="U20" s="5">
        <f t="shared" si="9"/>
        <v>-0.20442159999999632</v>
      </c>
      <c r="V20" s="22">
        <v>72.341781616210938</v>
      </c>
      <c r="W20" s="5"/>
      <c r="X20" s="5"/>
      <c r="Y20" s="19">
        <v>9.9448349999999994</v>
      </c>
      <c r="Z20" s="20">
        <v>9.8719649999999994</v>
      </c>
      <c r="AA20" s="20">
        <v>9.8699329999999996</v>
      </c>
      <c r="AB20" s="21">
        <v>10.134047000000001</v>
      </c>
      <c r="AC20" s="5">
        <f t="shared" si="2"/>
        <v>-4.4887599999999139E-2</v>
      </c>
      <c r="AD20" s="5">
        <f t="shared" ref="AD20:AE22" si="10">IF(OR(Z20="",Z20="NaN"),"",Z20-AVERAGE(Z$13:Z$22))</f>
        <v>-7.8712750000001108E-2</v>
      </c>
      <c r="AE20" s="5">
        <f t="shared" si="10"/>
        <v>-5.3665250000001663E-2</v>
      </c>
      <c r="AF20" s="22">
        <v>9.9128437042236328</v>
      </c>
      <c r="AG20" s="5"/>
      <c r="AH20" s="5"/>
      <c r="AI20" s="19">
        <v>6.6316766999999999</v>
      </c>
      <c r="AJ20" s="20">
        <v>6.8240699999999999</v>
      </c>
      <c r="AK20" s="20">
        <v>6.5787186999999996</v>
      </c>
      <c r="AL20" s="21">
        <v>6.6217256000000004</v>
      </c>
      <c r="AM20" s="5">
        <f t="shared" si="3"/>
        <v>-5.0268049999999675E-2</v>
      </c>
      <c r="AN20" s="5">
        <f t="shared" ref="AN20:AO22" si="11">IF(OR(AJ20="",AJ20="NaN"),"",AJ20-AVERAGE(AJ$13:AJ$22))</f>
        <v>-3.0172539999999692E-2</v>
      </c>
      <c r="AO20" s="5">
        <f t="shared" si="11"/>
        <v>1.4227509999998667E-2</v>
      </c>
      <c r="AP20" s="22">
        <v>7.0578732490539551</v>
      </c>
      <c r="AR20" s="5"/>
      <c r="AS20" s="19">
        <v>18.953312</v>
      </c>
      <c r="AT20" s="20">
        <v>18.386189000000002</v>
      </c>
      <c r="AU20" s="20">
        <v>19.398495</v>
      </c>
      <c r="AV20" s="21">
        <v>19.040272000000002</v>
      </c>
      <c r="AW20" s="5">
        <f t="shared" si="4"/>
        <v>0.10930460000000153</v>
      </c>
      <c r="AX20" s="5">
        <f t="shared" ref="AX20:AY22" si="12">IF(OR(AT20="",AT20="NaN"),"",AT20-AVERAGE(AT$13:AT$22))</f>
        <v>-0.11379709999999932</v>
      </c>
      <c r="AY20" s="5">
        <f t="shared" si="12"/>
        <v>-0.2589833999999982</v>
      </c>
      <c r="AZ20" s="22">
        <v>8.6702919006347656</v>
      </c>
      <c r="BB20" s="5"/>
      <c r="BC20" s="19">
        <v>2.8495933999999998</v>
      </c>
      <c r="BD20" s="20">
        <v>2.8575294000000002</v>
      </c>
      <c r="BE20" s="20">
        <v>2.8576685999999998</v>
      </c>
      <c r="BF20" s="21">
        <v>2.8477652</v>
      </c>
      <c r="BG20" s="5">
        <f t="shared" si="5"/>
        <v>-5.3477900000005185E-3</v>
      </c>
      <c r="BH20" s="5">
        <f t="shared" ref="BH20:BI22" si="13">IF(OR(BD20="",BD20="NaN"),"",BD20-AVERAGE(BD$13:BD$22))</f>
        <v>-3.2300800000002461E-3</v>
      </c>
      <c r="BI20" s="5">
        <f t="shared" si="13"/>
        <v>-1.4323900000006162E-3</v>
      </c>
      <c r="BJ20" s="22">
        <v>1.7552337646484379</v>
      </c>
      <c r="BL20" s="5"/>
      <c r="BM20" s="19">
        <v>2.7011449999999999</v>
      </c>
      <c r="BN20" s="20">
        <v>2.7237749999999998</v>
      </c>
      <c r="BO20" s="20">
        <v>2.5968626000000001</v>
      </c>
      <c r="BP20" s="21">
        <v>2.659097</v>
      </c>
      <c r="BQ20" s="5">
        <f t="shared" si="6"/>
        <v>1.2685419999999947E-2</v>
      </c>
      <c r="BR20" s="5">
        <f t="shared" ref="BR20:BS22" si="14">IF(OR(BN20="",BN20="NaN"),"",BN20-AVERAGE(BN$13:BN$22))</f>
        <v>8.6716899999999875E-2</v>
      </c>
      <c r="BS20" s="5">
        <f t="shared" si="14"/>
        <v>-2.1891529999999992E-2</v>
      </c>
      <c r="BT20" s="22">
        <v>3.852477073669434</v>
      </c>
      <c r="BV20" s="5"/>
      <c r="BW20" s="19">
        <v>5.4291543999999998</v>
      </c>
      <c r="BX20" s="20">
        <v>5.3091530000000002</v>
      </c>
      <c r="BY20" s="20">
        <v>5.4402156000000002</v>
      </c>
      <c r="BZ20" s="21">
        <v>5.4427409999999998</v>
      </c>
      <c r="CA20" s="5">
        <f t="shared" si="7"/>
        <v>-7.5506700000005367E-3</v>
      </c>
      <c r="CB20" s="5">
        <f t="shared" ref="CB20:CC22" si="15">IF(OR(BX20="",BX20="NaN"),"",BX20-AVERAGE(BX$13:BX$22))</f>
        <v>-4.7413550000000804E-2</v>
      </c>
      <c r="CC20" s="5">
        <f t="shared" si="15"/>
        <v>9.4632290000000729E-2</v>
      </c>
      <c r="CD20" s="22">
        <v>1.278810381889343</v>
      </c>
      <c r="CI20">
        <v>1.197988748550415</v>
      </c>
      <c r="CN20">
        <v>1.247045040130615</v>
      </c>
    </row>
    <row r="21" spans="1:92" x14ac:dyDescent="0.25">
      <c r="A21" s="38"/>
      <c r="B21" s="5">
        <v>9</v>
      </c>
      <c r="C21" s="18">
        <v>41</v>
      </c>
      <c r="E21" s="19">
        <v>88.553920000000005</v>
      </c>
      <c r="F21" s="20">
        <v>88.592124999999996</v>
      </c>
      <c r="G21" s="20">
        <v>87.893240000000006</v>
      </c>
      <c r="H21" s="21">
        <v>87.905815000000004</v>
      </c>
      <c r="I21" s="5">
        <f t="shared" si="0"/>
        <v>2.6671400000012113E-2</v>
      </c>
      <c r="J21" s="5">
        <f t="shared" si="8"/>
        <v>-1.7024999999989632E-2</v>
      </c>
      <c r="K21" s="5">
        <f t="shared" si="8"/>
        <v>-0.21296449999998401</v>
      </c>
      <c r="L21" s="22">
        <v>83.312255859375</v>
      </c>
      <c r="M21" s="5"/>
      <c r="N21" s="5"/>
      <c r="O21" s="19">
        <v>53.853558</v>
      </c>
      <c r="P21" s="20">
        <v>54.296191999999998</v>
      </c>
      <c r="Q21" s="20">
        <v>54.414940000000001</v>
      </c>
      <c r="R21" s="21">
        <v>54.017676999999999</v>
      </c>
      <c r="S21" s="5">
        <f t="shared" si="1"/>
        <v>1.3794499999995935E-2</v>
      </c>
      <c r="T21" s="5">
        <f t="shared" si="9"/>
        <v>0.16505739999998781</v>
      </c>
      <c r="U21" s="5">
        <f t="shared" si="9"/>
        <v>0.13262840000000864</v>
      </c>
      <c r="V21" s="22">
        <v>72.394874572753906</v>
      </c>
      <c r="W21" s="5"/>
      <c r="X21" s="5"/>
      <c r="Y21" s="19">
        <v>9.9448349999999994</v>
      </c>
      <c r="Z21" s="20">
        <v>9.9578120000000006</v>
      </c>
      <c r="AA21" s="20">
        <v>9.9631629999999998</v>
      </c>
      <c r="AB21" s="21">
        <v>10.197136</v>
      </c>
      <c r="AC21" s="5">
        <f t="shared" si="2"/>
        <v>-4.4887599999999139E-2</v>
      </c>
      <c r="AD21" s="5">
        <f t="shared" si="10"/>
        <v>7.1342500000000086E-3</v>
      </c>
      <c r="AE21" s="5">
        <f t="shared" si="10"/>
        <v>3.9564749999998483E-2</v>
      </c>
      <c r="AF21" s="22">
        <v>10.012308120727541</v>
      </c>
      <c r="AG21" s="5"/>
      <c r="AH21" s="5"/>
      <c r="AI21" s="19">
        <v>6.6316766999999999</v>
      </c>
      <c r="AJ21" s="20">
        <v>6.7521662999999998</v>
      </c>
      <c r="AK21" s="20">
        <v>6.5482725999999998</v>
      </c>
      <c r="AL21" s="21">
        <v>6.639659</v>
      </c>
      <c r="AM21" s="5">
        <f t="shared" si="3"/>
        <v>-5.0268049999999675E-2</v>
      </c>
      <c r="AN21" s="5">
        <f t="shared" si="11"/>
        <v>-0.10207623999999971</v>
      </c>
      <c r="AO21" s="5">
        <f t="shared" si="11"/>
        <v>-1.6218590000001143E-2</v>
      </c>
      <c r="AP21" s="22">
        <v>7.1292819976806641</v>
      </c>
      <c r="AR21" s="5"/>
      <c r="AS21" s="19">
        <v>19.083787999999998</v>
      </c>
      <c r="AT21" s="20">
        <v>18.409800000000001</v>
      </c>
      <c r="AU21" s="20">
        <v>19.82527</v>
      </c>
      <c r="AV21" s="21">
        <v>19.284127999999999</v>
      </c>
      <c r="AW21" s="5">
        <f t="shared" si="4"/>
        <v>0.23978059999999957</v>
      </c>
      <c r="AX21" s="5">
        <f t="shared" si="12"/>
        <v>-9.018610000000038E-2</v>
      </c>
      <c r="AY21" s="5">
        <f t="shared" si="12"/>
        <v>0.16779160000000104</v>
      </c>
      <c r="AZ21" s="22">
        <v>8.8646173477172852</v>
      </c>
      <c r="BB21" s="5"/>
      <c r="BC21" s="19">
        <v>2.8575294000000002</v>
      </c>
      <c r="BD21" s="20">
        <v>2.8656046000000002</v>
      </c>
      <c r="BE21" s="20">
        <v>2.8699625000000002</v>
      </c>
      <c r="BF21" s="21">
        <v>2.8476786999999999</v>
      </c>
      <c r="BG21" s="5">
        <f t="shared" si="5"/>
        <v>2.5882099999998687E-3</v>
      </c>
      <c r="BH21" s="5">
        <f t="shared" si="13"/>
        <v>4.845119999999703E-3</v>
      </c>
      <c r="BI21" s="5">
        <f t="shared" si="13"/>
        <v>1.0861509999999797E-2</v>
      </c>
      <c r="BJ21" s="22">
        <v>1.752901554107666</v>
      </c>
      <c r="BL21" s="5"/>
      <c r="BM21" s="19">
        <v>2.6961186000000001</v>
      </c>
      <c r="BN21" s="20">
        <v>2.5574355</v>
      </c>
      <c r="BO21" s="20">
        <v>2.5896865999999998</v>
      </c>
      <c r="BP21" s="21">
        <v>2.6174268999999999</v>
      </c>
      <c r="BQ21" s="5">
        <f t="shared" si="6"/>
        <v>7.6590200000001829E-3</v>
      </c>
      <c r="BR21" s="5">
        <f t="shared" si="14"/>
        <v>-7.9622599999999988E-2</v>
      </c>
      <c r="BS21" s="5">
        <f t="shared" si="14"/>
        <v>-2.9067530000000286E-2</v>
      </c>
      <c r="BT21" s="22">
        <v>3.8520400524139409</v>
      </c>
      <c r="BV21" s="5"/>
      <c r="BW21" s="19">
        <v>5.4291543999999998</v>
      </c>
      <c r="BX21" s="20">
        <v>5.3091530000000002</v>
      </c>
      <c r="BY21" s="20">
        <v>5.3100149999999999</v>
      </c>
      <c r="BZ21" s="21">
        <v>5.2978459999999998</v>
      </c>
      <c r="CA21" s="5">
        <f t="shared" si="7"/>
        <v>-7.5506700000005367E-3</v>
      </c>
      <c r="CB21" s="5">
        <f t="shared" si="15"/>
        <v>-4.7413550000000804E-2</v>
      </c>
      <c r="CC21" s="5">
        <f t="shared" si="15"/>
        <v>-3.5568309999999492E-2</v>
      </c>
      <c r="CD21" s="22">
        <v>1.445070266723633</v>
      </c>
      <c r="CI21">
        <v>1.221188545227051</v>
      </c>
      <c r="CN21">
        <v>1.272852897644043</v>
      </c>
    </row>
    <row r="22" spans="1:92" x14ac:dyDescent="0.25">
      <c r="A22" s="39"/>
      <c r="B22" s="23">
        <v>10</v>
      </c>
      <c r="C22" s="24">
        <v>46</v>
      </c>
      <c r="E22" s="25">
        <v>88.49409</v>
      </c>
      <c r="F22" s="26">
        <v>88.569496000000001</v>
      </c>
      <c r="G22" s="26">
        <v>87.84102</v>
      </c>
      <c r="H22" s="27">
        <v>87.831599999999995</v>
      </c>
      <c r="I22" s="23">
        <f t="shared" si="0"/>
        <v>-3.3158599999993044E-2</v>
      </c>
      <c r="J22" s="23">
        <f t="shared" si="8"/>
        <v>-3.9653999999984535E-2</v>
      </c>
      <c r="K22" s="23">
        <f t="shared" si="8"/>
        <v>-0.2651844999999895</v>
      </c>
      <c r="L22" s="28">
        <v>83.725410461425781</v>
      </c>
      <c r="M22" s="5"/>
      <c r="N22" s="5"/>
      <c r="O22" s="25">
        <v>53.881565000000002</v>
      </c>
      <c r="P22" s="26">
        <v>54.151608000000003</v>
      </c>
      <c r="Q22" s="26">
        <v>54.542248000000001</v>
      </c>
      <c r="R22" s="27">
        <v>54.455536000000002</v>
      </c>
      <c r="S22" s="23">
        <f t="shared" si="1"/>
        <v>4.1801499999998271E-2</v>
      </c>
      <c r="T22" s="23">
        <f t="shared" si="9"/>
        <v>2.0473399999993092E-2</v>
      </c>
      <c r="U22" s="23">
        <f t="shared" si="9"/>
        <v>0.25993640000000795</v>
      </c>
      <c r="V22" s="28">
        <v>72.112236022949219</v>
      </c>
      <c r="W22" s="5"/>
      <c r="X22" s="5"/>
      <c r="Y22" s="25">
        <v>9.9750949999999996</v>
      </c>
      <c r="Z22" s="26">
        <v>10.167443</v>
      </c>
      <c r="AA22" s="26">
        <v>9.9132230000000003</v>
      </c>
      <c r="AB22" s="27">
        <v>10.255647</v>
      </c>
      <c r="AC22" s="23">
        <f t="shared" si="2"/>
        <v>-1.4627599999998964E-2</v>
      </c>
      <c r="AD22" s="23">
        <f t="shared" si="10"/>
        <v>0.21676524999999991</v>
      </c>
      <c r="AE22" s="23">
        <f t="shared" si="10"/>
        <v>-1.0375250000000946E-2</v>
      </c>
      <c r="AF22" s="28">
        <v>10.62147331237793</v>
      </c>
      <c r="AG22" s="5"/>
      <c r="AH22" s="5"/>
      <c r="AI22" s="25">
        <v>6.5978254999999999</v>
      </c>
      <c r="AJ22" s="26">
        <v>6.786689</v>
      </c>
      <c r="AK22" s="26">
        <v>6.5388812999999999</v>
      </c>
      <c r="AL22" s="27">
        <v>6.6944803999999998</v>
      </c>
      <c r="AM22" s="23">
        <f t="shared" si="3"/>
        <v>-8.4119249999999646E-2</v>
      </c>
      <c r="AN22" s="23">
        <f t="shared" si="11"/>
        <v>-6.7553539999999579E-2</v>
      </c>
      <c r="AO22" s="23">
        <f t="shared" si="11"/>
        <v>-2.5609890000001023E-2</v>
      </c>
      <c r="AP22" s="28">
        <v>7.171666145324707</v>
      </c>
      <c r="AR22" s="5"/>
      <c r="AS22" s="25">
        <v>19.008492</v>
      </c>
      <c r="AT22" s="26">
        <v>18.908712000000001</v>
      </c>
      <c r="AU22" s="26">
        <v>19.662662999999998</v>
      </c>
      <c r="AV22" s="27">
        <v>18.990307000000001</v>
      </c>
      <c r="AW22" s="23">
        <f t="shared" si="4"/>
        <v>0.16448460000000154</v>
      </c>
      <c r="AX22" s="23">
        <f t="shared" si="12"/>
        <v>0.40872590000000031</v>
      </c>
      <c r="AY22" s="23">
        <f t="shared" si="12"/>
        <v>5.1845999999997616E-3</v>
      </c>
      <c r="AZ22" s="28">
        <v>8.7891273498535156</v>
      </c>
      <c r="BB22" s="5"/>
      <c r="BC22" s="25">
        <v>2.8495933999999998</v>
      </c>
      <c r="BD22" s="26">
        <v>2.8656046000000002</v>
      </c>
      <c r="BE22" s="26">
        <v>2.8659867999999999</v>
      </c>
      <c r="BF22" s="27">
        <v>2.8558403999999999</v>
      </c>
      <c r="BG22" s="23">
        <f t="shared" si="5"/>
        <v>-5.3477900000005185E-3</v>
      </c>
      <c r="BH22" s="23">
        <f t="shared" si="13"/>
        <v>4.845119999999703E-3</v>
      </c>
      <c r="BI22" s="23">
        <f t="shared" si="13"/>
        <v>6.8858099999995481E-3</v>
      </c>
      <c r="BJ22" s="28">
        <v>1.7559449672698979</v>
      </c>
      <c r="BL22" s="5"/>
      <c r="BM22" s="25">
        <v>2.6973699999999998</v>
      </c>
      <c r="BN22" s="26">
        <v>2.5303113000000002</v>
      </c>
      <c r="BO22" s="26">
        <v>2.5585806</v>
      </c>
      <c r="BP22" s="27">
        <v>2.666938</v>
      </c>
      <c r="BQ22" s="23">
        <f t="shared" si="6"/>
        <v>8.9104199999998634E-3</v>
      </c>
      <c r="BR22" s="23">
        <f t="shared" si="14"/>
        <v>-0.10674679999999981</v>
      </c>
      <c r="BS22" s="23">
        <f t="shared" si="14"/>
        <v>-6.0173530000000142E-2</v>
      </c>
      <c r="BT22" s="28">
        <v>4.1478228569030762</v>
      </c>
      <c r="BV22" s="5"/>
      <c r="BW22" s="25">
        <v>5.4146476000000003</v>
      </c>
      <c r="BX22" s="26">
        <v>5.3289013000000001</v>
      </c>
      <c r="BY22" s="26">
        <v>5.3156366000000004</v>
      </c>
      <c r="BZ22" s="27">
        <v>5.3327327000000002</v>
      </c>
      <c r="CA22" s="23">
        <f t="shared" si="7"/>
        <v>-2.2057470000000023E-2</v>
      </c>
      <c r="CB22" s="23">
        <f t="shared" si="15"/>
        <v>-2.7665250000000974E-2</v>
      </c>
      <c r="CC22" s="23">
        <f t="shared" si="15"/>
        <v>-2.9946709999999044E-2</v>
      </c>
      <c r="CD22" s="28">
        <v>1.5589039325714109</v>
      </c>
      <c r="CI22">
        <v>1.231154084205627</v>
      </c>
      <c r="CN22">
        <v>1.2247854471206669</v>
      </c>
    </row>
    <row r="23" spans="1:92" x14ac:dyDescent="0.25">
      <c r="A23" s="37">
        <v>2</v>
      </c>
      <c r="B23" s="12">
        <v>1</v>
      </c>
      <c r="C23" s="13">
        <v>2</v>
      </c>
      <c r="E23" s="14">
        <v>86.284520000000001</v>
      </c>
      <c r="F23" s="15">
        <v>86.771370000000005</v>
      </c>
      <c r="G23" s="15">
        <v>86.292500000000004</v>
      </c>
      <c r="H23" s="16">
        <v>86.611464999999995</v>
      </c>
      <c r="I23" s="12">
        <f t="shared" ref="I23:I32" si="16">IF(OR(E23="",E23="NaN"),"",E23-AVERAGE(E$23:E$32))</f>
        <v>-2.6876000000015665E-3</v>
      </c>
      <c r="J23" s="12">
        <f t="shared" ref="J23:J32" si="17">IF(OR(F23="",F23="NaN"),"",F23-AVERAGE(F$23:F$32))</f>
        <v>0.45519499999998914</v>
      </c>
      <c r="K23" s="12">
        <f t="shared" ref="K23:K32" si="18">IF(OR(G23="",G23="NaN"),"",G23-AVERAGE(G$23:G$32))</f>
        <v>9.8580400000017221E-2</v>
      </c>
      <c r="L23" s="17">
        <v>83.602287292480469</v>
      </c>
      <c r="M23" s="5"/>
      <c r="N23" s="5"/>
      <c r="O23" s="14">
        <v>51.095813999999997</v>
      </c>
      <c r="P23" s="15">
        <v>50.126637000000002</v>
      </c>
      <c r="Q23" s="15">
        <v>50.915913000000003</v>
      </c>
      <c r="R23" s="16">
        <v>50.303722</v>
      </c>
      <c r="S23" s="12">
        <f t="shared" ref="S23:S32" si="19">IF(OR(O23="",O23="NaN"),"",O23-AVERAGE(O$23:O$32))</f>
        <v>-1.4675700000005065E-2</v>
      </c>
      <c r="T23" s="12">
        <f t="shared" ref="T23:T32" si="20">IF(OR(P23="",P23="NaN"),"",P23-AVERAGE(P$23:P$32))</f>
        <v>-0.23155660000000466</v>
      </c>
      <c r="U23" s="12">
        <f t="shared" ref="U23:U32" si="21">IF(OR(Q23="",Q23="NaN"),"",Q23-AVERAGE(Q$23:Q$32))</f>
        <v>-0.16436639999999869</v>
      </c>
      <c r="V23" s="17">
        <v>72.395492553710938</v>
      </c>
      <c r="W23" s="5"/>
      <c r="X23" s="5"/>
      <c r="Y23" s="14">
        <v>14.066914000000001</v>
      </c>
      <c r="Z23" s="15">
        <v>15.118784</v>
      </c>
      <c r="AA23" s="15">
        <v>15.585357</v>
      </c>
      <c r="AB23" s="16">
        <v>14.975515</v>
      </c>
      <c r="AC23" s="12">
        <f t="shared" ref="AC23:AC32" si="22">IF(OR(Y23="",Y23="NaN"),"",Y23-AVERAGE(Y$23:Y$32))</f>
        <v>-7.5506999999998214E-2</v>
      </c>
      <c r="AD23" s="12">
        <f t="shared" ref="AD23:AD32" si="23">IF(OR(Z23="",Z23="NaN"),"",Z23-AVERAGE(Z$23:Z$32))</f>
        <v>-0.2225696000000017</v>
      </c>
      <c r="AE23" s="12">
        <f t="shared" ref="AE23:AE32" si="24">IF(OR(AA23="",AA23="NaN"),"",AA23-AVERAGE(AA$23:AA$32))</f>
        <v>0.19747120000000251</v>
      </c>
      <c r="AF23" s="17">
        <v>9.7191314697265625</v>
      </c>
      <c r="AG23" s="5"/>
      <c r="AH23" s="5"/>
      <c r="AI23" s="14">
        <v>6.4777236</v>
      </c>
      <c r="AJ23" s="15">
        <v>6.8269824999999997</v>
      </c>
      <c r="AK23" s="15">
        <v>6.7639202999999997</v>
      </c>
      <c r="AL23" s="16">
        <v>7.1390750000000001</v>
      </c>
      <c r="AM23" s="12">
        <f t="shared" ref="AM23:AM32" si="25">IF(OR(AI23="",AI23="NaN"),"",AI23-AVERAGE(AI$23:AI$32))</f>
        <v>-6.4531869999998825E-2</v>
      </c>
      <c r="AN23" s="12">
        <f t="shared" ref="AN23:AN32" si="26">IF(OR(AJ23="",AJ23="NaN"),"",AJ23-AVERAGE(AJ$23:AJ$32))</f>
        <v>9.2855949999998799E-2</v>
      </c>
      <c r="AO23" s="12">
        <f t="shared" ref="AO23:AO32" si="27">IF(OR(AK23="",AK23="NaN"),"",AK23-AVERAGE(AK$23:AK$32))</f>
        <v>-4.4616740000000377E-2</v>
      </c>
      <c r="AP23" s="17">
        <v>7.1442408561706543</v>
      </c>
      <c r="AR23" s="5"/>
      <c r="AS23" s="14">
        <v>19.938972</v>
      </c>
      <c r="AT23" s="15">
        <v>20.008997000000001</v>
      </c>
      <c r="AU23" s="15">
        <v>20.051670000000001</v>
      </c>
      <c r="AV23" s="16">
        <v>20.104616</v>
      </c>
      <c r="AW23" s="12">
        <f t="shared" ref="AW23:AW32" si="28">IF(OR(AS23="",AS23="NaN"),"",AS23-AVERAGE(AS$23:AS$32))</f>
        <v>4.3795799999998053E-2</v>
      </c>
      <c r="AX23" s="12">
        <f t="shared" ref="AX23:AX32" si="29">IF(OR(AT23="",AT23="NaN"),"",AT23-AVERAGE(AT$23:AT$32))</f>
        <v>-8.2278900000002153E-2</v>
      </c>
      <c r="AY23" s="12">
        <f t="shared" ref="AY23:AY32" si="30">IF(OR(AU23="",AU23="NaN"),"",AU23-AVERAGE(AU$23:AU$32))</f>
        <v>-3.7206000000011841E-3</v>
      </c>
      <c r="AZ23" s="17">
        <v>8.7709074020385742</v>
      </c>
      <c r="BB23" s="5"/>
      <c r="BC23" s="14">
        <v>3.509773</v>
      </c>
      <c r="BD23" s="15">
        <v>3.3408446000000001</v>
      </c>
      <c r="BE23" s="15">
        <v>3.3419601999999999</v>
      </c>
      <c r="BF23" s="16">
        <v>3.3782928000000001</v>
      </c>
      <c r="BG23" s="12">
        <f t="shared" ref="BG23:BG32" si="31">IF(OR(BC23="",BC23="NaN"),"",BC23-AVERAGE(BC$23:BC$32))</f>
        <v>0</v>
      </c>
      <c r="BH23" s="12">
        <f t="shared" ref="BH23:BH32" si="32">IF(OR(BD23="",BD23="NaN"),"",BD23-AVERAGE(BD$23:BD$32))</f>
        <v>-3.3703379999999949E-2</v>
      </c>
      <c r="BI23" s="12">
        <f t="shared" ref="BI23:BI32" si="33">IF(OR(BE23="",BE23="NaN"),"",BE23-AVERAGE(BE$23:BE$32))</f>
        <v>-5.340279999999975E-3</v>
      </c>
      <c r="BJ23" s="17">
        <v>1.7559449672698979</v>
      </c>
      <c r="BL23" s="5"/>
      <c r="BM23" s="14">
        <v>4.8713107000000004</v>
      </c>
      <c r="BN23" s="15">
        <v>3.7359874</v>
      </c>
      <c r="BO23" s="15">
        <v>2.2875538</v>
      </c>
      <c r="BP23" s="16">
        <v>2.3534925000000002</v>
      </c>
      <c r="BQ23" s="12">
        <f t="shared" ref="BQ23:BQ32" si="34">IF(OR(BM23="",BM23="NaN"),"",BM23-AVERAGE(BM$23:BM$32))</f>
        <v>1.5034100000006489E-3</v>
      </c>
      <c r="BR23" s="12">
        <f t="shared" ref="BR23:BR32" si="35">IF(OR(BN23="",BN23="NaN"),"",BN23-AVERAGE(BN$23:BN$32))</f>
        <v>0.69670624000000014</v>
      </c>
      <c r="BS23" s="12">
        <f t="shared" ref="BS23:BS32" si="36">IF(OR(BO23="",BO23="NaN"),"",BO23-AVERAGE(BO$23:BO$32))</f>
        <v>-0.22369312000000008</v>
      </c>
      <c r="BT23" s="17">
        <v>4.1098790168762207</v>
      </c>
      <c r="BV23" s="5"/>
      <c r="BW23" s="14">
        <v>5.0882759999999996</v>
      </c>
      <c r="BX23" s="15">
        <v>4.7607290000000004</v>
      </c>
      <c r="BY23" s="15">
        <v>4.8180375</v>
      </c>
      <c r="BZ23" s="16">
        <v>4.6901190000000001</v>
      </c>
      <c r="CA23" s="12">
        <f t="shared" ref="CA23:CA32" si="37">IF(OR(BW23="",BW23="NaN"),"",BW23-AVERAGE(BW$23:BW$32))</f>
        <v>9.5319739999998987E-2</v>
      </c>
      <c r="CB23" s="12">
        <f t="shared" ref="CB23:CB32" si="38">IF(OR(BX23="",BX23="NaN"),"",BX23-AVERAGE(BX$23:BX$32))</f>
        <v>-1.8826849999999062E-2</v>
      </c>
      <c r="CC23" s="12">
        <f t="shared" ref="CC23:CC32" si="39">IF(OR(BY23="",BY23="NaN"),"",BY23-AVERAGE(BY$23:BY$32))</f>
        <v>-1.0087870000000443E-2</v>
      </c>
      <c r="CD23" s="17">
        <v>1.434836268424988</v>
      </c>
      <c r="CI23">
        <v>1.217955350875854</v>
      </c>
      <c r="CN23">
        <v>1.219407439231873</v>
      </c>
    </row>
    <row r="24" spans="1:92" x14ac:dyDescent="0.25">
      <c r="A24" s="38"/>
      <c r="B24" s="5">
        <v>2</v>
      </c>
      <c r="C24" s="18">
        <v>7</v>
      </c>
      <c r="E24" s="19">
        <v>86.337295999999995</v>
      </c>
      <c r="F24" s="20">
        <v>86.458175999999995</v>
      </c>
      <c r="G24" s="20">
        <v>86.202680000000001</v>
      </c>
      <c r="H24" s="21">
        <v>86.543790000000001</v>
      </c>
      <c r="I24" s="5">
        <f t="shared" si="16"/>
        <v>5.0088399999992816E-2</v>
      </c>
      <c r="J24" s="5">
        <f t="shared" si="17"/>
        <v>0.14200099999997917</v>
      </c>
      <c r="K24" s="5">
        <f t="shared" si="18"/>
        <v>8.7604000000141014E-3</v>
      </c>
      <c r="L24" s="22">
        <v>83.690040588378906</v>
      </c>
      <c r="M24" s="5"/>
      <c r="N24" s="5"/>
      <c r="O24" s="19">
        <v>51.051380000000002</v>
      </c>
      <c r="P24" s="20">
        <v>50.138275</v>
      </c>
      <c r="Q24" s="20">
        <v>51.019343999999997</v>
      </c>
      <c r="R24" s="21">
        <v>50.324264999999997</v>
      </c>
      <c r="S24" s="5">
        <f t="shared" si="19"/>
        <v>-5.9109700000000487E-2</v>
      </c>
      <c r="T24" s="5">
        <f t="shared" si="20"/>
        <v>-0.21991860000000685</v>
      </c>
      <c r="U24" s="5">
        <f t="shared" si="21"/>
        <v>-6.0935400000005302E-2</v>
      </c>
      <c r="V24" s="22">
        <v>72.474510192871094</v>
      </c>
      <c r="W24" s="5"/>
      <c r="X24" s="5"/>
      <c r="Y24" s="19">
        <v>14.087524</v>
      </c>
      <c r="Z24" s="20">
        <v>15.139115</v>
      </c>
      <c r="AA24" s="20">
        <v>14.598428</v>
      </c>
      <c r="AB24" s="21">
        <v>15.002511999999999</v>
      </c>
      <c r="AC24" s="5">
        <f t="shared" si="22"/>
        <v>-5.4896999999998641E-2</v>
      </c>
      <c r="AD24" s="5">
        <f t="shared" si="23"/>
        <v>-0.20223860000000116</v>
      </c>
      <c r="AE24" s="5">
        <f t="shared" si="24"/>
        <v>-0.78945779999999743</v>
      </c>
      <c r="AF24" s="22">
        <v>10.617691993713381</v>
      </c>
      <c r="AG24" s="5"/>
      <c r="AH24" s="5"/>
      <c r="AI24" s="19">
        <v>6.4852276</v>
      </c>
      <c r="AJ24" s="20">
        <v>6.818041</v>
      </c>
      <c r="AK24" s="20">
        <v>6.8406114999999996</v>
      </c>
      <c r="AL24" s="21">
        <v>7.0627712999999996</v>
      </c>
      <c r="AM24" s="5">
        <f t="shared" si="25"/>
        <v>-5.702786999999887E-2</v>
      </c>
      <c r="AN24" s="5">
        <f t="shared" si="26"/>
        <v>8.3914449999999086E-2</v>
      </c>
      <c r="AO24" s="5">
        <f t="shared" si="27"/>
        <v>3.2074459999999583E-2</v>
      </c>
      <c r="AP24" s="22">
        <v>7.0682163238525391</v>
      </c>
      <c r="AR24" s="5"/>
      <c r="AS24" s="19">
        <v>19.938972</v>
      </c>
      <c r="AT24" s="20">
        <v>20.07619</v>
      </c>
      <c r="AU24" s="20">
        <v>20.051670000000001</v>
      </c>
      <c r="AV24" s="21">
        <v>20.104616</v>
      </c>
      <c r="AW24" s="5">
        <f t="shared" si="28"/>
        <v>4.3795799999998053E-2</v>
      </c>
      <c r="AX24" s="5">
        <f t="shared" si="29"/>
        <v>-1.5085900000002539E-2</v>
      </c>
      <c r="AY24" s="5">
        <f t="shared" si="30"/>
        <v>-3.7206000000011841E-3</v>
      </c>
      <c r="AZ24" s="22">
        <v>8.7996883392333984</v>
      </c>
      <c r="BB24" s="5"/>
      <c r="BC24" s="19">
        <v>3.509773</v>
      </c>
      <c r="BD24" s="20">
        <v>3.3782928000000001</v>
      </c>
      <c r="BE24" s="20">
        <v>3.3419601999999999</v>
      </c>
      <c r="BF24" s="21">
        <v>3.3752754</v>
      </c>
      <c r="BG24" s="5">
        <f t="shared" si="31"/>
        <v>0</v>
      </c>
      <c r="BH24" s="5">
        <f t="shared" si="32"/>
        <v>3.7448200000000931E-3</v>
      </c>
      <c r="BI24" s="5">
        <f t="shared" si="33"/>
        <v>-5.340279999999975E-3</v>
      </c>
      <c r="BJ24" s="22">
        <v>1.7559449672698979</v>
      </c>
      <c r="BL24" s="5"/>
      <c r="BM24" s="19">
        <v>4.9311090000000002</v>
      </c>
      <c r="BN24" s="20">
        <v>3.4997440000000002</v>
      </c>
      <c r="BO24" s="20">
        <v>2.8924886999999999</v>
      </c>
      <c r="BP24" s="21">
        <v>2.3666782</v>
      </c>
      <c r="BQ24" s="5">
        <f t="shared" si="34"/>
        <v>6.1301710000000398E-2</v>
      </c>
      <c r="BR24" s="5">
        <f t="shared" si="35"/>
        <v>0.46046284000000037</v>
      </c>
      <c r="BS24" s="5">
        <f t="shared" si="36"/>
        <v>0.38124177999999986</v>
      </c>
      <c r="BT24" s="22">
        <v>4.0783505439758301</v>
      </c>
      <c r="BV24" s="5"/>
      <c r="BW24" s="19">
        <v>5.0488906</v>
      </c>
      <c r="BX24" s="20">
        <v>4.7894997999999998</v>
      </c>
      <c r="BY24" s="20">
        <v>4.8376045000000003</v>
      </c>
      <c r="BZ24" s="21">
        <v>4.7228940000000001</v>
      </c>
      <c r="CA24" s="5">
        <f t="shared" si="37"/>
        <v>5.5934339999999416E-2</v>
      </c>
      <c r="CB24" s="5">
        <f t="shared" si="38"/>
        <v>9.9439500000002568E-3</v>
      </c>
      <c r="CC24" s="5">
        <f t="shared" si="39"/>
        <v>9.4791299999998913E-3</v>
      </c>
      <c r="CD24" s="22">
        <v>1.4312387704849241</v>
      </c>
      <c r="CI24">
        <v>1.372923851013184</v>
      </c>
      <c r="CN24">
        <v>1.233864903450012</v>
      </c>
    </row>
    <row r="25" spans="1:92" x14ac:dyDescent="0.25">
      <c r="A25" s="38"/>
      <c r="B25" s="5">
        <v>3</v>
      </c>
      <c r="C25" s="18">
        <v>12</v>
      </c>
      <c r="E25" s="19">
        <v>86.288150000000002</v>
      </c>
      <c r="F25" s="20">
        <v>86.307770000000005</v>
      </c>
      <c r="G25" s="20">
        <v>86.185329999999993</v>
      </c>
      <c r="H25" s="21">
        <v>86.52</v>
      </c>
      <c r="I25" s="5">
        <f t="shared" si="16"/>
        <v>9.4239999999956581E-4</v>
      </c>
      <c r="J25" s="5">
        <f t="shared" si="17"/>
        <v>-8.4050000000104319E-3</v>
      </c>
      <c r="K25" s="5">
        <f t="shared" si="18"/>
        <v>-8.5895999999934247E-3</v>
      </c>
      <c r="L25" s="22">
        <v>83.495399475097656</v>
      </c>
      <c r="M25" s="5"/>
      <c r="N25" s="5"/>
      <c r="O25" s="19">
        <v>51.051380000000002</v>
      </c>
      <c r="P25" s="20">
        <v>50.387239999999998</v>
      </c>
      <c r="Q25" s="20">
        <v>50.82837</v>
      </c>
      <c r="R25" s="21">
        <v>50.293156000000003</v>
      </c>
      <c r="S25" s="5">
        <f t="shared" si="19"/>
        <v>-5.9109700000000487E-2</v>
      </c>
      <c r="T25" s="5">
        <f t="shared" si="20"/>
        <v>2.9046399999991479E-2</v>
      </c>
      <c r="U25" s="5">
        <f t="shared" si="21"/>
        <v>-0.25190940000000239</v>
      </c>
      <c r="V25" s="22">
        <v>72.446662902832031</v>
      </c>
      <c r="W25" s="5"/>
      <c r="X25" s="5"/>
      <c r="Y25" s="19">
        <v>14.101558000000001</v>
      </c>
      <c r="Z25" s="20">
        <v>15.092148</v>
      </c>
      <c r="AA25" s="20">
        <v>15.297855999999999</v>
      </c>
      <c r="AB25" s="21">
        <v>15.014984999999999</v>
      </c>
      <c r="AC25" s="5">
        <f t="shared" si="22"/>
        <v>-4.0862999999998095E-2</v>
      </c>
      <c r="AD25" s="5">
        <f t="shared" si="23"/>
        <v>-0.24920560000000158</v>
      </c>
      <c r="AE25" s="5">
        <f t="shared" si="24"/>
        <v>-9.0029799999998161E-2</v>
      </c>
      <c r="AF25" s="22">
        <v>9.4444952011108398</v>
      </c>
      <c r="AG25" s="5"/>
      <c r="AH25" s="5"/>
      <c r="AI25" s="19">
        <v>6.5088119999999998</v>
      </c>
      <c r="AJ25" s="20">
        <v>6.818041</v>
      </c>
      <c r="AK25" s="20">
        <v>6.8367256999999997</v>
      </c>
      <c r="AL25" s="21">
        <v>7.0915327000000001</v>
      </c>
      <c r="AM25" s="5">
        <f t="shared" si="25"/>
        <v>-3.3443469999999031E-2</v>
      </c>
      <c r="AN25" s="5">
        <f t="shared" si="26"/>
        <v>8.3914449999999086E-2</v>
      </c>
      <c r="AO25" s="5">
        <f t="shared" si="27"/>
        <v>2.8188659999999643E-2</v>
      </c>
      <c r="AP25" s="22">
        <v>7.1248812675476074</v>
      </c>
      <c r="AR25" s="5"/>
      <c r="AS25" s="19">
        <v>19.937249999999999</v>
      </c>
      <c r="AT25" s="20">
        <v>20.07619</v>
      </c>
      <c r="AU25" s="20">
        <v>20.051670000000001</v>
      </c>
      <c r="AV25" s="21">
        <v>20.104616</v>
      </c>
      <c r="AW25" s="5">
        <f t="shared" si="28"/>
        <v>4.2073799999997163E-2</v>
      </c>
      <c r="AX25" s="5">
        <f t="shared" si="29"/>
        <v>-1.5085900000002539E-2</v>
      </c>
      <c r="AY25" s="5">
        <f t="shared" si="30"/>
        <v>-3.7206000000011841E-3</v>
      </c>
      <c r="AZ25" s="22">
        <v>8.7845277786254883</v>
      </c>
      <c r="BB25" s="5"/>
      <c r="BC25" s="19">
        <v>3.509773</v>
      </c>
      <c r="BD25" s="20">
        <v>3.3782928000000001</v>
      </c>
      <c r="BE25" s="20">
        <v>3.3419601999999999</v>
      </c>
      <c r="BF25" s="21">
        <v>3.3752754</v>
      </c>
      <c r="BG25" s="5">
        <f t="shared" si="31"/>
        <v>0</v>
      </c>
      <c r="BH25" s="5">
        <f t="shared" si="32"/>
        <v>3.7448200000000931E-3</v>
      </c>
      <c r="BI25" s="5">
        <f t="shared" si="33"/>
        <v>-5.340279999999975E-3</v>
      </c>
      <c r="BJ25" s="22">
        <v>1.7552337646484379</v>
      </c>
      <c r="BL25" s="5"/>
      <c r="BM25" s="19">
        <v>4.898193</v>
      </c>
      <c r="BN25" s="20">
        <v>3.6596972999999999</v>
      </c>
      <c r="BO25" s="20">
        <v>2.2033214999999999</v>
      </c>
      <c r="BP25" s="21">
        <v>2.373075</v>
      </c>
      <c r="BQ25" s="5">
        <f t="shared" si="34"/>
        <v>2.838571000000023E-2</v>
      </c>
      <c r="BR25" s="5">
        <f t="shared" si="35"/>
        <v>0.62041614000000012</v>
      </c>
      <c r="BS25" s="5">
        <f t="shared" si="36"/>
        <v>-0.30792542000000012</v>
      </c>
      <c r="BT25" s="22">
        <v>4.0993881225585938</v>
      </c>
      <c r="BV25" s="5"/>
      <c r="BW25" s="19">
        <v>5.022564</v>
      </c>
      <c r="BX25" s="20">
        <v>4.7730420000000002</v>
      </c>
      <c r="BY25" s="20">
        <v>4.8372846000000003</v>
      </c>
      <c r="BZ25" s="21">
        <v>4.6656747000000003</v>
      </c>
      <c r="CA25" s="5">
        <f t="shared" si="37"/>
        <v>2.9607739999999438E-2</v>
      </c>
      <c r="CB25" s="5">
        <f t="shared" si="38"/>
        <v>-6.5138499999992661E-3</v>
      </c>
      <c r="CC25" s="5">
        <f t="shared" si="39"/>
        <v>9.1592299999998517E-3</v>
      </c>
      <c r="CD25" s="22">
        <v>1.423847556114197</v>
      </c>
      <c r="CI25">
        <v>1.194944381713867</v>
      </c>
      <c r="CN25">
        <v>1.2247854471206669</v>
      </c>
    </row>
    <row r="26" spans="1:92" x14ac:dyDescent="0.25">
      <c r="A26" s="38"/>
      <c r="B26" s="5">
        <v>4</v>
      </c>
      <c r="C26" s="18">
        <v>17</v>
      </c>
      <c r="E26" s="19">
        <v>86.236869999999996</v>
      </c>
      <c r="F26" s="20">
        <v>86.224365000000006</v>
      </c>
      <c r="G26" s="20">
        <v>86.175929999999994</v>
      </c>
      <c r="H26" s="21">
        <v>86.073409999999996</v>
      </c>
      <c r="I26" s="5">
        <f t="shared" si="16"/>
        <v>-5.0337600000005978E-2</v>
      </c>
      <c r="J26" s="5">
        <f t="shared" si="17"/>
        <v>-9.1810000000009495E-2</v>
      </c>
      <c r="K26" s="5">
        <f t="shared" si="18"/>
        <v>-1.7989599999992834E-2</v>
      </c>
      <c r="L26" s="22">
        <v>83.495399475097656</v>
      </c>
      <c r="M26" s="5"/>
      <c r="N26" s="5"/>
      <c r="O26" s="19">
        <v>51.029162999999997</v>
      </c>
      <c r="P26" s="20">
        <v>50.109234000000001</v>
      </c>
      <c r="Q26" s="20">
        <v>51.250590000000003</v>
      </c>
      <c r="R26" s="21">
        <v>50.321747000000002</v>
      </c>
      <c r="S26" s="5">
        <f t="shared" si="19"/>
        <v>-8.1326700000005303E-2</v>
      </c>
      <c r="T26" s="5">
        <f t="shared" si="20"/>
        <v>-0.24895960000000628</v>
      </c>
      <c r="U26" s="5">
        <f t="shared" si="21"/>
        <v>0.17031060000000053</v>
      </c>
      <c r="V26" s="22">
        <v>72.446662902832031</v>
      </c>
      <c r="W26" s="5"/>
      <c r="X26" s="5"/>
      <c r="Y26" s="19">
        <v>14.245257000000001</v>
      </c>
      <c r="Z26" s="20">
        <v>15.504355</v>
      </c>
      <c r="AA26" s="20">
        <v>15.521008500000001</v>
      </c>
      <c r="AB26" s="21">
        <v>15.003479</v>
      </c>
      <c r="AC26" s="5">
        <f t="shared" si="22"/>
        <v>0.1028360000000017</v>
      </c>
      <c r="AD26" s="5">
        <f t="shared" si="23"/>
        <v>0.16300139999999885</v>
      </c>
      <c r="AE26" s="5">
        <f t="shared" si="24"/>
        <v>0.13312270000000304</v>
      </c>
      <c r="AF26" s="22">
        <v>9.5049676895141602</v>
      </c>
      <c r="AG26" s="5"/>
      <c r="AH26" s="5"/>
      <c r="AI26" s="19">
        <v>6.5164780000000002</v>
      </c>
      <c r="AJ26" s="20">
        <v>6.641445</v>
      </c>
      <c r="AK26" s="20">
        <v>6.8709946000000004</v>
      </c>
      <c r="AL26" s="21">
        <v>7.0668882999999996</v>
      </c>
      <c r="AM26" s="5">
        <f t="shared" si="25"/>
        <v>-2.5777469999998637E-2</v>
      </c>
      <c r="AN26" s="5">
        <f t="shared" si="26"/>
        <v>-9.268155000000089E-2</v>
      </c>
      <c r="AO26" s="5">
        <f t="shared" si="27"/>
        <v>6.2457560000000356E-2</v>
      </c>
      <c r="AP26" s="22">
        <v>7.1248812675476074</v>
      </c>
      <c r="AR26" s="5"/>
      <c r="AS26" s="19">
        <v>19.717865</v>
      </c>
      <c r="AT26" s="20">
        <v>20.102920000000001</v>
      </c>
      <c r="AU26" s="20">
        <v>20.064071999999999</v>
      </c>
      <c r="AV26" s="21">
        <v>20.104616</v>
      </c>
      <c r="AW26" s="5">
        <f t="shared" si="28"/>
        <v>-0.17731120000000189</v>
      </c>
      <c r="AX26" s="5">
        <f t="shared" si="29"/>
        <v>1.1644099999998048E-2</v>
      </c>
      <c r="AY26" s="5">
        <f t="shared" si="30"/>
        <v>8.6813999999968416E-3</v>
      </c>
      <c r="AZ26" s="22">
        <v>8.7772703170776367</v>
      </c>
      <c r="BB26" s="5"/>
      <c r="BC26" s="19">
        <v>3.509773</v>
      </c>
      <c r="BD26" s="20">
        <v>3.3782928000000001</v>
      </c>
      <c r="BE26" s="20">
        <v>3.3686615999999998</v>
      </c>
      <c r="BF26" s="21">
        <v>3.3752754</v>
      </c>
      <c r="BG26" s="5">
        <f t="shared" si="31"/>
        <v>0</v>
      </c>
      <c r="BH26" s="5">
        <f t="shared" si="32"/>
        <v>3.7448200000000931E-3</v>
      </c>
      <c r="BI26" s="5">
        <f t="shared" si="33"/>
        <v>2.13611199999999E-2</v>
      </c>
      <c r="BJ26" s="22">
        <v>1.751258015632629</v>
      </c>
      <c r="BL26" s="5"/>
      <c r="BM26" s="19">
        <v>4.8966419999999999</v>
      </c>
      <c r="BN26" s="20">
        <v>2.7454749999999999</v>
      </c>
      <c r="BO26" s="20">
        <v>2.2875538</v>
      </c>
      <c r="BP26" s="21">
        <v>2.7523170000000001</v>
      </c>
      <c r="BQ26" s="5">
        <f t="shared" si="34"/>
        <v>2.683471000000015E-2</v>
      </c>
      <c r="BR26" s="5">
        <f t="shared" si="35"/>
        <v>-0.29380615999999993</v>
      </c>
      <c r="BS26" s="5">
        <f t="shared" si="36"/>
        <v>-0.22369312000000008</v>
      </c>
      <c r="BT26" s="22">
        <v>3.826020479202271</v>
      </c>
      <c r="BV26" s="5"/>
      <c r="BW26" s="19">
        <v>4.941376</v>
      </c>
      <c r="BX26" s="20">
        <v>4.7992907000000002</v>
      </c>
      <c r="BY26" s="20">
        <v>4.8299300000000001</v>
      </c>
      <c r="BZ26" s="21">
        <v>4.7228940000000001</v>
      </c>
      <c r="CA26" s="5">
        <f t="shared" si="37"/>
        <v>-5.15802600000006E-2</v>
      </c>
      <c r="CB26" s="5">
        <f t="shared" si="38"/>
        <v>1.9734850000000748E-2</v>
      </c>
      <c r="CC26" s="5">
        <f t="shared" si="39"/>
        <v>1.8046299999996407E-3</v>
      </c>
      <c r="CD26" s="22">
        <v>1.4345899820327761</v>
      </c>
      <c r="CI26">
        <v>1.202710866928101</v>
      </c>
      <c r="CN26">
        <v>1.2413278818130491</v>
      </c>
    </row>
    <row r="27" spans="1:92" x14ac:dyDescent="0.25">
      <c r="A27" s="38"/>
      <c r="B27" s="5">
        <v>5</v>
      </c>
      <c r="C27" s="18">
        <v>22</v>
      </c>
      <c r="E27" s="19">
        <v>86.288139999999999</v>
      </c>
      <c r="F27" s="20">
        <v>86.210944999999995</v>
      </c>
      <c r="G27" s="20">
        <v>86.181219999999996</v>
      </c>
      <c r="H27" s="21">
        <v>86.025279999999995</v>
      </c>
      <c r="I27" s="5">
        <f t="shared" si="16"/>
        <v>9.3239999999639167E-4</v>
      </c>
      <c r="J27" s="5">
        <f t="shared" si="17"/>
        <v>-0.10523000000002014</v>
      </c>
      <c r="K27" s="5">
        <f t="shared" si="18"/>
        <v>-1.2699599999990596E-2</v>
      </c>
      <c r="L27" s="22">
        <v>83.472343444824219</v>
      </c>
      <c r="M27" s="5"/>
      <c r="N27" s="5"/>
      <c r="O27" s="19">
        <v>51.095813999999997</v>
      </c>
      <c r="P27" s="20">
        <v>50.387239999999998</v>
      </c>
      <c r="Q27" s="20">
        <v>51.155051999999998</v>
      </c>
      <c r="R27" s="21">
        <v>50.324264999999997</v>
      </c>
      <c r="S27" s="5">
        <f t="shared" si="19"/>
        <v>-1.4675700000005065E-2</v>
      </c>
      <c r="T27" s="5">
        <f t="shared" si="20"/>
        <v>2.9046399999991479E-2</v>
      </c>
      <c r="U27" s="5">
        <f t="shared" si="21"/>
        <v>7.4772599999995748E-2</v>
      </c>
      <c r="V27" s="22">
        <v>72.432235717773438</v>
      </c>
      <c r="W27" s="5"/>
      <c r="X27" s="5"/>
      <c r="Y27" s="19">
        <v>14.189169</v>
      </c>
      <c r="Z27" s="20">
        <v>15.123829000000001</v>
      </c>
      <c r="AA27" s="20">
        <v>15.521008500000001</v>
      </c>
      <c r="AB27" s="21">
        <v>15.008727</v>
      </c>
      <c r="AC27" s="5">
        <f t="shared" si="22"/>
        <v>4.67480000000009E-2</v>
      </c>
      <c r="AD27" s="5">
        <f t="shared" si="23"/>
        <v>-0.21752460000000085</v>
      </c>
      <c r="AE27" s="5">
        <f t="shared" si="24"/>
        <v>0.13312270000000304</v>
      </c>
      <c r="AF27" s="22">
        <v>10.666567802429199</v>
      </c>
      <c r="AG27" s="5"/>
      <c r="AH27" s="5"/>
      <c r="AI27" s="19">
        <v>6.5202859999999996</v>
      </c>
      <c r="AJ27" s="20">
        <v>6.8597115999999998</v>
      </c>
      <c r="AK27" s="20">
        <v>6.8367256999999997</v>
      </c>
      <c r="AL27" s="21">
        <v>7.0995355</v>
      </c>
      <c r="AM27" s="5">
        <f t="shared" si="25"/>
        <v>-2.1969469999999269E-2</v>
      </c>
      <c r="AN27" s="5">
        <f t="shared" si="26"/>
        <v>0.12558504999999887</v>
      </c>
      <c r="AO27" s="5">
        <f t="shared" si="27"/>
        <v>2.8188659999999643E-2</v>
      </c>
      <c r="AP27" s="22">
        <v>7.1130800247192383</v>
      </c>
      <c r="AR27" s="5"/>
      <c r="AS27" s="19">
        <v>19.944544</v>
      </c>
      <c r="AT27" s="20">
        <v>20.118390999999999</v>
      </c>
      <c r="AU27" s="20">
        <v>20.064071999999999</v>
      </c>
      <c r="AV27" s="21">
        <v>20.104616</v>
      </c>
      <c r="AW27" s="5">
        <f t="shared" si="28"/>
        <v>4.9367799999998851E-2</v>
      </c>
      <c r="AX27" s="5">
        <f t="shared" si="29"/>
        <v>2.7115099999996062E-2</v>
      </c>
      <c r="AY27" s="5">
        <f t="shared" si="30"/>
        <v>8.6813999999968416E-3</v>
      </c>
      <c r="AZ27" s="22">
        <v>8.7751226425170898</v>
      </c>
      <c r="BB27" s="5"/>
      <c r="BC27" s="19">
        <v>3.509773</v>
      </c>
      <c r="BD27" s="20">
        <v>3.3782928000000001</v>
      </c>
      <c r="BE27" s="20">
        <v>3.3419601999999999</v>
      </c>
      <c r="BF27" s="21">
        <v>3.3752754</v>
      </c>
      <c r="BG27" s="5">
        <f t="shared" si="31"/>
        <v>0</v>
      </c>
      <c r="BH27" s="5">
        <f t="shared" si="32"/>
        <v>3.7448200000000931E-3</v>
      </c>
      <c r="BI27" s="5">
        <f t="shared" si="33"/>
        <v>-5.340279999999975E-3</v>
      </c>
      <c r="BJ27" s="22">
        <v>1.737897992134094</v>
      </c>
      <c r="BL27" s="5"/>
      <c r="BM27" s="19">
        <v>4.9112705999999999</v>
      </c>
      <c r="BN27" s="20">
        <v>2.4010582</v>
      </c>
      <c r="BO27" s="20">
        <v>2.8596300000000001</v>
      </c>
      <c r="BP27" s="21">
        <v>3.0907097000000001</v>
      </c>
      <c r="BQ27" s="5">
        <f t="shared" si="34"/>
        <v>4.1463310000000142E-2</v>
      </c>
      <c r="BR27" s="5">
        <f t="shared" si="35"/>
        <v>-0.63822295999999978</v>
      </c>
      <c r="BS27" s="5">
        <f t="shared" si="36"/>
        <v>0.34838308000000007</v>
      </c>
      <c r="BT27" s="22">
        <v>4.5185117721557617</v>
      </c>
      <c r="BV27" s="5"/>
      <c r="BW27" s="19">
        <v>4.9409270000000003</v>
      </c>
      <c r="BX27" s="20">
        <v>4.7730420000000002</v>
      </c>
      <c r="BY27" s="20">
        <v>4.8299300000000001</v>
      </c>
      <c r="BZ27" s="21">
        <v>4.7228940000000001</v>
      </c>
      <c r="CA27" s="5">
        <f t="shared" si="37"/>
        <v>-5.2029260000000299E-2</v>
      </c>
      <c r="CB27" s="5">
        <f t="shared" si="38"/>
        <v>-6.5138499999992661E-3</v>
      </c>
      <c r="CC27" s="5">
        <f t="shared" si="39"/>
        <v>1.8046299999996407E-3</v>
      </c>
      <c r="CD27" s="22">
        <v>1.551700234413147</v>
      </c>
      <c r="CI27">
        <v>1.4006944894790649</v>
      </c>
      <c r="CN27">
        <v>1.2488647699356079</v>
      </c>
    </row>
    <row r="28" spans="1:92" x14ac:dyDescent="0.25">
      <c r="A28" s="38"/>
      <c r="B28" s="5">
        <v>6</v>
      </c>
      <c r="C28" s="18">
        <v>27</v>
      </c>
      <c r="E28" s="19">
        <v>86.288139999999999</v>
      </c>
      <c r="F28" s="20">
        <v>86.218704000000002</v>
      </c>
      <c r="G28" s="20">
        <v>86.181539999999998</v>
      </c>
      <c r="H28" s="21">
        <v>85.989519999999999</v>
      </c>
      <c r="I28" s="5">
        <f t="shared" si="16"/>
        <v>9.3239999999639167E-4</v>
      </c>
      <c r="J28" s="5">
        <f t="shared" si="17"/>
        <v>-9.7471000000012964E-2</v>
      </c>
      <c r="K28" s="5">
        <f t="shared" si="18"/>
        <v>-1.23795999999885E-2</v>
      </c>
      <c r="L28" s="22">
        <v>83.521705627441406</v>
      </c>
      <c r="M28" s="5"/>
      <c r="N28" s="5"/>
      <c r="O28" s="19">
        <v>51.171382999999999</v>
      </c>
      <c r="P28" s="20">
        <v>50.480044999999997</v>
      </c>
      <c r="Q28" s="20">
        <v>50.915913000000003</v>
      </c>
      <c r="R28" s="21">
        <v>50.312294000000001</v>
      </c>
      <c r="S28" s="5">
        <f t="shared" si="19"/>
        <v>6.0893299999996486E-2</v>
      </c>
      <c r="T28" s="5">
        <f t="shared" si="20"/>
        <v>0.12185139999998995</v>
      </c>
      <c r="U28" s="5">
        <f t="shared" si="21"/>
        <v>-0.16436639999999869</v>
      </c>
      <c r="V28" s="22">
        <v>72.331886291503906</v>
      </c>
      <c r="W28" s="5"/>
      <c r="X28" s="5"/>
      <c r="Y28" s="19">
        <v>14.189169</v>
      </c>
      <c r="Z28" s="20">
        <v>15.504355</v>
      </c>
      <c r="AA28" s="20">
        <v>15.444955999999999</v>
      </c>
      <c r="AB28" s="21">
        <v>15.003479</v>
      </c>
      <c r="AC28" s="5">
        <f t="shared" si="22"/>
        <v>4.67480000000009E-2</v>
      </c>
      <c r="AD28" s="5">
        <f t="shared" si="23"/>
        <v>0.16300139999999885</v>
      </c>
      <c r="AE28" s="5">
        <f t="shared" si="24"/>
        <v>5.7070200000001847E-2</v>
      </c>
      <c r="AF28" s="22">
        <v>10.03136730194092</v>
      </c>
      <c r="AG28" s="5"/>
      <c r="AH28" s="5"/>
      <c r="AI28" s="19">
        <v>6.540845</v>
      </c>
      <c r="AJ28" s="20">
        <v>6.6831160000000001</v>
      </c>
      <c r="AK28" s="20">
        <v>6.7893176000000004</v>
      </c>
      <c r="AL28" s="21">
        <v>7.0579466999999996</v>
      </c>
      <c r="AM28" s="5">
        <f t="shared" si="25"/>
        <v>-1.4104699999988313E-3</v>
      </c>
      <c r="AN28" s="5">
        <f t="shared" si="26"/>
        <v>-5.1010550000000876E-2</v>
      </c>
      <c r="AO28" s="5">
        <f t="shared" si="27"/>
        <v>-1.9219439999999643E-2</v>
      </c>
      <c r="AP28" s="22">
        <v>7.068845272064209</v>
      </c>
      <c r="AR28" s="5"/>
      <c r="AS28" s="19">
        <v>19.937249999999999</v>
      </c>
      <c r="AT28" s="20">
        <v>20.102920000000001</v>
      </c>
      <c r="AU28" s="20">
        <v>20.051670000000001</v>
      </c>
      <c r="AV28" s="21">
        <v>20.104616</v>
      </c>
      <c r="AW28" s="5">
        <f t="shared" si="28"/>
        <v>4.2073799999997163E-2</v>
      </c>
      <c r="AX28" s="5">
        <f t="shared" si="29"/>
        <v>1.1644099999998048E-2</v>
      </c>
      <c r="AY28" s="5">
        <f t="shared" si="30"/>
        <v>-3.7206000000011841E-3</v>
      </c>
      <c r="AZ28" s="22">
        <v>8.8041000366210938</v>
      </c>
      <c r="BB28" s="5"/>
      <c r="BC28" s="19">
        <v>3.509773</v>
      </c>
      <c r="BD28" s="20">
        <v>3.3782928000000001</v>
      </c>
      <c r="BE28" s="20">
        <v>3.3419601999999999</v>
      </c>
      <c r="BF28" s="21">
        <v>3.3752754</v>
      </c>
      <c r="BG28" s="5">
        <f t="shared" si="31"/>
        <v>0</v>
      </c>
      <c r="BH28" s="5">
        <f t="shared" si="32"/>
        <v>3.7448200000000931E-3</v>
      </c>
      <c r="BI28" s="5">
        <f t="shared" si="33"/>
        <v>-5.340279999999975E-3</v>
      </c>
      <c r="BJ28" s="22">
        <v>1.7437000274658201</v>
      </c>
      <c r="BL28" s="5"/>
      <c r="BM28" s="19">
        <v>4.8966419999999999</v>
      </c>
      <c r="BN28" s="20">
        <v>2.7454749999999999</v>
      </c>
      <c r="BO28" s="20">
        <v>2.2875538</v>
      </c>
      <c r="BP28" s="21">
        <v>3.0907097000000001</v>
      </c>
      <c r="BQ28" s="5">
        <f t="shared" si="34"/>
        <v>2.683471000000015E-2</v>
      </c>
      <c r="BR28" s="5">
        <f t="shared" si="35"/>
        <v>-0.29380615999999993</v>
      </c>
      <c r="BS28" s="5">
        <f t="shared" si="36"/>
        <v>-0.22369312000000008</v>
      </c>
      <c r="BT28" s="22">
        <v>3.8313651084899898</v>
      </c>
      <c r="BV28" s="5"/>
      <c r="BW28" s="19">
        <v>4.9563300000000003</v>
      </c>
      <c r="BX28" s="20">
        <v>4.7828330000000001</v>
      </c>
      <c r="BY28" s="20">
        <v>4.8372846000000003</v>
      </c>
      <c r="BZ28" s="21">
        <v>4.7017800000000003</v>
      </c>
      <c r="CA28" s="5">
        <f t="shared" si="37"/>
        <v>-3.6626260000000244E-2</v>
      </c>
      <c r="CB28" s="5">
        <f t="shared" si="38"/>
        <v>3.2771500000006171E-3</v>
      </c>
      <c r="CC28" s="5">
        <f t="shared" si="39"/>
        <v>9.1592299999998517E-3</v>
      </c>
      <c r="CD28" s="22">
        <v>1.4502954483032231</v>
      </c>
      <c r="CI28">
        <v>1.2149337530136111</v>
      </c>
      <c r="CN28">
        <v>3.4586410522460942</v>
      </c>
    </row>
    <row r="29" spans="1:92" x14ac:dyDescent="0.25">
      <c r="A29" s="38"/>
      <c r="B29" s="5">
        <v>7</v>
      </c>
      <c r="C29" s="18">
        <v>32</v>
      </c>
      <c r="E29" s="19">
        <v>86.288139999999999</v>
      </c>
      <c r="F29" s="20">
        <v>86.255650000000003</v>
      </c>
      <c r="G29" s="20">
        <v>86.17765</v>
      </c>
      <c r="H29" s="21">
        <v>86.574079999999995</v>
      </c>
      <c r="I29" s="5">
        <f t="shared" si="16"/>
        <v>9.3239999999639167E-4</v>
      </c>
      <c r="J29" s="5">
        <f t="shared" si="17"/>
        <v>-6.0525000000012597E-2</v>
      </c>
      <c r="K29" s="5">
        <f t="shared" si="18"/>
        <v>-1.6269599999986895E-2</v>
      </c>
      <c r="L29" s="22">
        <v>85.105636596679688</v>
      </c>
      <c r="M29" s="5"/>
      <c r="N29" s="5"/>
      <c r="O29" s="19">
        <v>51.073596999999999</v>
      </c>
      <c r="P29" s="20">
        <v>50.480044999999997</v>
      </c>
      <c r="Q29" s="20">
        <v>51.252952999999998</v>
      </c>
      <c r="R29" s="21">
        <v>50.373869999999997</v>
      </c>
      <c r="S29" s="5">
        <f t="shared" si="19"/>
        <v>-3.6892700000002776E-2</v>
      </c>
      <c r="T29" s="5">
        <f t="shared" si="20"/>
        <v>0.12185139999998995</v>
      </c>
      <c r="U29" s="5">
        <f t="shared" si="21"/>
        <v>0.17267359999999599</v>
      </c>
      <c r="V29" s="22">
        <v>60.630939483642578</v>
      </c>
      <c r="W29" s="5"/>
      <c r="X29" s="5"/>
      <c r="Y29" s="19">
        <v>14.189169</v>
      </c>
      <c r="Z29" s="20">
        <v>15.50576</v>
      </c>
      <c r="AA29" s="20">
        <v>15.423271</v>
      </c>
      <c r="AB29" s="21">
        <v>15.009017</v>
      </c>
      <c r="AC29" s="5">
        <f t="shared" si="22"/>
        <v>4.67480000000009E-2</v>
      </c>
      <c r="AD29" s="5">
        <f t="shared" si="23"/>
        <v>0.16440639999999895</v>
      </c>
      <c r="AE29" s="5">
        <f t="shared" si="24"/>
        <v>3.5385200000002115E-2</v>
      </c>
      <c r="AF29" s="22">
        <v>11.31518650054932</v>
      </c>
      <c r="AG29" s="5"/>
      <c r="AH29" s="5"/>
      <c r="AI29" s="19">
        <v>6.5202859999999996</v>
      </c>
      <c r="AJ29" s="20">
        <v>6.6792299999999996</v>
      </c>
      <c r="AK29" s="20">
        <v>6.7950549999999996</v>
      </c>
      <c r="AL29" s="21">
        <v>7.1110096</v>
      </c>
      <c r="AM29" s="5">
        <f t="shared" si="25"/>
        <v>-2.1969469999999269E-2</v>
      </c>
      <c r="AN29" s="5">
        <f t="shared" si="26"/>
        <v>-5.4896550000001376E-2</v>
      </c>
      <c r="AO29" s="5">
        <f t="shared" si="27"/>
        <v>-1.3482040000000417E-2</v>
      </c>
      <c r="AP29" s="22">
        <v>6.8353028297424316</v>
      </c>
      <c r="AR29" s="5"/>
      <c r="AS29" s="19">
        <v>19.944544</v>
      </c>
      <c r="AT29" s="20">
        <v>20.118390999999999</v>
      </c>
      <c r="AU29" s="20">
        <v>20.051670000000001</v>
      </c>
      <c r="AV29" s="21">
        <v>20.104616</v>
      </c>
      <c r="AW29" s="5">
        <f t="shared" si="28"/>
        <v>4.9367799999998851E-2</v>
      </c>
      <c r="AX29" s="5">
        <f t="shared" si="29"/>
        <v>2.7115099999996062E-2</v>
      </c>
      <c r="AY29" s="5">
        <f t="shared" si="30"/>
        <v>-3.7206000000011841E-3</v>
      </c>
      <c r="AZ29" s="22">
        <v>13.418187141418461</v>
      </c>
      <c r="BB29" s="5"/>
      <c r="BC29" s="19">
        <v>3.509773</v>
      </c>
      <c r="BD29" s="20">
        <v>3.3782928000000001</v>
      </c>
      <c r="BE29" s="20">
        <v>3.3419601999999999</v>
      </c>
      <c r="BF29" s="21">
        <v>3.3752754</v>
      </c>
      <c r="BG29" s="5">
        <f t="shared" si="31"/>
        <v>0</v>
      </c>
      <c r="BH29" s="5">
        <f t="shared" si="32"/>
        <v>3.7448200000000931E-3</v>
      </c>
      <c r="BI29" s="5">
        <f t="shared" si="33"/>
        <v>-5.340279999999975E-3</v>
      </c>
      <c r="BJ29" s="22">
        <v>3.5532293319702148</v>
      </c>
      <c r="BL29" s="5"/>
      <c r="BM29" s="19">
        <v>4.8381695999999996</v>
      </c>
      <c r="BN29" s="20">
        <v>3.6596972999999999</v>
      </c>
      <c r="BO29" s="20">
        <v>2.2875538</v>
      </c>
      <c r="BP29" s="21">
        <v>2.4238295999999999</v>
      </c>
      <c r="BQ29" s="5">
        <f t="shared" si="34"/>
        <v>-3.1637690000000163E-2</v>
      </c>
      <c r="BR29" s="5">
        <f t="shared" si="35"/>
        <v>0.62041614000000012</v>
      </c>
      <c r="BS29" s="5">
        <f t="shared" si="36"/>
        <v>-0.22369312000000008</v>
      </c>
      <c r="BT29" s="22">
        <v>2.460156917572021</v>
      </c>
      <c r="BV29" s="5"/>
      <c r="BW29" s="19">
        <v>4.9524780000000002</v>
      </c>
      <c r="BX29" s="20">
        <v>4.7730420000000002</v>
      </c>
      <c r="BY29" s="20">
        <v>4.8208270000000004</v>
      </c>
      <c r="BZ29" s="21">
        <v>4.6656747000000003</v>
      </c>
      <c r="CA29" s="5">
        <f t="shared" si="37"/>
        <v>-4.0478260000000432E-2</v>
      </c>
      <c r="CB29" s="5">
        <f t="shared" si="38"/>
        <v>-6.5138499999992661E-3</v>
      </c>
      <c r="CC29" s="5">
        <f t="shared" si="39"/>
        <v>-7.2983699999999985E-3</v>
      </c>
      <c r="CD29" s="22">
        <v>4.5468029975891113</v>
      </c>
      <c r="CI29">
        <v>3.8335990905761719</v>
      </c>
      <c r="CN29">
        <v>2.989956140518188</v>
      </c>
    </row>
    <row r="30" spans="1:92" x14ac:dyDescent="0.25">
      <c r="A30" s="38"/>
      <c r="B30" s="5">
        <v>8</v>
      </c>
      <c r="C30" s="18">
        <v>37</v>
      </c>
      <c r="E30" s="19">
        <v>86.337295999999995</v>
      </c>
      <c r="F30" s="20">
        <v>86.238365000000002</v>
      </c>
      <c r="G30" s="20">
        <v>86.187256000000005</v>
      </c>
      <c r="H30" s="21">
        <v>86.510689999999997</v>
      </c>
      <c r="I30" s="5">
        <f t="shared" si="16"/>
        <v>5.0088399999992816E-2</v>
      </c>
      <c r="J30" s="5">
        <f t="shared" si="17"/>
        <v>-7.7810000000013702E-2</v>
      </c>
      <c r="K30" s="5">
        <f t="shared" si="18"/>
        <v>-6.6635999999817841E-3</v>
      </c>
      <c r="L30" s="22">
        <v>84.964027404785156</v>
      </c>
      <c r="M30" s="5"/>
      <c r="N30" s="5"/>
      <c r="O30" s="19">
        <v>51.193600000000004</v>
      </c>
      <c r="P30" s="20">
        <v>50.480044999999997</v>
      </c>
      <c r="Q30" s="20">
        <v>51.059265000000003</v>
      </c>
      <c r="R30" s="21">
        <v>50.324264999999997</v>
      </c>
      <c r="S30" s="5">
        <f t="shared" si="19"/>
        <v>8.3110300000001303E-2</v>
      </c>
      <c r="T30" s="5">
        <f t="shared" si="20"/>
        <v>0.12185139999998995</v>
      </c>
      <c r="U30" s="5">
        <f t="shared" si="21"/>
        <v>-2.1014399999998545E-2</v>
      </c>
      <c r="V30" s="22">
        <v>60.465625762939453</v>
      </c>
      <c r="W30" s="5"/>
      <c r="X30" s="5"/>
      <c r="Y30" s="19">
        <v>14.079295999999999</v>
      </c>
      <c r="Z30" s="20">
        <v>15.504355</v>
      </c>
      <c r="AA30" s="20">
        <v>15.441565499999999</v>
      </c>
      <c r="AB30" s="21">
        <v>15.003479</v>
      </c>
      <c r="AC30" s="5">
        <f t="shared" si="22"/>
        <v>-6.3124999999999432E-2</v>
      </c>
      <c r="AD30" s="5">
        <f t="shared" si="23"/>
        <v>0.16300139999999885</v>
      </c>
      <c r="AE30" s="5">
        <f t="shared" si="24"/>
        <v>5.3679700000001773E-2</v>
      </c>
      <c r="AF30" s="22">
        <v>11.289176940917971</v>
      </c>
      <c r="AG30" s="5"/>
      <c r="AH30" s="5"/>
      <c r="AI30" s="19">
        <v>6.5003285000000002</v>
      </c>
      <c r="AJ30" s="20">
        <v>6.6662429999999997</v>
      </c>
      <c r="AK30" s="20">
        <v>6.8682359999999996</v>
      </c>
      <c r="AL30" s="21">
        <v>7.1110096</v>
      </c>
      <c r="AM30" s="5">
        <f t="shared" si="25"/>
        <v>-4.1926969999998676E-2</v>
      </c>
      <c r="AN30" s="5">
        <f t="shared" si="26"/>
        <v>-6.7883550000001236E-2</v>
      </c>
      <c r="AO30" s="5">
        <f t="shared" si="27"/>
        <v>5.9698959999999524E-2</v>
      </c>
      <c r="AP30" s="22">
        <v>6.7892022132873544</v>
      </c>
      <c r="AR30" s="5"/>
      <c r="AS30" s="19">
        <v>19.937249999999999</v>
      </c>
      <c r="AT30" s="20">
        <v>20.102920000000001</v>
      </c>
      <c r="AU30" s="20">
        <v>20.051670000000001</v>
      </c>
      <c r="AV30" s="21">
        <v>20.104616</v>
      </c>
      <c r="AW30" s="5">
        <f t="shared" si="28"/>
        <v>4.2073799999997163E-2</v>
      </c>
      <c r="AX30" s="5">
        <f t="shared" si="29"/>
        <v>1.1644099999998048E-2</v>
      </c>
      <c r="AY30" s="5">
        <f t="shared" si="30"/>
        <v>-3.7206000000011841E-3</v>
      </c>
      <c r="AZ30" s="22">
        <v>13.480361938476561</v>
      </c>
      <c r="BB30" s="5"/>
      <c r="BC30" s="19">
        <v>3.509773</v>
      </c>
      <c r="BD30" s="20">
        <v>3.3782928000000001</v>
      </c>
      <c r="BE30" s="20">
        <v>3.3419601999999999</v>
      </c>
      <c r="BF30" s="21">
        <v>3.3752754</v>
      </c>
      <c r="BG30" s="5">
        <f t="shared" si="31"/>
        <v>0</v>
      </c>
      <c r="BH30" s="5">
        <f t="shared" si="32"/>
        <v>3.7448200000000931E-3</v>
      </c>
      <c r="BI30" s="5">
        <f t="shared" si="33"/>
        <v>-5.340279999999975E-3</v>
      </c>
      <c r="BJ30" s="22">
        <v>3.5739514827728271</v>
      </c>
      <c r="BL30" s="5"/>
      <c r="BM30" s="19">
        <v>4.8368440000000001</v>
      </c>
      <c r="BN30" s="20">
        <v>2.7454749999999999</v>
      </c>
      <c r="BO30" s="20">
        <v>2.8596300000000001</v>
      </c>
      <c r="BP30" s="21">
        <v>2.373075</v>
      </c>
      <c r="BQ30" s="5">
        <f t="shared" si="34"/>
        <v>-3.2963289999999645E-2</v>
      </c>
      <c r="BR30" s="5">
        <f t="shared" si="35"/>
        <v>-0.29380615999999993</v>
      </c>
      <c r="BS30" s="5">
        <f t="shared" si="36"/>
        <v>0.34838308000000007</v>
      </c>
      <c r="BT30" s="22">
        <v>2.2916440963745122</v>
      </c>
      <c r="BV30" s="5"/>
      <c r="BW30" s="19">
        <v>5.0217989999999997</v>
      </c>
      <c r="BX30" s="20">
        <v>4.7813600000000003</v>
      </c>
      <c r="BY30" s="20">
        <v>4.8208270000000004</v>
      </c>
      <c r="BZ30" s="21">
        <v>4.6656747000000003</v>
      </c>
      <c r="CA30" s="5">
        <f t="shared" si="37"/>
        <v>2.884273999999909E-2</v>
      </c>
      <c r="CB30" s="5">
        <f t="shared" si="38"/>
        <v>1.8041500000007815E-3</v>
      </c>
      <c r="CC30" s="5">
        <f t="shared" si="39"/>
        <v>-7.2983699999999985E-3</v>
      </c>
      <c r="CD30" s="22">
        <v>4.4243993759155273</v>
      </c>
      <c r="CI30">
        <v>4.2305998802185059</v>
      </c>
      <c r="CN30">
        <v>2.60532546043396</v>
      </c>
    </row>
    <row r="31" spans="1:92" x14ac:dyDescent="0.25">
      <c r="A31" s="38"/>
      <c r="B31" s="5">
        <v>9</v>
      </c>
      <c r="C31" s="18">
        <v>42</v>
      </c>
      <c r="E31" s="19">
        <v>86.288150000000002</v>
      </c>
      <c r="F31" s="20">
        <v>86.238365000000002</v>
      </c>
      <c r="G31" s="20">
        <v>86.164289999999994</v>
      </c>
      <c r="H31" s="21">
        <v>86.574079999999995</v>
      </c>
      <c r="I31" s="5">
        <f t="shared" si="16"/>
        <v>9.4239999999956581E-4</v>
      </c>
      <c r="J31" s="5">
        <f t="shared" si="17"/>
        <v>-7.7810000000013702E-2</v>
      </c>
      <c r="K31" s="5">
        <f t="shared" si="18"/>
        <v>-2.9629599999992706E-2</v>
      </c>
      <c r="L31" s="22">
        <v>85.120185852050781</v>
      </c>
      <c r="M31" s="5"/>
      <c r="N31" s="5"/>
      <c r="O31" s="19">
        <v>51.171382999999999</v>
      </c>
      <c r="P31" s="20">
        <v>50.480044999999997</v>
      </c>
      <c r="Q31" s="20">
        <v>51.154803999999999</v>
      </c>
      <c r="R31" s="21">
        <v>50.386290000000002</v>
      </c>
      <c r="S31" s="5">
        <f t="shared" si="19"/>
        <v>6.0893299999996486E-2</v>
      </c>
      <c r="T31" s="5">
        <f t="shared" si="20"/>
        <v>0.12185139999998995</v>
      </c>
      <c r="U31" s="5">
        <f t="shared" si="21"/>
        <v>7.452459999999661E-2</v>
      </c>
      <c r="V31" s="22">
        <v>60.794559478759773</v>
      </c>
      <c r="W31" s="5"/>
      <c r="X31" s="5"/>
      <c r="Y31" s="19">
        <v>14.144094000000001</v>
      </c>
      <c r="Z31" s="20">
        <v>15.47325</v>
      </c>
      <c r="AA31" s="20">
        <v>15.521008500000001</v>
      </c>
      <c r="AB31" s="21">
        <v>14.951428</v>
      </c>
      <c r="AC31" s="5">
        <f t="shared" si="22"/>
        <v>1.673000000002034E-3</v>
      </c>
      <c r="AD31" s="5">
        <f t="shared" si="23"/>
        <v>0.13189639999999869</v>
      </c>
      <c r="AE31" s="5">
        <f t="shared" si="24"/>
        <v>0.13312270000000304</v>
      </c>
      <c r="AF31" s="22">
        <v>11.3097038269043</v>
      </c>
      <c r="AG31" s="5"/>
      <c r="AH31" s="5"/>
      <c r="AI31" s="19">
        <v>6.540845</v>
      </c>
      <c r="AJ31" s="20">
        <v>6.6662429999999997</v>
      </c>
      <c r="AK31" s="20">
        <v>6.8146769999999997</v>
      </c>
      <c r="AL31" s="21">
        <v>7.1110096</v>
      </c>
      <c r="AM31" s="5">
        <f t="shared" si="25"/>
        <v>-1.4104699999988313E-3</v>
      </c>
      <c r="AN31" s="5">
        <f t="shared" si="26"/>
        <v>-6.7883550000001236E-2</v>
      </c>
      <c r="AO31" s="5">
        <f t="shared" si="27"/>
        <v>6.1399599999996113E-3</v>
      </c>
      <c r="AP31" s="22">
        <v>6.8250417709350586</v>
      </c>
      <c r="AR31" s="5"/>
      <c r="AS31" s="19">
        <v>19.937249999999999</v>
      </c>
      <c r="AT31" s="20">
        <v>20.102920000000001</v>
      </c>
      <c r="AU31" s="20">
        <v>20.051670000000001</v>
      </c>
      <c r="AV31" s="21">
        <v>20.104616</v>
      </c>
      <c r="AW31" s="5">
        <f t="shared" si="28"/>
        <v>4.2073799999997163E-2</v>
      </c>
      <c r="AX31" s="5">
        <f t="shared" si="29"/>
        <v>1.1644099999998048E-2</v>
      </c>
      <c r="AY31" s="5">
        <f t="shared" si="30"/>
        <v>-3.7206000000011841E-3</v>
      </c>
      <c r="AZ31" s="22">
        <v>13.475143432617189</v>
      </c>
      <c r="BB31" s="5"/>
      <c r="BC31" s="19">
        <v>3.509773</v>
      </c>
      <c r="BD31" s="20">
        <v>3.3782928000000001</v>
      </c>
      <c r="BE31" s="20">
        <v>3.3419601999999999</v>
      </c>
      <c r="BF31" s="21">
        <v>3.3752754</v>
      </c>
      <c r="BG31" s="5">
        <f t="shared" si="31"/>
        <v>0</v>
      </c>
      <c r="BH31" s="5">
        <f t="shared" si="32"/>
        <v>3.7448200000000931E-3</v>
      </c>
      <c r="BI31" s="5">
        <f t="shared" si="33"/>
        <v>-5.340279999999975E-3</v>
      </c>
      <c r="BJ31" s="22">
        <v>4.2121977806091309</v>
      </c>
      <c r="BL31" s="5"/>
      <c r="BM31" s="19">
        <v>4.8089459999999997</v>
      </c>
      <c r="BN31" s="20">
        <v>2.7454749999999999</v>
      </c>
      <c r="BO31" s="20">
        <v>2.8596300000000001</v>
      </c>
      <c r="BP31" s="21">
        <v>2.4238295999999999</v>
      </c>
      <c r="BQ31" s="5">
        <f t="shared" si="34"/>
        <v>-6.0861290000000068E-2</v>
      </c>
      <c r="BR31" s="5">
        <f t="shared" si="35"/>
        <v>-0.29380615999999993</v>
      </c>
      <c r="BS31" s="5">
        <f t="shared" si="36"/>
        <v>0.34838308000000007</v>
      </c>
      <c r="BT31" s="22">
        <v>2.624646902084351</v>
      </c>
      <c r="BV31" s="5"/>
      <c r="BW31" s="19">
        <v>5.019183</v>
      </c>
      <c r="BX31" s="20">
        <v>4.7813600000000003</v>
      </c>
      <c r="BY31" s="20">
        <v>4.8208270000000004</v>
      </c>
      <c r="BZ31" s="21">
        <v>4.6656747000000003</v>
      </c>
      <c r="CA31" s="5">
        <f t="shared" si="37"/>
        <v>2.622673999999936E-2</v>
      </c>
      <c r="CB31" s="5">
        <f t="shared" si="38"/>
        <v>1.8041500000007815E-3</v>
      </c>
      <c r="CC31" s="5">
        <f t="shared" si="39"/>
        <v>-7.2983699999999985E-3</v>
      </c>
      <c r="CD31" s="22">
        <v>4.68572998046875</v>
      </c>
      <c r="CI31">
        <v>4.2189545631408691</v>
      </c>
      <c r="CN31">
        <v>2.6675763130187988</v>
      </c>
    </row>
    <row r="32" spans="1:92" x14ac:dyDescent="0.25">
      <c r="A32" s="39"/>
      <c r="B32" s="23">
        <v>10</v>
      </c>
      <c r="C32" s="24">
        <v>47</v>
      </c>
      <c r="E32" s="25">
        <v>86.235373999999993</v>
      </c>
      <c r="F32" s="26">
        <v>86.238039999999998</v>
      </c>
      <c r="G32" s="26">
        <v>86.190799999999996</v>
      </c>
      <c r="H32" s="27">
        <v>86.032870000000003</v>
      </c>
      <c r="I32" s="23">
        <f t="shared" si="16"/>
        <v>-5.1833600000009028E-2</v>
      </c>
      <c r="J32" s="23">
        <f t="shared" si="17"/>
        <v>-7.8135000000017385E-2</v>
      </c>
      <c r="K32" s="23">
        <f t="shared" si="18"/>
        <v>-3.1195999999908963E-3</v>
      </c>
      <c r="L32" s="28">
        <v>84.941558837890625</v>
      </c>
      <c r="M32" s="5"/>
      <c r="N32" s="5"/>
      <c r="O32" s="25">
        <v>51.171382999999999</v>
      </c>
      <c r="P32" s="26">
        <v>50.513129999999997</v>
      </c>
      <c r="Q32" s="26">
        <v>51.250590000000003</v>
      </c>
      <c r="R32" s="27">
        <v>50.332745000000003</v>
      </c>
      <c r="S32" s="23">
        <f t="shared" si="19"/>
        <v>6.0893299999996486E-2</v>
      </c>
      <c r="T32" s="23">
        <f t="shared" si="20"/>
        <v>0.15493639999998976</v>
      </c>
      <c r="U32" s="23">
        <f t="shared" si="21"/>
        <v>0.17031060000000053</v>
      </c>
      <c r="V32" s="28">
        <v>60.769504547119141</v>
      </c>
      <c r="W32" s="5"/>
      <c r="X32" s="5"/>
      <c r="Y32" s="25">
        <v>14.132059999999999</v>
      </c>
      <c r="Z32" s="26">
        <v>15.447585</v>
      </c>
      <c r="AA32" s="26">
        <v>15.524399000000001</v>
      </c>
      <c r="AB32" s="27">
        <v>15.172575999999999</v>
      </c>
      <c r="AC32" s="23">
        <f t="shared" si="22"/>
        <v>-1.0360999999999621E-2</v>
      </c>
      <c r="AD32" s="23">
        <f t="shared" si="23"/>
        <v>0.10623139999999864</v>
      </c>
      <c r="AE32" s="23">
        <f t="shared" si="24"/>
        <v>0.13651320000000311</v>
      </c>
      <c r="AF32" s="28">
        <v>11.331403732299799</v>
      </c>
      <c r="AG32" s="5"/>
      <c r="AH32" s="5"/>
      <c r="AI32" s="25">
        <v>6.8117229999999998</v>
      </c>
      <c r="AJ32" s="26">
        <v>6.6822124000000001</v>
      </c>
      <c r="AK32" s="26">
        <v>6.6691070000000003</v>
      </c>
      <c r="AL32" s="27">
        <v>7.0694210000000002</v>
      </c>
      <c r="AM32" s="23">
        <f t="shared" si="25"/>
        <v>0.2694675300000009</v>
      </c>
      <c r="AN32" s="23">
        <f t="shared" si="26"/>
        <v>-5.191415000000088E-2</v>
      </c>
      <c r="AO32" s="23">
        <f t="shared" si="27"/>
        <v>-0.1394300399999997</v>
      </c>
      <c r="AP32" s="28">
        <v>6.782111644744873</v>
      </c>
      <c r="AR32" s="5"/>
      <c r="AS32" s="25">
        <v>19.717865</v>
      </c>
      <c r="AT32" s="26">
        <v>20.102920000000001</v>
      </c>
      <c r="AU32" s="26">
        <v>20.064071999999999</v>
      </c>
      <c r="AV32" s="27">
        <v>20.104616</v>
      </c>
      <c r="AW32" s="23">
        <f t="shared" si="28"/>
        <v>-0.17731120000000189</v>
      </c>
      <c r="AX32" s="23">
        <f t="shared" si="29"/>
        <v>1.1644099999998048E-2</v>
      </c>
      <c r="AY32" s="23">
        <f t="shared" si="30"/>
        <v>8.6813999999968416E-3</v>
      </c>
      <c r="AZ32" s="28">
        <v>13.37870597839356</v>
      </c>
      <c r="BB32" s="5"/>
      <c r="BC32" s="25">
        <v>3.509773</v>
      </c>
      <c r="BD32" s="26">
        <v>3.3782928000000001</v>
      </c>
      <c r="BE32" s="26">
        <v>3.3686615999999998</v>
      </c>
      <c r="BF32" s="27">
        <v>3.3752754</v>
      </c>
      <c r="BG32" s="23">
        <f t="shared" si="31"/>
        <v>0</v>
      </c>
      <c r="BH32" s="23">
        <f t="shared" si="32"/>
        <v>3.7448200000000931E-3</v>
      </c>
      <c r="BI32" s="23">
        <f t="shared" si="33"/>
        <v>2.13611199999999E-2</v>
      </c>
      <c r="BJ32" s="28">
        <v>4.1946253776550293</v>
      </c>
      <c r="BL32" s="5"/>
      <c r="BM32" s="25">
        <v>4.8089459999999997</v>
      </c>
      <c r="BN32" s="26">
        <v>2.4547273999999999</v>
      </c>
      <c r="BO32" s="26">
        <v>2.2875538</v>
      </c>
      <c r="BP32" s="27">
        <v>2.7815576000000002</v>
      </c>
      <c r="BQ32" s="23">
        <f t="shared" si="34"/>
        <v>-6.0861290000000068E-2</v>
      </c>
      <c r="BR32" s="23">
        <f t="shared" si="35"/>
        <v>-0.58455375999999992</v>
      </c>
      <c r="BS32" s="23">
        <f t="shared" si="36"/>
        <v>-0.22369312000000008</v>
      </c>
      <c r="BT32" s="28">
        <v>2.4235444068908691</v>
      </c>
      <c r="BV32" s="5"/>
      <c r="BW32" s="25">
        <v>4.9377389999999997</v>
      </c>
      <c r="BX32" s="26">
        <v>4.7813600000000003</v>
      </c>
      <c r="BY32" s="26">
        <v>4.8287015000000002</v>
      </c>
      <c r="BZ32" s="27">
        <v>4.6599269999999997</v>
      </c>
      <c r="CA32" s="23">
        <f t="shared" si="37"/>
        <v>-5.5217260000000934E-2</v>
      </c>
      <c r="CB32" s="23">
        <f t="shared" si="38"/>
        <v>1.8041500000007815E-3</v>
      </c>
      <c r="CC32" s="23">
        <f t="shared" si="39"/>
        <v>5.7612999999978598E-4</v>
      </c>
      <c r="CD32" s="28">
        <v>4.5592260360717773</v>
      </c>
      <c r="CI32">
        <v>4.131556510925293</v>
      </c>
      <c r="CN32">
        <v>2.6654260158538818</v>
      </c>
    </row>
    <row r="33" spans="1:92" x14ac:dyDescent="0.25">
      <c r="A33" s="37">
        <v>3</v>
      </c>
      <c r="B33" s="12">
        <v>1</v>
      </c>
      <c r="C33" s="13">
        <v>3</v>
      </c>
      <c r="E33" s="14">
        <v>87.069540000000003</v>
      </c>
      <c r="F33" s="15">
        <v>87.222949999999997</v>
      </c>
      <c r="G33" s="15">
        <v>87.094300000000004</v>
      </c>
      <c r="H33" s="16">
        <v>86.693954000000005</v>
      </c>
      <c r="I33" s="12">
        <f t="shared" ref="I33:I42" si="40">IF(OR(E33="",E33="NaN"),"",E33-AVERAGE(E$33:E$42))</f>
        <v>-3.3577399999998647E-2</v>
      </c>
      <c r="J33" s="12">
        <f t="shared" ref="J33:J42" si="41">IF(OR(F33="",F33="NaN"),"",F33-AVERAGE(F$33:F$42))</f>
        <v>9.2409899999992717E-2</v>
      </c>
      <c r="K33" s="12">
        <f t="shared" ref="K33:K42" si="42">IF(OR(G33="",G33="NaN"),"",G33-AVERAGE(G$33:G$42))</f>
        <v>-3.8550000000014961E-3</v>
      </c>
      <c r="L33" s="17">
        <v>84.946609497070313</v>
      </c>
      <c r="M33" s="5"/>
      <c r="N33" s="5"/>
      <c r="O33" s="14">
        <v>53.594883000000003</v>
      </c>
      <c r="P33" s="15">
        <v>52.856830000000002</v>
      </c>
      <c r="Q33" s="15">
        <v>52.894269999999999</v>
      </c>
      <c r="R33" s="16">
        <v>53.622860000000003</v>
      </c>
      <c r="S33" s="12">
        <f t="shared" ref="S33:S42" si="43">IF(OR(O33="",O33="NaN"),"",O33-AVERAGE(O$33:O$42))</f>
        <v>-0.14922390000000263</v>
      </c>
      <c r="T33" s="12">
        <f t="shared" ref="T33:T42" si="44">IF(OR(P33="",P33="NaN"),"",P33-AVERAGE(P$33:P$42))</f>
        <v>-0.32230249999999927</v>
      </c>
      <c r="U33" s="12">
        <f t="shared" ref="U33:U42" si="45">IF(OR(Q33="",Q33="NaN"),"",Q33-AVERAGE(Q$33:Q$42))</f>
        <v>-0.23360269999999161</v>
      </c>
      <c r="V33" s="17">
        <v>60.568191528320313</v>
      </c>
      <c r="W33" s="5"/>
      <c r="X33" s="5"/>
      <c r="Y33" s="14">
        <v>10.17019</v>
      </c>
      <c r="Z33" s="15">
        <v>10.490961</v>
      </c>
      <c r="AA33" s="15">
        <v>11.650579</v>
      </c>
      <c r="AB33" s="16">
        <v>11.12312</v>
      </c>
      <c r="AC33" s="12">
        <f t="shared" ref="AC33:AC42" si="46">IF(OR(Y33="",Y33="NaN"),"",Y33-AVERAGE(Y$33:Y$42))</f>
        <v>-0.24459290000000244</v>
      </c>
      <c r="AD33" s="12">
        <f t="shared" ref="AD33:AD42" si="47">IF(OR(Z33="",Z33="NaN"),"",Z33-AVERAGE(Z$33:Z$42))</f>
        <v>-0.39054340000000032</v>
      </c>
      <c r="AE33" s="12">
        <f t="shared" ref="AE33:AE42" si="48">IF(OR(AA33="",AA33="NaN"),"",AA33-AVERAGE(AA$33:AA$42))</f>
        <v>-0.79226290000000077</v>
      </c>
      <c r="AF33" s="17">
        <v>11.593785285949711</v>
      </c>
      <c r="AG33" s="5"/>
      <c r="AH33" s="5"/>
      <c r="AI33" s="14">
        <v>6.5782410000000002</v>
      </c>
      <c r="AJ33" s="15">
        <v>6.8047104000000003</v>
      </c>
      <c r="AK33" s="15">
        <v>6.6729417</v>
      </c>
      <c r="AL33" s="16">
        <v>6.7334820000000004</v>
      </c>
      <c r="AM33" s="12">
        <f t="shared" ref="AM33:AM42" si="49">IF(OR(AI33="",AI33="NaN"),"",AI33-AVERAGE(AI$33:AI$42))</f>
        <v>1.1691630000000508E-2</v>
      </c>
      <c r="AN33" s="12">
        <f t="shared" ref="AN33:AN42" si="50">IF(OR(AJ33="",AJ33="NaN"),"",AJ33-AVERAGE(AJ$33:AJ$42))</f>
        <v>0.13346656000000046</v>
      </c>
      <c r="AO33" s="12">
        <f t="shared" ref="AO33:AO42" si="51">IF(OR(AK33="",AK33="NaN"),"",AK33-AVERAGE(AK$33:AK$42))</f>
        <v>7.2474890000001402E-2</v>
      </c>
      <c r="AP33" s="17">
        <v>6.6063270568847656</v>
      </c>
      <c r="AR33" s="5"/>
      <c r="AS33" s="14">
        <v>19.235095999999999</v>
      </c>
      <c r="AT33" s="15">
        <v>19.248305999999999</v>
      </c>
      <c r="AU33" s="15">
        <v>19.145392999999999</v>
      </c>
      <c r="AV33" s="16">
        <v>19.599163000000001</v>
      </c>
      <c r="AW33" s="12">
        <f t="shared" ref="AW33:AW42" si="52">IF(OR(AS33="",AS33="NaN"),"",AS33-AVERAGE(AS$33:AS$42))</f>
        <v>-0.44180090000000405</v>
      </c>
      <c r="AX33" s="12">
        <f t="shared" ref="AX33:AX42" si="53">IF(OR(AT33="",AT33="NaN"),"",AT33-AVERAGE(AT$33:AT$42))</f>
        <v>-0.38630999999999815</v>
      </c>
      <c r="AY33" s="12">
        <f t="shared" ref="AY33:AY42" si="54">IF(OR(AU33="",AU33="NaN"),"",AU33-AVERAGE(AU$33:AU$42))</f>
        <v>-0.19929460000000532</v>
      </c>
      <c r="AZ33" s="17">
        <v>13.55662250518799</v>
      </c>
      <c r="BB33" s="5"/>
      <c r="BC33" s="14">
        <v>2.8464048000000002</v>
      </c>
      <c r="BD33" s="15">
        <v>2.8469380000000002</v>
      </c>
      <c r="BE33" s="15">
        <v>2.8441448</v>
      </c>
      <c r="BF33" s="16">
        <v>2.8395598</v>
      </c>
      <c r="BG33" s="12">
        <f t="shared" ref="BG33:BG42" si="55">IF(OR(BC33="",BC33="NaN"),"",BC33-AVERAGE(BC$33:BC$42))</f>
        <v>9.55079999999775E-4</v>
      </c>
      <c r="BH33" s="12">
        <f t="shared" ref="BH33:BH42" si="56">IF(OR(BD33="",BD33="NaN"),"",BD33-AVERAGE(BD$33:BD$42))</f>
        <v>-4.6941999999998707E-3</v>
      </c>
      <c r="BI33" s="12">
        <f t="shared" ref="BI33:BI42" si="57">IF(OR(BE33="",BE33="NaN"),"",BE33-AVERAGE(BE$33:BE$42))</f>
        <v>-4.9192500000000194E-2</v>
      </c>
      <c r="BJ33" s="17">
        <v>4.2036666870117188</v>
      </c>
      <c r="BL33" s="5"/>
      <c r="BM33" s="14">
        <v>2.3953647999999998</v>
      </c>
      <c r="BN33" s="15">
        <v>2.2953475000000001</v>
      </c>
      <c r="BO33" s="15">
        <v>2.4631525999999999</v>
      </c>
      <c r="BP33" s="16">
        <v>2.3998992000000001</v>
      </c>
      <c r="BQ33" s="12">
        <f t="shared" ref="BQ33:BQ42" si="58">IF(OR(BM33="",BM33="NaN"),"",BM33-AVERAGE(BM$33:BM$42))</f>
        <v>0.12656690999999975</v>
      </c>
      <c r="BR33" s="12">
        <f t="shared" ref="BR33:BR42" si="59">IF(OR(BN33="",BN33="NaN"),"",BN33-AVERAGE(BN$33:BN$42))</f>
        <v>-1.6114329999999732E-2</v>
      </c>
      <c r="BS33" s="12">
        <f t="shared" ref="BS33:BS42" si="60">IF(OR(BO33="",BO33="NaN"),"",BO33-AVERAGE(BO$33:BO$42))</f>
        <v>0.13774758000000009</v>
      </c>
      <c r="BT33" s="17">
        <v>2.5212943553924561</v>
      </c>
      <c r="BV33" s="5"/>
      <c r="BW33" s="14">
        <v>5.7948149999999998</v>
      </c>
      <c r="BX33" s="15">
        <v>5.6293730000000002</v>
      </c>
      <c r="BY33" s="15">
        <v>5.3756510000000004</v>
      </c>
      <c r="BZ33" s="16">
        <v>5.1078039999999998</v>
      </c>
      <c r="CA33" s="12">
        <f t="shared" ref="CA33:CA42" si="61">IF(OR(BW33="",BW33="NaN"),"",BW33-AVERAGE(BW$33:BW$42))</f>
        <v>0.24268503999999957</v>
      </c>
      <c r="CB33" s="12">
        <f t="shared" ref="CB33:CB42" si="62">IF(OR(BX33="",BX33="NaN"),"",BX33-AVERAGE(BX$33:BX$42))</f>
        <v>0.17935909999999922</v>
      </c>
      <c r="CC33" s="12">
        <f t="shared" ref="CC33:CC42" si="63">IF(OR(BY33="",BY33="NaN"),"",BY33-AVERAGE(BY$33:BY$42))</f>
        <v>0.16297688000000043</v>
      </c>
      <c r="CD33" s="17">
        <v>4.2597885131835938</v>
      </c>
      <c r="CI33">
        <v>4.0001935958862314</v>
      </c>
      <c r="CN33">
        <v>2.6942834854125981</v>
      </c>
    </row>
    <row r="34" spans="1:92" x14ac:dyDescent="0.25">
      <c r="A34" s="38"/>
      <c r="B34" s="5">
        <v>2</v>
      </c>
      <c r="C34" s="18">
        <v>8</v>
      </c>
      <c r="E34" s="19">
        <v>87.067970000000003</v>
      </c>
      <c r="F34" s="20">
        <v>87.167289999999994</v>
      </c>
      <c r="G34" s="20">
        <v>87.170569999999998</v>
      </c>
      <c r="H34" s="21">
        <v>86.707549999999998</v>
      </c>
      <c r="I34" s="5">
        <f t="shared" si="40"/>
        <v>-3.5147399999999607E-2</v>
      </c>
      <c r="J34" s="5">
        <f t="shared" si="41"/>
        <v>3.6749899999989566E-2</v>
      </c>
      <c r="K34" s="5">
        <f t="shared" si="42"/>
        <v>7.2414999999992347E-2</v>
      </c>
      <c r="L34" s="22">
        <v>85.044418334960938</v>
      </c>
      <c r="M34" s="5"/>
      <c r="N34" s="5"/>
      <c r="O34" s="19">
        <v>53.712874999999997</v>
      </c>
      <c r="P34" s="20">
        <v>52.915512</v>
      </c>
      <c r="Q34" s="20">
        <v>52.71857</v>
      </c>
      <c r="R34" s="21">
        <v>54.183979999999998</v>
      </c>
      <c r="S34" s="5">
        <f t="shared" si="43"/>
        <v>-3.123190000000875E-2</v>
      </c>
      <c r="T34" s="5">
        <f t="shared" si="44"/>
        <v>-0.26362050000000181</v>
      </c>
      <c r="U34" s="5">
        <f t="shared" si="45"/>
        <v>-0.40930269999999069</v>
      </c>
      <c r="V34" s="22">
        <v>60.668766021728523</v>
      </c>
      <c r="W34" s="5"/>
      <c r="X34" s="5"/>
      <c r="Y34" s="19">
        <v>9.9856660000000002</v>
      </c>
      <c r="Z34" s="20">
        <v>11.064218</v>
      </c>
      <c r="AA34" s="20">
        <v>11.591492000000001</v>
      </c>
      <c r="AB34" s="21">
        <v>11.140421999999999</v>
      </c>
      <c r="AC34" s="5">
        <f t="shared" si="46"/>
        <v>-0.42911690000000213</v>
      </c>
      <c r="AD34" s="5">
        <f t="shared" si="47"/>
        <v>0.18271359999999959</v>
      </c>
      <c r="AE34" s="5">
        <f t="shared" si="48"/>
        <v>-0.85134990000000066</v>
      </c>
      <c r="AF34" s="22">
        <v>11.369882583618161</v>
      </c>
      <c r="AG34" s="5"/>
      <c r="AH34" s="5"/>
      <c r="AI34" s="19">
        <v>6.5730256999999996</v>
      </c>
      <c r="AJ34" s="20">
        <v>6.6276693</v>
      </c>
      <c r="AK34" s="20">
        <v>6.7298245000000003</v>
      </c>
      <c r="AL34" s="21">
        <v>6.7029195000000001</v>
      </c>
      <c r="AM34" s="5">
        <f t="shared" si="49"/>
        <v>6.4763299999999191E-3</v>
      </c>
      <c r="AN34" s="5">
        <f t="shared" si="50"/>
        <v>-4.3574539999999828E-2</v>
      </c>
      <c r="AO34" s="5">
        <f t="shared" si="51"/>
        <v>0.12935769000000175</v>
      </c>
      <c r="AP34" s="22">
        <v>6.8312191963195801</v>
      </c>
      <c r="AR34" s="5"/>
      <c r="AS34" s="19">
        <v>19.273009999999999</v>
      </c>
      <c r="AT34" s="20">
        <v>19.595224000000002</v>
      </c>
      <c r="AU34" s="20">
        <v>19.256696999999999</v>
      </c>
      <c r="AV34" s="21">
        <v>19.899056999999999</v>
      </c>
      <c r="AW34" s="5">
        <f t="shared" si="52"/>
        <v>-0.40388690000000338</v>
      </c>
      <c r="AX34" s="5">
        <f t="shared" si="53"/>
        <v>-3.9391999999995875E-2</v>
      </c>
      <c r="AY34" s="5">
        <f t="shared" si="54"/>
        <v>-8.7990600000004804E-2</v>
      </c>
      <c r="AZ34" s="22">
        <v>13.241203308105471</v>
      </c>
      <c r="BB34" s="5"/>
      <c r="BC34" s="19">
        <v>2.8509340000000001</v>
      </c>
      <c r="BD34" s="20">
        <v>2.8516211999999999</v>
      </c>
      <c r="BE34" s="20">
        <v>2.8345392</v>
      </c>
      <c r="BF34" s="21">
        <v>2.8395598</v>
      </c>
      <c r="BG34" s="5">
        <f t="shared" si="55"/>
        <v>5.484279999999675E-3</v>
      </c>
      <c r="BH34" s="5">
        <f t="shared" si="56"/>
        <v>-1.100000000020529E-5</v>
      </c>
      <c r="BI34" s="5">
        <f t="shared" si="57"/>
        <v>-5.8798100000000186E-2</v>
      </c>
      <c r="BJ34" s="22">
        <v>4.1946253776550293</v>
      </c>
      <c r="BL34" s="5"/>
      <c r="BM34" s="19">
        <v>2.3573089</v>
      </c>
      <c r="BN34" s="20">
        <v>2.2199235000000002</v>
      </c>
      <c r="BO34" s="20">
        <v>2.3598778</v>
      </c>
      <c r="BP34" s="21">
        <v>2.3594116999999999</v>
      </c>
      <c r="BQ34" s="5">
        <f t="shared" si="58"/>
        <v>8.8511009999999946E-2</v>
      </c>
      <c r="BR34" s="5">
        <f t="shared" si="59"/>
        <v>-9.1538329999999668E-2</v>
      </c>
      <c r="BS34" s="5">
        <f t="shared" si="60"/>
        <v>3.4472780000000203E-2</v>
      </c>
      <c r="BT34" s="22">
        <v>2.3718886375427251</v>
      </c>
      <c r="BV34" s="5"/>
      <c r="BW34" s="19">
        <v>5.6930430000000003</v>
      </c>
      <c r="BX34" s="20">
        <v>5.5038285</v>
      </c>
      <c r="BY34" s="20">
        <v>5.3006615999999998</v>
      </c>
      <c r="BZ34" s="21">
        <v>5.0579934</v>
      </c>
      <c r="CA34" s="5">
        <f t="shared" si="61"/>
        <v>0.14091304000000004</v>
      </c>
      <c r="CB34" s="5">
        <f t="shared" si="62"/>
        <v>5.3814599999999047E-2</v>
      </c>
      <c r="CC34" s="5">
        <f t="shared" si="63"/>
        <v>8.7987479999999785E-2</v>
      </c>
      <c r="CD34" s="22">
        <v>4.5513849258422852</v>
      </c>
      <c r="CI34">
        <v>4.043677806854248</v>
      </c>
      <c r="CN34">
        <v>2.4472286701202401</v>
      </c>
    </row>
    <row r="35" spans="1:92" x14ac:dyDescent="0.25">
      <c r="A35" s="38"/>
      <c r="B35" s="5">
        <v>3</v>
      </c>
      <c r="C35" s="18">
        <v>13</v>
      </c>
      <c r="E35" s="19">
        <v>87.088530000000006</v>
      </c>
      <c r="F35" s="20">
        <v>87.172134</v>
      </c>
      <c r="G35" s="20">
        <v>87.054633999999993</v>
      </c>
      <c r="H35" s="21">
        <v>86.734340000000003</v>
      </c>
      <c r="I35" s="5">
        <f t="shared" si="40"/>
        <v>-1.4587399999996364E-2</v>
      </c>
      <c r="J35" s="5">
        <f t="shared" si="41"/>
        <v>4.1593899999995187E-2</v>
      </c>
      <c r="K35" s="5">
        <f t="shared" si="42"/>
        <v>-4.3521000000012577E-2</v>
      </c>
      <c r="L35" s="22">
        <v>85.158523559570313</v>
      </c>
      <c r="M35" s="5"/>
      <c r="N35" s="5"/>
      <c r="O35" s="19">
        <v>53.573734000000002</v>
      </c>
      <c r="P35" s="20">
        <v>53.0105</v>
      </c>
      <c r="Q35" s="20">
        <v>52.986939999999997</v>
      </c>
      <c r="R35" s="21">
        <v>54.240192</v>
      </c>
      <c r="S35" s="5">
        <f t="shared" si="43"/>
        <v>-0.17037290000000382</v>
      </c>
      <c r="T35" s="5">
        <f t="shared" si="44"/>
        <v>-0.16863250000000107</v>
      </c>
      <c r="U35" s="5">
        <f t="shared" si="45"/>
        <v>-0.14093269999999336</v>
      </c>
      <c r="V35" s="22">
        <v>60.418991088867188</v>
      </c>
      <c r="W35" s="5"/>
      <c r="X35" s="5"/>
      <c r="Y35" s="19">
        <v>10.338251</v>
      </c>
      <c r="Z35" s="20">
        <v>10.8351145</v>
      </c>
      <c r="AA35" s="20">
        <v>12.418768</v>
      </c>
      <c r="AB35" s="21">
        <v>11.000417000000001</v>
      </c>
      <c r="AC35" s="5">
        <f t="shared" si="46"/>
        <v>-7.6531900000002651E-2</v>
      </c>
      <c r="AD35" s="5">
        <f t="shared" si="47"/>
        <v>-4.6389900000001205E-2</v>
      </c>
      <c r="AE35" s="5">
        <f t="shared" si="48"/>
        <v>-2.4073900000001203E-2</v>
      </c>
      <c r="AF35" s="22">
        <v>11.453647613525391</v>
      </c>
      <c r="AG35" s="5"/>
      <c r="AH35" s="5"/>
      <c r="AI35" s="19">
        <v>6.5738954999999999</v>
      </c>
      <c r="AJ35" s="20">
        <v>6.6144904999999996</v>
      </c>
      <c r="AK35" s="20">
        <v>6.6036023999999998</v>
      </c>
      <c r="AL35" s="21">
        <v>6.7135816000000004</v>
      </c>
      <c r="AM35" s="5">
        <f t="shared" si="49"/>
        <v>7.3461300000001728E-3</v>
      </c>
      <c r="AN35" s="5">
        <f t="shared" si="50"/>
        <v>-5.6753340000000208E-2</v>
      </c>
      <c r="AO35" s="5">
        <f t="shared" si="51"/>
        <v>3.1355900000011871E-3</v>
      </c>
      <c r="AP35" s="22">
        <v>6.6808228492736816</v>
      </c>
      <c r="AR35" s="5"/>
      <c r="AS35" s="19">
        <v>19.789449999999999</v>
      </c>
      <c r="AT35" s="20">
        <v>19.668415</v>
      </c>
      <c r="AU35" s="20">
        <v>19.284082000000001</v>
      </c>
      <c r="AV35" s="21">
        <v>19.918012999999998</v>
      </c>
      <c r="AW35" s="5">
        <f t="shared" si="52"/>
        <v>0.11255309999999596</v>
      </c>
      <c r="AX35" s="5">
        <f t="shared" si="53"/>
        <v>3.3799000000001911E-2</v>
      </c>
      <c r="AY35" s="5">
        <f t="shared" si="54"/>
        <v>-6.0605600000002369E-2</v>
      </c>
      <c r="AZ35" s="22">
        <v>13.590052604675289</v>
      </c>
      <c r="BB35" s="5"/>
      <c r="BC35" s="19">
        <v>2.8412662000000002</v>
      </c>
      <c r="BD35" s="20">
        <v>2.8516211999999999</v>
      </c>
      <c r="BE35" s="20">
        <v>2.866949</v>
      </c>
      <c r="BF35" s="21">
        <v>2.8395598</v>
      </c>
      <c r="BG35" s="5">
        <f t="shared" si="55"/>
        <v>-4.1835200000002182E-3</v>
      </c>
      <c r="BH35" s="5">
        <f t="shared" si="56"/>
        <v>-1.100000000020529E-5</v>
      </c>
      <c r="BI35" s="5">
        <f t="shared" si="57"/>
        <v>-2.6388300000000253E-2</v>
      </c>
      <c r="BJ35" s="22">
        <v>4.2163424491882324</v>
      </c>
      <c r="BL35" s="5"/>
      <c r="BM35" s="19">
        <v>2.2961328000000001</v>
      </c>
      <c r="BN35" s="20">
        <v>2.3689585000000002</v>
      </c>
      <c r="BO35" s="20">
        <v>2.291172</v>
      </c>
      <c r="BP35" s="21">
        <v>2.212367</v>
      </c>
      <c r="BQ35" s="5">
        <f t="shared" si="58"/>
        <v>2.733490999999999E-2</v>
      </c>
      <c r="BR35" s="5">
        <f t="shared" si="59"/>
        <v>5.7496670000000361E-2</v>
      </c>
      <c r="BS35" s="5">
        <f t="shared" si="60"/>
        <v>-3.4233019999999836E-2</v>
      </c>
      <c r="BT35" s="22">
        <v>2.754292488098145</v>
      </c>
      <c r="BV35" s="5"/>
      <c r="BW35" s="19">
        <v>5.3158813</v>
      </c>
      <c r="BX35" s="20">
        <v>5.4792560000000003</v>
      </c>
      <c r="BY35" s="20">
        <v>5.2127509999999999</v>
      </c>
      <c r="BZ35" s="21">
        <v>5.0616775000000001</v>
      </c>
      <c r="CA35" s="5">
        <f t="shared" si="61"/>
        <v>-0.23624866000000022</v>
      </c>
      <c r="CB35" s="5">
        <f t="shared" si="62"/>
        <v>2.9242099999999382E-2</v>
      </c>
      <c r="CC35" s="5">
        <f t="shared" si="63"/>
        <v>7.6879999999945881E-5</v>
      </c>
      <c r="CD35" s="22">
        <v>4.0003385543823242</v>
      </c>
      <c r="CI35">
        <v>4.4434375762939453</v>
      </c>
      <c r="CN35">
        <v>2.5300178527832031</v>
      </c>
    </row>
    <row r="36" spans="1:92" x14ac:dyDescent="0.25">
      <c r="A36" s="38"/>
      <c r="B36" s="5">
        <v>4</v>
      </c>
      <c r="C36" s="18">
        <v>18</v>
      </c>
      <c r="E36" s="19">
        <v>87.074129999999997</v>
      </c>
      <c r="F36" s="20">
        <v>87.172134</v>
      </c>
      <c r="G36" s="20">
        <v>87.066839999999999</v>
      </c>
      <c r="H36" s="21">
        <v>86.754615999999999</v>
      </c>
      <c r="I36" s="5">
        <f t="shared" si="40"/>
        <v>-2.8987400000005437E-2</v>
      </c>
      <c r="J36" s="5">
        <f t="shared" si="41"/>
        <v>4.1593899999995187E-2</v>
      </c>
      <c r="K36" s="5">
        <f t="shared" si="42"/>
        <v>-3.1315000000006421E-2</v>
      </c>
      <c r="L36" s="22">
        <v>85.0379638671875</v>
      </c>
      <c r="M36" s="5"/>
      <c r="N36" s="5"/>
      <c r="O36" s="19">
        <v>53.658499999999997</v>
      </c>
      <c r="P36" s="20">
        <v>53.041620000000002</v>
      </c>
      <c r="Q36" s="20">
        <v>52.979080000000003</v>
      </c>
      <c r="R36" s="21">
        <v>54.112254999999998</v>
      </c>
      <c r="S36" s="5">
        <f t="shared" si="43"/>
        <v>-8.5606900000009034E-2</v>
      </c>
      <c r="T36" s="5">
        <f t="shared" si="44"/>
        <v>-0.1375124999999997</v>
      </c>
      <c r="U36" s="5">
        <f t="shared" si="45"/>
        <v>-0.14879269999998712</v>
      </c>
      <c r="V36" s="22">
        <v>60.565296173095703</v>
      </c>
      <c r="W36" s="5"/>
      <c r="X36" s="5"/>
      <c r="Y36" s="19">
        <v>10.399879</v>
      </c>
      <c r="Z36" s="20">
        <v>10.83853</v>
      </c>
      <c r="AA36" s="20">
        <v>12.617305999999999</v>
      </c>
      <c r="AB36" s="21">
        <v>10.791591</v>
      </c>
      <c r="AC36" s="5">
        <f t="shared" si="46"/>
        <v>-1.4903900000001968E-2</v>
      </c>
      <c r="AD36" s="5">
        <f t="shared" si="47"/>
        <v>-4.2974400000000301E-2</v>
      </c>
      <c r="AE36" s="5">
        <f t="shared" si="48"/>
        <v>0.17446409999999801</v>
      </c>
      <c r="AF36" s="22">
        <v>11.6477108001709</v>
      </c>
      <c r="AG36" s="5"/>
      <c r="AH36" s="5"/>
      <c r="AI36" s="19">
        <v>6.5675325000000004</v>
      </c>
      <c r="AJ36" s="20">
        <v>6.6962950000000001</v>
      </c>
      <c r="AK36" s="20">
        <v>6.6251049999999996</v>
      </c>
      <c r="AL36" s="21">
        <v>6.6479169999999996</v>
      </c>
      <c r="AM36" s="5">
        <f t="shared" si="49"/>
        <v>9.8313000000072037E-4</v>
      </c>
      <c r="AN36" s="5">
        <f t="shared" si="50"/>
        <v>2.5051160000000294E-2</v>
      </c>
      <c r="AO36" s="5">
        <f t="shared" si="51"/>
        <v>2.4638190000001003E-2</v>
      </c>
      <c r="AP36" s="22">
        <v>6.6499714851379403</v>
      </c>
      <c r="AR36" s="5"/>
      <c r="AS36" s="19">
        <v>19.666872000000001</v>
      </c>
      <c r="AT36" s="20">
        <v>19.639354999999998</v>
      </c>
      <c r="AU36" s="20">
        <v>19.284082000000001</v>
      </c>
      <c r="AV36" s="21">
        <v>19.808797999999999</v>
      </c>
      <c r="AW36" s="5">
        <f t="shared" si="52"/>
        <v>-1.0024900000001224E-2</v>
      </c>
      <c r="AX36" s="5">
        <f t="shared" si="53"/>
        <v>4.7390000000007149E-3</v>
      </c>
      <c r="AY36" s="5">
        <f t="shared" si="54"/>
        <v>-6.0605600000002369E-2</v>
      </c>
      <c r="AZ36" s="22">
        <v>13.64858245849609</v>
      </c>
      <c r="BB36" s="5"/>
      <c r="BC36" s="19">
        <v>2.8442856999999999</v>
      </c>
      <c r="BD36" s="20">
        <v>2.8516211999999999</v>
      </c>
      <c r="BE36" s="20">
        <v>2.9169016000000001</v>
      </c>
      <c r="BF36" s="21">
        <v>2.8395598</v>
      </c>
      <c r="BG36" s="5">
        <f t="shared" si="55"/>
        <v>-1.1640200000004874E-3</v>
      </c>
      <c r="BH36" s="5">
        <f t="shared" si="56"/>
        <v>-1.100000000020529E-5</v>
      </c>
      <c r="BI36" s="5">
        <f t="shared" si="57"/>
        <v>2.3564299999999871E-2</v>
      </c>
      <c r="BJ36" s="22">
        <v>4.1814427375793457</v>
      </c>
      <c r="BL36" s="5"/>
      <c r="BM36" s="19">
        <v>2.2752615999999999</v>
      </c>
      <c r="BN36" s="20">
        <v>2.3689585000000002</v>
      </c>
      <c r="BO36" s="20">
        <v>2.284532</v>
      </c>
      <c r="BP36" s="21">
        <v>2.3165621999999999</v>
      </c>
      <c r="BQ36" s="5">
        <f t="shared" si="58"/>
        <v>6.4637099999997893E-3</v>
      </c>
      <c r="BR36" s="5">
        <f t="shared" si="59"/>
        <v>5.7496670000000361E-2</v>
      </c>
      <c r="BS36" s="5">
        <f t="shared" si="60"/>
        <v>-4.0873019999999816E-2</v>
      </c>
      <c r="BT36" s="22">
        <v>2.4448099136352539</v>
      </c>
      <c r="BV36" s="5"/>
      <c r="BW36" s="19">
        <v>5.6295432999999999</v>
      </c>
      <c r="BX36" s="20">
        <v>5.4792560000000003</v>
      </c>
      <c r="BY36" s="20">
        <v>5.2187429999999999</v>
      </c>
      <c r="BZ36" s="21">
        <v>5.0616775000000001</v>
      </c>
      <c r="CA36" s="5">
        <f t="shared" si="61"/>
        <v>7.7413339999999664E-2</v>
      </c>
      <c r="CB36" s="5">
        <f t="shared" si="62"/>
        <v>2.9242099999999382E-2</v>
      </c>
      <c r="CC36" s="5">
        <f t="shared" si="63"/>
        <v>6.0688799999999432E-3</v>
      </c>
      <c r="CD36" s="22">
        <v>4.0664181709289551</v>
      </c>
      <c r="CI36">
        <v>4.385951042175293</v>
      </c>
      <c r="CN36">
        <v>2.5207197666168208</v>
      </c>
    </row>
    <row r="37" spans="1:92" x14ac:dyDescent="0.25">
      <c r="A37" s="38"/>
      <c r="B37" s="5">
        <v>5</v>
      </c>
      <c r="C37" s="18">
        <v>23</v>
      </c>
      <c r="E37" s="19">
        <v>87.149460000000005</v>
      </c>
      <c r="F37" s="20">
        <v>87.087860000000006</v>
      </c>
      <c r="G37" s="20">
        <v>87.096509999999995</v>
      </c>
      <c r="H37" s="21">
        <v>86.760670000000005</v>
      </c>
      <c r="I37" s="5">
        <f t="shared" si="40"/>
        <v>4.6342600000002676E-2</v>
      </c>
      <c r="J37" s="5">
        <f t="shared" si="41"/>
        <v>-4.2680099999998333E-2</v>
      </c>
      <c r="K37" s="5">
        <f t="shared" si="42"/>
        <v>-1.6450000000105547E-3</v>
      </c>
      <c r="L37" s="22">
        <v>84.921974182128906</v>
      </c>
      <c r="M37" s="5"/>
      <c r="N37" s="5"/>
      <c r="O37" s="19">
        <v>53.954371999999999</v>
      </c>
      <c r="P37" s="20">
        <v>53.417293999999998</v>
      </c>
      <c r="Q37" s="20">
        <v>53.261560000000003</v>
      </c>
      <c r="R37" s="21">
        <v>54.116095999999999</v>
      </c>
      <c r="S37" s="5">
        <f t="shared" si="43"/>
        <v>0.21026509999999377</v>
      </c>
      <c r="T37" s="5">
        <f t="shared" si="44"/>
        <v>0.23816149999999681</v>
      </c>
      <c r="U37" s="5">
        <f t="shared" si="45"/>
        <v>0.1336873000000125</v>
      </c>
      <c r="V37" s="22">
        <v>60.568370819091797</v>
      </c>
      <c r="W37" s="5"/>
      <c r="X37" s="5"/>
      <c r="Y37" s="19">
        <v>10.554031999999999</v>
      </c>
      <c r="Z37" s="20">
        <v>11.114497999999999</v>
      </c>
      <c r="AA37" s="20">
        <v>12.557549</v>
      </c>
      <c r="AB37" s="21">
        <v>10.72438</v>
      </c>
      <c r="AC37" s="5">
        <f t="shared" si="46"/>
        <v>0.13924909999999713</v>
      </c>
      <c r="AD37" s="5">
        <f t="shared" si="47"/>
        <v>0.23299359999999858</v>
      </c>
      <c r="AE37" s="5">
        <f t="shared" si="48"/>
        <v>0.11470709999999862</v>
      </c>
      <c r="AF37" s="22">
        <v>11.517763137817379</v>
      </c>
      <c r="AG37" s="5"/>
      <c r="AH37" s="5"/>
      <c r="AI37" s="19">
        <v>6.5636888000000004</v>
      </c>
      <c r="AJ37" s="20">
        <v>6.5981636000000004</v>
      </c>
      <c r="AK37" s="20">
        <v>6.5433006000000002</v>
      </c>
      <c r="AL37" s="21">
        <v>6.6479169999999996</v>
      </c>
      <c r="AM37" s="5">
        <f t="shared" si="49"/>
        <v>-2.8605699999992851E-3</v>
      </c>
      <c r="AN37" s="5">
        <f t="shared" si="50"/>
        <v>-7.3080239999999463E-2</v>
      </c>
      <c r="AO37" s="5">
        <f t="shared" si="51"/>
        <v>-5.716620999999833E-2</v>
      </c>
      <c r="AP37" s="22">
        <v>6.2145752906799316</v>
      </c>
      <c r="AR37" s="5"/>
      <c r="AS37" s="19">
        <v>19.90896</v>
      </c>
      <c r="AT37" s="20">
        <v>19.750153999999998</v>
      </c>
      <c r="AU37" s="20">
        <v>19.225709999999999</v>
      </c>
      <c r="AV37" s="21">
        <v>19.788515</v>
      </c>
      <c r="AW37" s="5">
        <f t="shared" si="52"/>
        <v>0.23206309999999775</v>
      </c>
      <c r="AX37" s="5">
        <f t="shared" si="53"/>
        <v>0.11553800000000081</v>
      </c>
      <c r="AY37" s="5">
        <f t="shared" si="54"/>
        <v>-0.11897760000000446</v>
      </c>
      <c r="AZ37" s="22">
        <v>13.40888500213623</v>
      </c>
      <c r="BB37" s="5"/>
      <c r="BC37" s="19">
        <v>2.8442856999999999</v>
      </c>
      <c r="BD37" s="20">
        <v>2.8605330000000002</v>
      </c>
      <c r="BE37" s="20">
        <v>2.9214308</v>
      </c>
      <c r="BF37" s="21">
        <v>2.8442856999999999</v>
      </c>
      <c r="BG37" s="5">
        <f t="shared" si="55"/>
        <v>-1.1640200000004874E-3</v>
      </c>
      <c r="BH37" s="5">
        <f t="shared" si="56"/>
        <v>8.900800000000153E-3</v>
      </c>
      <c r="BI37" s="5">
        <f t="shared" si="57"/>
        <v>2.8093499999999771E-2</v>
      </c>
      <c r="BJ37" s="22">
        <v>4.1814427375793457</v>
      </c>
      <c r="BL37" s="5"/>
      <c r="BM37" s="19">
        <v>2.220024</v>
      </c>
      <c r="BN37" s="20">
        <v>2.2443415999999998</v>
      </c>
      <c r="BO37" s="20">
        <v>2.3089184999999999</v>
      </c>
      <c r="BP37" s="21">
        <v>2.35168</v>
      </c>
      <c r="BQ37" s="5">
        <f t="shared" si="58"/>
        <v>-4.8773890000000097E-2</v>
      </c>
      <c r="BR37" s="5">
        <f t="shared" si="59"/>
        <v>-6.7120230000000003E-2</v>
      </c>
      <c r="BS37" s="5">
        <f t="shared" si="60"/>
        <v>-1.6486519999999949E-2</v>
      </c>
      <c r="BT37" s="22">
        <v>2.5400998592376709</v>
      </c>
      <c r="BV37" s="5"/>
      <c r="BW37" s="19">
        <v>5.5365795999999996</v>
      </c>
      <c r="BX37" s="20">
        <v>5.3959435999999998</v>
      </c>
      <c r="BY37" s="20">
        <v>5.2337164999999999</v>
      </c>
      <c r="BZ37" s="21">
        <v>5.0515319999999999</v>
      </c>
      <c r="CA37" s="5">
        <f t="shared" si="61"/>
        <v>-1.5550360000000651E-2</v>
      </c>
      <c r="CB37" s="5">
        <f t="shared" si="62"/>
        <v>-5.4070300000001126E-2</v>
      </c>
      <c r="CC37" s="5">
        <f t="shared" si="63"/>
        <v>2.1042379999999916E-2</v>
      </c>
      <c r="CD37" s="22">
        <v>4.0333781242370614</v>
      </c>
      <c r="CI37">
        <v>4.1773681640625</v>
      </c>
      <c r="CN37">
        <v>2.6772885322570801</v>
      </c>
    </row>
    <row r="38" spans="1:92" x14ac:dyDescent="0.25">
      <c r="A38" s="38"/>
      <c r="B38" s="5">
        <v>6</v>
      </c>
      <c r="C38" s="18">
        <v>28</v>
      </c>
      <c r="E38" s="19">
        <v>87.149460000000005</v>
      </c>
      <c r="F38" s="20">
        <v>87.009895</v>
      </c>
      <c r="G38" s="20">
        <v>87.125990000000002</v>
      </c>
      <c r="H38" s="21">
        <v>86.779759999999996</v>
      </c>
      <c r="I38" s="5">
        <f t="shared" si="40"/>
        <v>4.6342600000002676E-2</v>
      </c>
      <c r="J38" s="5">
        <f t="shared" si="41"/>
        <v>-0.12064510000000439</v>
      </c>
      <c r="K38" s="5">
        <f t="shared" si="42"/>
        <v>2.7834999999996057E-2</v>
      </c>
      <c r="L38" s="22">
        <v>85.052223205566406</v>
      </c>
      <c r="M38" s="5"/>
      <c r="N38" s="5"/>
      <c r="O38" s="19">
        <v>53.972320000000003</v>
      </c>
      <c r="P38" s="20">
        <v>53.423870000000001</v>
      </c>
      <c r="Q38" s="20">
        <v>53.266734999999997</v>
      </c>
      <c r="R38" s="21">
        <v>54.116095999999999</v>
      </c>
      <c r="S38" s="5">
        <f t="shared" si="43"/>
        <v>0.22821309999999784</v>
      </c>
      <c r="T38" s="5">
        <f t="shared" si="44"/>
        <v>0.24473749999999939</v>
      </c>
      <c r="U38" s="5">
        <f t="shared" si="45"/>
        <v>0.13886230000000666</v>
      </c>
      <c r="V38" s="22">
        <v>60.514297485351563</v>
      </c>
      <c r="W38" s="5"/>
      <c r="X38" s="5"/>
      <c r="Y38" s="19">
        <v>10.675862</v>
      </c>
      <c r="Z38" s="20">
        <v>10.816129</v>
      </c>
      <c r="AA38" s="20">
        <v>12.561500000000001</v>
      </c>
      <c r="AB38" s="21">
        <v>10.847388</v>
      </c>
      <c r="AC38" s="5">
        <f t="shared" si="46"/>
        <v>0.26107909999999812</v>
      </c>
      <c r="AD38" s="5">
        <f t="shared" si="47"/>
        <v>-6.5375400000000639E-2</v>
      </c>
      <c r="AE38" s="5">
        <f t="shared" si="48"/>
        <v>0.11865809999999932</v>
      </c>
      <c r="AF38" s="22">
        <v>11.40084266662598</v>
      </c>
      <c r="AG38" s="5"/>
      <c r="AH38" s="5"/>
      <c r="AI38" s="19">
        <v>6.5636888000000004</v>
      </c>
      <c r="AJ38" s="20">
        <v>6.6799679999999997</v>
      </c>
      <c r="AK38" s="20">
        <v>6.5265613</v>
      </c>
      <c r="AL38" s="21">
        <v>6.6479169999999996</v>
      </c>
      <c r="AM38" s="5">
        <f t="shared" si="49"/>
        <v>-2.8605699999992851E-3</v>
      </c>
      <c r="AN38" s="5">
        <f t="shared" si="50"/>
        <v>8.7241599999998698E-3</v>
      </c>
      <c r="AO38" s="5">
        <f t="shared" si="51"/>
        <v>-7.3905509999998564E-2</v>
      </c>
      <c r="AP38" s="22">
        <v>6.8472824096679688</v>
      </c>
      <c r="AR38" s="5"/>
      <c r="AS38" s="19">
        <v>19.847954000000001</v>
      </c>
      <c r="AT38" s="20">
        <v>19.795522999999999</v>
      </c>
      <c r="AU38" s="20">
        <v>19.225709999999999</v>
      </c>
      <c r="AV38" s="21">
        <v>19.808797999999999</v>
      </c>
      <c r="AW38" s="5">
        <f t="shared" si="52"/>
        <v>0.17105709999999874</v>
      </c>
      <c r="AX38" s="5">
        <f t="shared" si="53"/>
        <v>0.16090700000000169</v>
      </c>
      <c r="AY38" s="5">
        <f t="shared" si="54"/>
        <v>-0.11897760000000446</v>
      </c>
      <c r="AZ38" s="22">
        <v>13.60497951507568</v>
      </c>
      <c r="BB38" s="5"/>
      <c r="BC38" s="19">
        <v>2.8442856999999999</v>
      </c>
      <c r="BD38" s="20">
        <v>2.8546407</v>
      </c>
      <c r="BE38" s="20">
        <v>2.9214308</v>
      </c>
      <c r="BF38" s="21">
        <v>2.8442856999999999</v>
      </c>
      <c r="BG38" s="5">
        <f t="shared" si="55"/>
        <v>-1.1640200000004874E-3</v>
      </c>
      <c r="BH38" s="5">
        <f t="shared" si="56"/>
        <v>3.0084999999999695E-3</v>
      </c>
      <c r="BI38" s="5">
        <f t="shared" si="57"/>
        <v>2.8093499999999771E-2</v>
      </c>
      <c r="BJ38" s="22">
        <v>4.193300724029541</v>
      </c>
      <c r="BL38" s="5"/>
      <c r="BM38" s="19">
        <v>2.2404628</v>
      </c>
      <c r="BN38" s="20">
        <v>2.3584561000000002</v>
      </c>
      <c r="BO38" s="20">
        <v>2.3089184999999999</v>
      </c>
      <c r="BP38" s="21">
        <v>2.3856212999999999</v>
      </c>
      <c r="BQ38" s="5">
        <f t="shared" si="58"/>
        <v>-2.8335090000000118E-2</v>
      </c>
      <c r="BR38" s="5">
        <f t="shared" si="59"/>
        <v>4.6994270000000338E-2</v>
      </c>
      <c r="BS38" s="5">
        <f t="shared" si="60"/>
        <v>-1.6486519999999949E-2</v>
      </c>
      <c r="BT38" s="22">
        <v>2.5072586536407471</v>
      </c>
      <c r="BV38" s="5"/>
      <c r="BW38" s="19">
        <v>5.485582</v>
      </c>
      <c r="BX38" s="20">
        <v>5.3548400000000003</v>
      </c>
      <c r="BY38" s="20">
        <v>5.2164391999999999</v>
      </c>
      <c r="BZ38" s="21">
        <v>5.0558769999999997</v>
      </c>
      <c r="CA38" s="5">
        <f t="shared" si="61"/>
        <v>-6.6547960000000295E-2</v>
      </c>
      <c r="CB38" s="5">
        <f t="shared" si="62"/>
        <v>-9.51739000000007E-2</v>
      </c>
      <c r="CC38" s="5">
        <f t="shared" si="63"/>
        <v>3.7650799999999762E-3</v>
      </c>
      <c r="CD38" s="22">
        <v>4.1506633758544922</v>
      </c>
      <c r="CI38">
        <v>4.2903838157653809</v>
      </c>
      <c r="CN38">
        <v>3.4586410522460942</v>
      </c>
    </row>
    <row r="39" spans="1:92" x14ac:dyDescent="0.25">
      <c r="A39" s="38"/>
      <c r="B39" s="5">
        <v>7</v>
      </c>
      <c r="C39" s="18">
        <v>33</v>
      </c>
      <c r="E39" s="19">
        <v>87.099609999999998</v>
      </c>
      <c r="F39" s="20">
        <v>87.172134</v>
      </c>
      <c r="G39" s="20">
        <v>87.056669999999997</v>
      </c>
      <c r="H39" s="21">
        <v>86.754615999999999</v>
      </c>
      <c r="I39" s="5">
        <f t="shared" si="40"/>
        <v>-3.5074000000037131E-3</v>
      </c>
      <c r="J39" s="5">
        <f t="shared" si="41"/>
        <v>4.1593899999995187E-2</v>
      </c>
      <c r="K39" s="5">
        <f t="shared" si="42"/>
        <v>-4.1485000000008654E-2</v>
      </c>
      <c r="L39" s="22">
        <v>84.045852661132813</v>
      </c>
      <c r="M39" s="5"/>
      <c r="N39" s="5"/>
      <c r="O39" s="19">
        <v>53.650170000000003</v>
      </c>
      <c r="P39" s="20">
        <v>52.982779999999998</v>
      </c>
      <c r="Q39" s="20">
        <v>53.253833999999998</v>
      </c>
      <c r="R39" s="21">
        <v>54.337040000000002</v>
      </c>
      <c r="S39" s="5">
        <f t="shared" si="43"/>
        <v>-9.3936900000002765E-2</v>
      </c>
      <c r="T39" s="5">
        <f t="shared" si="44"/>
        <v>-0.19635250000000326</v>
      </c>
      <c r="U39" s="5">
        <f t="shared" si="45"/>
        <v>0.12596130000000727</v>
      </c>
      <c r="V39" s="22">
        <v>72.622489929199219</v>
      </c>
      <c r="W39" s="5"/>
      <c r="X39" s="5"/>
      <c r="Y39" s="19">
        <v>10.688021000000001</v>
      </c>
      <c r="Z39" s="20">
        <v>11.018962</v>
      </c>
      <c r="AA39" s="20">
        <v>12.580629</v>
      </c>
      <c r="AB39" s="21">
        <v>10.819879999999999</v>
      </c>
      <c r="AC39" s="5">
        <f t="shared" si="46"/>
        <v>0.2732380999999986</v>
      </c>
      <c r="AD39" s="5">
        <f t="shared" si="47"/>
        <v>0.1374575999999994</v>
      </c>
      <c r="AE39" s="5">
        <f t="shared" si="48"/>
        <v>0.13778709999999883</v>
      </c>
      <c r="AF39" s="22">
        <v>19.921598434448239</v>
      </c>
      <c r="AG39" s="5"/>
      <c r="AH39" s="5"/>
      <c r="AI39" s="19">
        <v>6.5636888000000004</v>
      </c>
      <c r="AJ39" s="20">
        <v>6.7065049999999999</v>
      </c>
      <c r="AK39" s="20">
        <v>6.6251049999999996</v>
      </c>
      <c r="AL39" s="21">
        <v>6.6479169999999996</v>
      </c>
      <c r="AM39" s="5">
        <f t="shared" si="49"/>
        <v>-2.8605699999992851E-3</v>
      </c>
      <c r="AN39" s="5">
        <f t="shared" si="50"/>
        <v>3.5261160000000125E-2</v>
      </c>
      <c r="AO39" s="5">
        <f t="shared" si="51"/>
        <v>2.4638190000001003E-2</v>
      </c>
      <c r="AP39" s="22">
        <v>6.8207535743713379</v>
      </c>
      <c r="AR39" s="5"/>
      <c r="AS39" s="19">
        <v>19.666872000000001</v>
      </c>
      <c r="AT39" s="20">
        <v>19.650784999999999</v>
      </c>
      <c r="AU39" s="20">
        <v>19.284082000000001</v>
      </c>
      <c r="AV39" s="21">
        <v>19.839521000000001</v>
      </c>
      <c r="AW39" s="5">
        <f t="shared" si="52"/>
        <v>-1.0024900000001224E-2</v>
      </c>
      <c r="AX39" s="5">
        <f t="shared" si="53"/>
        <v>1.6169000000001432E-2</v>
      </c>
      <c r="AY39" s="5">
        <f t="shared" si="54"/>
        <v>-6.0605600000002369E-2</v>
      </c>
      <c r="AZ39" s="22">
        <v>8.4463167190551758</v>
      </c>
      <c r="BB39" s="5"/>
      <c r="BC39" s="19">
        <v>2.8442856999999999</v>
      </c>
      <c r="BD39" s="20">
        <v>2.8516211999999999</v>
      </c>
      <c r="BE39" s="20">
        <v>2.8671030000000002</v>
      </c>
      <c r="BF39" s="21">
        <v>2.8395598</v>
      </c>
      <c r="BG39" s="5">
        <f t="shared" si="55"/>
        <v>-1.1640200000004874E-3</v>
      </c>
      <c r="BH39" s="5">
        <f t="shared" si="56"/>
        <v>-1.100000000020529E-5</v>
      </c>
      <c r="BI39" s="5">
        <f t="shared" si="57"/>
        <v>-2.6234300000000044E-2</v>
      </c>
      <c r="BJ39" s="22">
        <v>2.0335762500762939</v>
      </c>
      <c r="BL39" s="5"/>
      <c r="BM39" s="19">
        <v>2.3019147000000002</v>
      </c>
      <c r="BN39" s="20">
        <v>2.3862116000000002</v>
      </c>
      <c r="BO39" s="20">
        <v>2.2740119999999999</v>
      </c>
      <c r="BP39" s="21">
        <v>2.4599359999999999</v>
      </c>
      <c r="BQ39" s="5">
        <f t="shared" si="58"/>
        <v>3.3116810000000108E-2</v>
      </c>
      <c r="BR39" s="5">
        <f t="shared" si="59"/>
        <v>7.4749770000000382E-2</v>
      </c>
      <c r="BS39" s="5">
        <f t="shared" si="60"/>
        <v>-5.13930199999999E-2</v>
      </c>
      <c r="BT39" s="22">
        <v>12.93755626678467</v>
      </c>
      <c r="BV39" s="5"/>
      <c r="BW39" s="19">
        <v>5.6060350000000003</v>
      </c>
      <c r="BX39" s="20">
        <v>5.4607935000000003</v>
      </c>
      <c r="BY39" s="20">
        <v>5.1717668000000003</v>
      </c>
      <c r="BZ39" s="21">
        <v>5.0727190000000002</v>
      </c>
      <c r="CA39" s="5">
        <f t="shared" si="61"/>
        <v>5.3905040000000071E-2</v>
      </c>
      <c r="CB39" s="5">
        <f t="shared" si="62"/>
        <v>1.0779599999999334E-2</v>
      </c>
      <c r="CC39" s="5">
        <f t="shared" si="63"/>
        <v>-4.0907319999999636E-2</v>
      </c>
      <c r="CD39" s="22">
        <v>1.7011663913726811</v>
      </c>
      <c r="CI39">
        <v>1.6962500810623169</v>
      </c>
      <c r="CN39">
        <v>1.561901807785034</v>
      </c>
    </row>
    <row r="40" spans="1:92" x14ac:dyDescent="0.25">
      <c r="A40" s="38"/>
      <c r="B40" s="5">
        <v>8</v>
      </c>
      <c r="C40" s="18">
        <v>38</v>
      </c>
      <c r="E40" s="19">
        <v>87.0959</v>
      </c>
      <c r="F40" s="20">
        <v>87.172134</v>
      </c>
      <c r="G40" s="20">
        <v>87.103639999999999</v>
      </c>
      <c r="H40" s="21">
        <v>86.773705000000007</v>
      </c>
      <c r="I40" s="5">
        <f t="shared" si="40"/>
        <v>-7.2174000000018168E-3</v>
      </c>
      <c r="J40" s="5">
        <f t="shared" si="41"/>
        <v>4.1593899999995187E-2</v>
      </c>
      <c r="K40" s="5">
        <f t="shared" si="42"/>
        <v>5.4849999999930787E-3</v>
      </c>
      <c r="L40" s="22">
        <v>83.614517211914063</v>
      </c>
      <c r="M40" s="5"/>
      <c r="N40" s="5"/>
      <c r="O40" s="19">
        <v>53.644950000000001</v>
      </c>
      <c r="P40" s="20">
        <v>52.98874</v>
      </c>
      <c r="Q40" s="20">
        <v>53.112327999999998</v>
      </c>
      <c r="R40" s="21">
        <v>54.341324</v>
      </c>
      <c r="S40" s="5">
        <f t="shared" si="43"/>
        <v>-9.91569000000041E-2</v>
      </c>
      <c r="T40" s="5">
        <f t="shared" si="44"/>
        <v>-0.19039250000000152</v>
      </c>
      <c r="U40" s="5">
        <f t="shared" si="45"/>
        <v>-1.5544699999992417E-2</v>
      </c>
      <c r="V40" s="22">
        <v>72.55279541015625</v>
      </c>
      <c r="W40" s="5"/>
      <c r="X40" s="5"/>
      <c r="Y40" s="19">
        <v>10.428893</v>
      </c>
      <c r="Z40" s="20">
        <v>10.9857025</v>
      </c>
      <c r="AA40" s="20">
        <v>12.620050000000001</v>
      </c>
      <c r="AB40" s="21">
        <v>10.800882</v>
      </c>
      <c r="AC40" s="5">
        <f t="shared" si="46"/>
        <v>1.4110099999998127E-2</v>
      </c>
      <c r="AD40" s="5">
        <f t="shared" si="47"/>
        <v>0.10419809999999963</v>
      </c>
      <c r="AE40" s="5">
        <f t="shared" si="48"/>
        <v>0.17720809999999965</v>
      </c>
      <c r="AF40" s="22">
        <v>19.79863357543945</v>
      </c>
      <c r="AG40" s="5"/>
      <c r="AH40" s="5"/>
      <c r="AI40" s="19">
        <v>6.5636888000000004</v>
      </c>
      <c r="AJ40" s="20">
        <v>6.7065049999999999</v>
      </c>
      <c r="AK40" s="20">
        <v>6.6251049999999996</v>
      </c>
      <c r="AL40" s="21">
        <v>6.6943783999999997</v>
      </c>
      <c r="AM40" s="5">
        <f t="shared" si="49"/>
        <v>-2.8605699999992851E-3</v>
      </c>
      <c r="AN40" s="5">
        <f t="shared" si="50"/>
        <v>3.5261160000000125E-2</v>
      </c>
      <c r="AO40" s="5">
        <f t="shared" si="51"/>
        <v>2.4638190000001003E-2</v>
      </c>
      <c r="AP40" s="22">
        <v>6.8207535743713379</v>
      </c>
      <c r="AR40" s="5"/>
      <c r="AS40" s="19">
        <v>19.666872000000001</v>
      </c>
      <c r="AT40" s="20">
        <v>19.650784999999999</v>
      </c>
      <c r="AU40" s="20">
        <v>19.208054000000001</v>
      </c>
      <c r="AV40" s="21">
        <v>19.828285000000001</v>
      </c>
      <c r="AW40" s="5">
        <f t="shared" si="52"/>
        <v>-1.0024900000001224E-2</v>
      </c>
      <c r="AX40" s="5">
        <f t="shared" si="53"/>
        <v>1.6169000000001432E-2</v>
      </c>
      <c r="AY40" s="5">
        <f t="shared" si="54"/>
        <v>-0.13663360000000324</v>
      </c>
      <c r="AZ40" s="22">
        <v>8.4763889312744141</v>
      </c>
      <c r="BB40" s="5"/>
      <c r="BC40" s="19">
        <v>2.8442856999999999</v>
      </c>
      <c r="BD40" s="20">
        <v>2.8516211999999999</v>
      </c>
      <c r="BE40" s="20">
        <v>2.8914225</v>
      </c>
      <c r="BF40" s="21">
        <v>2.8395598</v>
      </c>
      <c r="BG40" s="5">
        <f t="shared" si="55"/>
        <v>-1.1640200000004874E-3</v>
      </c>
      <c r="BH40" s="5">
        <f t="shared" si="56"/>
        <v>-1.100000000020529E-5</v>
      </c>
      <c r="BI40" s="5">
        <f t="shared" si="57"/>
        <v>-1.9148000000002163E-3</v>
      </c>
      <c r="BJ40" s="22">
        <v>2.017020463943481</v>
      </c>
      <c r="BL40" s="5"/>
      <c r="BM40" s="19">
        <v>2.2752615999999999</v>
      </c>
      <c r="BN40" s="20">
        <v>2.2668539999999999</v>
      </c>
      <c r="BO40" s="20">
        <v>2.2673720999999998</v>
      </c>
      <c r="BP40" s="21">
        <v>2.3226352000000001</v>
      </c>
      <c r="BQ40" s="5">
        <f t="shared" si="58"/>
        <v>6.4637099999997893E-3</v>
      </c>
      <c r="BR40" s="5">
        <f t="shared" si="59"/>
        <v>-4.4607829999999904E-2</v>
      </c>
      <c r="BS40" s="5">
        <f t="shared" si="60"/>
        <v>-5.8032920000000043E-2</v>
      </c>
      <c r="BT40" s="22">
        <v>12.45794677734375</v>
      </c>
      <c r="BV40" s="5"/>
      <c r="BW40" s="19">
        <v>5.5952349999999997</v>
      </c>
      <c r="BX40" s="20">
        <v>5.4785624000000004</v>
      </c>
      <c r="BY40" s="20">
        <v>5.2201469999999999</v>
      </c>
      <c r="BZ40" s="21">
        <v>5.3562903000000004</v>
      </c>
      <c r="CA40" s="5">
        <f t="shared" si="61"/>
        <v>4.3105039999999484E-2</v>
      </c>
      <c r="CB40" s="5">
        <f t="shared" si="62"/>
        <v>2.8548499999999422E-2</v>
      </c>
      <c r="CC40" s="5">
        <f t="shared" si="63"/>
        <v>7.472879999999904E-3</v>
      </c>
      <c r="CD40" s="22">
        <v>1.706504106521606</v>
      </c>
      <c r="CI40">
        <v>1.7214871644973759</v>
      </c>
      <c r="CN40">
        <v>1.62769615650177</v>
      </c>
    </row>
    <row r="41" spans="1:92" x14ac:dyDescent="0.25">
      <c r="A41" s="38"/>
      <c r="B41" s="5">
        <v>9</v>
      </c>
      <c r="C41" s="18">
        <v>43</v>
      </c>
      <c r="E41" s="19">
        <v>87.106759999999994</v>
      </c>
      <c r="F41" s="20">
        <v>87.072659999999999</v>
      </c>
      <c r="G41" s="20">
        <v>87.114295999999996</v>
      </c>
      <c r="H41" s="21">
        <v>86.752700000000004</v>
      </c>
      <c r="I41" s="5">
        <f t="shared" si="40"/>
        <v>3.6425999999920577E-3</v>
      </c>
      <c r="J41" s="5">
        <f t="shared" si="41"/>
        <v>-5.7880100000005541E-2</v>
      </c>
      <c r="K41" s="5">
        <f t="shared" si="42"/>
        <v>1.6140999999990413E-2</v>
      </c>
      <c r="L41" s="22">
        <v>83.655174255371094</v>
      </c>
      <c r="M41" s="5"/>
      <c r="N41" s="5"/>
      <c r="O41" s="19">
        <v>53.639600000000002</v>
      </c>
      <c r="P41" s="20">
        <v>53.538994000000002</v>
      </c>
      <c r="Q41" s="20">
        <v>53.331530000000001</v>
      </c>
      <c r="R41" s="21">
        <v>54.335140000000003</v>
      </c>
      <c r="S41" s="5">
        <f t="shared" si="43"/>
        <v>-0.10450690000000407</v>
      </c>
      <c r="T41" s="5">
        <f t="shared" si="44"/>
        <v>0.35986150000000094</v>
      </c>
      <c r="U41" s="5">
        <f t="shared" si="45"/>
        <v>0.20365730000001037</v>
      </c>
      <c r="V41" s="22">
        <v>72.63970947265625</v>
      </c>
      <c r="W41" s="5"/>
      <c r="X41" s="5"/>
      <c r="Y41" s="19">
        <v>10.389435000000001</v>
      </c>
      <c r="Z41" s="20">
        <v>10.849677</v>
      </c>
      <c r="AA41" s="20">
        <v>12.920133</v>
      </c>
      <c r="AB41" s="21">
        <v>10.800832</v>
      </c>
      <c r="AC41" s="5">
        <f t="shared" si="46"/>
        <v>-2.5347900000001644E-2</v>
      </c>
      <c r="AD41" s="5">
        <f t="shared" si="47"/>
        <v>-3.1827400000000949E-2</v>
      </c>
      <c r="AE41" s="5">
        <f t="shared" si="48"/>
        <v>0.47729109999999864</v>
      </c>
      <c r="AF41" s="22">
        <v>25.944877624511719</v>
      </c>
      <c r="AG41" s="5"/>
      <c r="AH41" s="5"/>
      <c r="AI41" s="19">
        <v>6.5732429999999997</v>
      </c>
      <c r="AJ41" s="20">
        <v>6.5981636000000004</v>
      </c>
      <c r="AK41" s="20">
        <v>6.5265613</v>
      </c>
      <c r="AL41" s="21">
        <v>6.6479169999999996</v>
      </c>
      <c r="AM41" s="5">
        <f t="shared" si="49"/>
        <v>6.693630000000006E-3</v>
      </c>
      <c r="AN41" s="5">
        <f t="shared" si="50"/>
        <v>-7.3080239999999463E-2</v>
      </c>
      <c r="AO41" s="5">
        <f t="shared" si="51"/>
        <v>-7.3905509999998564E-2</v>
      </c>
      <c r="AP41" s="22">
        <v>6.8013916015625</v>
      </c>
      <c r="AR41" s="5"/>
      <c r="AS41" s="19">
        <v>19.768384999999999</v>
      </c>
      <c r="AT41" s="20">
        <v>19.700289000000001</v>
      </c>
      <c r="AU41" s="20">
        <v>19.873760000000001</v>
      </c>
      <c r="AV41" s="21">
        <v>19.792645</v>
      </c>
      <c r="AW41" s="5">
        <f t="shared" si="52"/>
        <v>9.1488099999995853E-2</v>
      </c>
      <c r="AX41" s="5">
        <f t="shared" si="53"/>
        <v>6.5673000000003867E-2</v>
      </c>
      <c r="AY41" s="5">
        <f t="shared" si="54"/>
        <v>0.52907239999999689</v>
      </c>
      <c r="AZ41" s="22">
        <v>9.1385240554809553</v>
      </c>
      <c r="BB41" s="5"/>
      <c r="BC41" s="19">
        <v>2.8442856999999999</v>
      </c>
      <c r="BD41" s="20">
        <v>2.8546407</v>
      </c>
      <c r="BE41" s="20">
        <v>2.9214308</v>
      </c>
      <c r="BF41" s="21">
        <v>2.8471023999999998</v>
      </c>
      <c r="BG41" s="5">
        <f t="shared" si="55"/>
        <v>-1.1640200000004874E-3</v>
      </c>
      <c r="BH41" s="5">
        <f t="shared" si="56"/>
        <v>3.0084999999999695E-3</v>
      </c>
      <c r="BI41" s="5">
        <f t="shared" si="57"/>
        <v>2.8093499999999771E-2</v>
      </c>
      <c r="BJ41" s="22">
        <v>2.031427383422852</v>
      </c>
      <c r="BL41" s="5"/>
      <c r="BM41" s="19">
        <v>2.1623044</v>
      </c>
      <c r="BN41" s="20">
        <v>2.2629551999999999</v>
      </c>
      <c r="BO41" s="20">
        <v>2.3518157</v>
      </c>
      <c r="BP41" s="21">
        <v>2.3512650000000002</v>
      </c>
      <c r="BQ41" s="5">
        <f t="shared" si="58"/>
        <v>-0.10649349000000008</v>
      </c>
      <c r="BR41" s="5">
        <f t="shared" si="59"/>
        <v>-4.8506629999999884E-2</v>
      </c>
      <c r="BS41" s="5">
        <f t="shared" si="60"/>
        <v>2.6410680000000131E-2</v>
      </c>
      <c r="BT41" s="22">
        <v>11.588656425476071</v>
      </c>
      <c r="BV41" s="5"/>
      <c r="BW41" s="19">
        <v>5.5201554000000002</v>
      </c>
      <c r="BX41" s="20">
        <v>5.3591430000000004</v>
      </c>
      <c r="BY41" s="20">
        <v>5.1028295000000004</v>
      </c>
      <c r="BZ41" s="21">
        <v>5.0596740000000002</v>
      </c>
      <c r="CA41" s="5">
        <f t="shared" si="61"/>
        <v>-3.1974560000000096E-2</v>
      </c>
      <c r="CB41" s="5">
        <f t="shared" si="62"/>
        <v>-9.0870900000000532E-2</v>
      </c>
      <c r="CC41" s="5">
        <f t="shared" si="63"/>
        <v>-0.10984461999999962</v>
      </c>
      <c r="CD41" s="22">
        <v>1.721769452095032</v>
      </c>
      <c r="CI41">
        <v>1.6496796607971189</v>
      </c>
      <c r="CN41">
        <v>1.676179170608521</v>
      </c>
    </row>
    <row r="42" spans="1:92" x14ac:dyDescent="0.25">
      <c r="A42" s="39"/>
      <c r="B42" s="23">
        <v>10</v>
      </c>
      <c r="C42" s="24">
        <v>48</v>
      </c>
      <c r="E42" s="25">
        <v>87.129813999999996</v>
      </c>
      <c r="F42" s="26">
        <v>87.056209999999993</v>
      </c>
      <c r="G42" s="26">
        <v>87.098100000000002</v>
      </c>
      <c r="H42" s="27">
        <v>86.770300000000006</v>
      </c>
      <c r="I42" s="23">
        <f t="shared" si="40"/>
        <v>2.6696599999993964E-2</v>
      </c>
      <c r="J42" s="23">
        <f t="shared" si="41"/>
        <v>-7.4330100000011612E-2</v>
      </c>
      <c r="K42" s="23">
        <f t="shared" si="42"/>
        <v>-5.5000000003246896E-5</v>
      </c>
      <c r="L42" s="28">
        <v>83.7171630859375</v>
      </c>
      <c r="M42" s="5"/>
      <c r="N42" s="5"/>
      <c r="O42" s="25">
        <v>54.039664999999999</v>
      </c>
      <c r="P42" s="26">
        <v>53.615184999999997</v>
      </c>
      <c r="Q42" s="26">
        <v>53.473880000000001</v>
      </c>
      <c r="R42" s="27">
        <v>54.446359999999999</v>
      </c>
      <c r="S42" s="23">
        <f t="shared" si="43"/>
        <v>0.29555809999999383</v>
      </c>
      <c r="T42" s="23">
        <f t="shared" si="44"/>
        <v>0.43605249999999529</v>
      </c>
      <c r="U42" s="23">
        <f t="shared" si="45"/>
        <v>0.34600730000001079</v>
      </c>
      <c r="V42" s="28">
        <v>72.536308288574219</v>
      </c>
      <c r="W42" s="5"/>
      <c r="X42" s="5"/>
      <c r="Y42" s="25">
        <v>10.5176</v>
      </c>
      <c r="Z42" s="26">
        <v>10.801252</v>
      </c>
      <c r="AA42" s="26">
        <v>12.910413</v>
      </c>
      <c r="AB42" s="27">
        <v>11.288326</v>
      </c>
      <c r="AC42" s="23">
        <f t="shared" si="46"/>
        <v>0.10281709999999755</v>
      </c>
      <c r="AD42" s="23">
        <f t="shared" si="47"/>
        <v>-8.025240000000089E-2</v>
      </c>
      <c r="AE42" s="23">
        <f t="shared" si="48"/>
        <v>0.46757109999999891</v>
      </c>
      <c r="AF42" s="28">
        <v>19.89193153381348</v>
      </c>
      <c r="AG42" s="5"/>
      <c r="AH42" s="5"/>
      <c r="AI42" s="25">
        <v>6.5448008</v>
      </c>
      <c r="AJ42" s="26">
        <v>6.6799679999999997</v>
      </c>
      <c r="AK42" s="26">
        <v>6.5265613</v>
      </c>
      <c r="AL42" s="27">
        <v>6.6437790000000003</v>
      </c>
      <c r="AM42" s="23">
        <f t="shared" si="49"/>
        <v>-2.1748569999999745E-2</v>
      </c>
      <c r="AN42" s="23">
        <f t="shared" si="50"/>
        <v>8.7241599999998698E-3</v>
      </c>
      <c r="AO42" s="23">
        <f t="shared" si="51"/>
        <v>-7.3905509999998564E-2</v>
      </c>
      <c r="AP42" s="28">
        <v>6.7465343475341797</v>
      </c>
      <c r="AR42" s="5"/>
      <c r="AS42" s="25">
        <v>19.945498000000001</v>
      </c>
      <c r="AT42" s="26">
        <v>19.647324000000001</v>
      </c>
      <c r="AU42" s="26">
        <v>19.659306000000001</v>
      </c>
      <c r="AV42" s="27">
        <v>19.704943</v>
      </c>
      <c r="AW42" s="23">
        <f t="shared" si="52"/>
        <v>0.26860109999999793</v>
      </c>
      <c r="AX42" s="23">
        <f t="shared" si="53"/>
        <v>1.2708000000003494E-2</v>
      </c>
      <c r="AY42" s="23">
        <f t="shared" si="54"/>
        <v>0.31461839999999697</v>
      </c>
      <c r="AZ42" s="28">
        <v>9.0340785980224592</v>
      </c>
      <c r="BB42" s="5"/>
      <c r="BC42" s="25">
        <v>2.8501780000000001</v>
      </c>
      <c r="BD42" s="26">
        <v>2.8414636</v>
      </c>
      <c r="BE42" s="26">
        <v>2.9480205000000002</v>
      </c>
      <c r="BF42" s="27">
        <v>2.8835692000000002</v>
      </c>
      <c r="BG42" s="23">
        <f t="shared" si="55"/>
        <v>4.7282799999996961E-3</v>
      </c>
      <c r="BH42" s="23">
        <f t="shared" si="56"/>
        <v>-1.0168600000000083E-2</v>
      </c>
      <c r="BI42" s="23">
        <f t="shared" si="57"/>
        <v>5.4683199999999932E-2</v>
      </c>
      <c r="BJ42" s="28">
        <v>2.0392179489135742</v>
      </c>
      <c r="BL42" s="5"/>
      <c r="BM42" s="25">
        <v>2.1639433000000001</v>
      </c>
      <c r="BN42" s="26">
        <v>2.3426117999999998</v>
      </c>
      <c r="BO42" s="26">
        <v>2.3442789999999998</v>
      </c>
      <c r="BP42" s="27">
        <v>2.4361286</v>
      </c>
      <c r="BQ42" s="23">
        <f t="shared" si="58"/>
        <v>-0.10485458999999997</v>
      </c>
      <c r="BR42" s="23">
        <f t="shared" si="59"/>
        <v>3.1149969999999971E-2</v>
      </c>
      <c r="BS42" s="23">
        <f t="shared" si="60"/>
        <v>1.8873979999999957E-2</v>
      </c>
      <c r="BT42" s="28">
        <v>11.651078224182131</v>
      </c>
      <c r="BV42" s="5"/>
      <c r="BW42" s="25">
        <v>5.34443</v>
      </c>
      <c r="BX42" s="26">
        <v>5.3591430000000004</v>
      </c>
      <c r="BY42" s="26">
        <v>5.0740356000000002</v>
      </c>
      <c r="BZ42" s="27">
        <v>5.3370676000000001</v>
      </c>
      <c r="CA42" s="23">
        <f t="shared" si="61"/>
        <v>-0.20769996000000024</v>
      </c>
      <c r="CB42" s="23">
        <f t="shared" si="62"/>
        <v>-9.0870900000000532E-2</v>
      </c>
      <c r="CC42" s="23">
        <f t="shared" si="63"/>
        <v>-0.13863851999999977</v>
      </c>
      <c r="CD42" s="28">
        <v>1.7159682512283321</v>
      </c>
      <c r="CI42">
        <v>1.689140200614929</v>
      </c>
      <c r="CN42">
        <v>1.5457445383071899</v>
      </c>
    </row>
    <row r="43" spans="1:92" x14ac:dyDescent="0.25">
      <c r="A43" s="37">
        <v>4</v>
      </c>
      <c r="B43" s="12">
        <v>1</v>
      </c>
      <c r="C43" s="13">
        <v>4</v>
      </c>
      <c r="E43" s="14">
        <v>87.944469999999995</v>
      </c>
      <c r="F43" s="15">
        <v>88.162419999999997</v>
      </c>
      <c r="G43" s="15">
        <v>87.993830000000003</v>
      </c>
      <c r="H43" s="16">
        <v>87.700226000000001</v>
      </c>
      <c r="I43" s="12">
        <f t="shared" ref="I43:I52" si="64">IF(OR(E43="",E43="NaN"),"",E43-AVERAGE(E$43:E$52))</f>
        <v>-1.6782000000006292E-3</v>
      </c>
      <c r="J43" s="12">
        <f t="shared" ref="J43:J52" si="65">IF(OR(F43="",F43="NaN"),"",F43-AVERAGE(F$43:F$52))</f>
        <v>-8.908149999999182E-2</v>
      </c>
      <c r="K43" s="12">
        <f t="shared" ref="K43:K52" si="66">IF(OR(G43="",G43="NaN"),"",G43-AVERAGE(G$43:G$52))</f>
        <v>0.17647159999999928</v>
      </c>
      <c r="L43" s="17">
        <v>84.541900634765625</v>
      </c>
      <c r="M43" s="5"/>
      <c r="N43" s="5"/>
      <c r="O43" s="14">
        <v>53.756010000000003</v>
      </c>
      <c r="P43" s="15">
        <v>53.815869999999997</v>
      </c>
      <c r="Q43" s="15">
        <v>53.81917</v>
      </c>
      <c r="R43" s="16">
        <v>54.249977000000001</v>
      </c>
      <c r="S43" s="12">
        <f t="shared" ref="S43:S52" si="67">IF(OR(O43="",O43="NaN"),"",O43-AVERAGE(O$43:O$52))</f>
        <v>-9.2978999999999701E-3</v>
      </c>
      <c r="T43" s="12">
        <f t="shared" ref="T43:T52" si="68">IF(OR(P43="",P43="NaN"),"",P43-AVERAGE(P$43:P$52))</f>
        <v>-0.20484450000001431</v>
      </c>
      <c r="U43" s="12">
        <f t="shared" ref="U43:U52" si="69">IF(OR(Q43="",Q43="NaN"),"",Q43-AVERAGE(Q$43:Q$52))</f>
        <v>-7.8533000000000186E-2</v>
      </c>
      <c r="V43" s="17">
        <v>72.622596740722656</v>
      </c>
      <c r="W43" s="5"/>
      <c r="X43" s="5"/>
      <c r="Y43" s="14">
        <v>9.6765019999999993</v>
      </c>
      <c r="Z43" s="15">
        <v>9.7611340000000002</v>
      </c>
      <c r="AA43" s="15">
        <v>9.8347660000000001</v>
      </c>
      <c r="AB43" s="16">
        <v>9.9791354999999999</v>
      </c>
      <c r="AC43" s="12">
        <f t="shared" ref="AC43:AC52" si="70">IF(OR(Y43="",Y43="NaN"),"",Y43-AVERAGE(Y$43:Y$52))</f>
        <v>-0.20629220000000004</v>
      </c>
      <c r="AD43" s="12">
        <f t="shared" ref="AD43:AD52" si="71">IF(OR(Z43="",Z43="NaN"),"",Z43-AVERAGE(Z$43:Z$52))</f>
        <v>2.1871000000000862E-2</v>
      </c>
      <c r="AE43" s="12">
        <f t="shared" ref="AE43:AE52" si="72">IF(OR(AA43="",AA43="NaN"),"",AA43-AVERAGE(AA$43:AA$52))</f>
        <v>-7.8496899999999314E-2</v>
      </c>
      <c r="AF43" s="17">
        <v>19.79776573181152</v>
      </c>
      <c r="AG43" s="5"/>
      <c r="AH43" s="5"/>
      <c r="AI43" s="14">
        <v>7.3601203000000002</v>
      </c>
      <c r="AJ43" s="15">
        <v>7.4200505999999997</v>
      </c>
      <c r="AK43" s="15">
        <v>7.2178782999999997</v>
      </c>
      <c r="AL43" s="16">
        <v>7.3408135999999997</v>
      </c>
      <c r="AM43" s="12">
        <f t="shared" ref="AM43:AM52" si="73">IF(OR(AI43="",AI43="NaN"),"",AI43-AVERAGE(AI$43:AI$52))</f>
        <v>0.24753991000000042</v>
      </c>
      <c r="AN43" s="12">
        <f t="shared" ref="AN43:AN52" si="74">IF(OR(AJ43="",AJ43="NaN"),"",AJ43-AVERAGE(AJ$43:AJ$52))</f>
        <v>0.25714090999999861</v>
      </c>
      <c r="AO43" s="12">
        <f t="shared" ref="AO43:AO52" si="75">IF(OR(AK43="",AK43="NaN"),"",AK43-AVERAGE(AK$43:AK$52))</f>
        <v>0.3224115000000003</v>
      </c>
      <c r="AP43" s="17">
        <v>6.7035551071166992</v>
      </c>
      <c r="AR43" s="5"/>
      <c r="AS43" s="14">
        <v>19.072647</v>
      </c>
      <c r="AT43" s="15">
        <v>18.722845</v>
      </c>
      <c r="AU43" s="15">
        <v>19.287832000000002</v>
      </c>
      <c r="AV43" s="16">
        <v>19.007273000000001</v>
      </c>
      <c r="AW43" s="12">
        <f t="shared" ref="AW43:AW52" si="76">IF(OR(AS43="",AS43="NaN"),"",AS43-AVERAGE(AS$43:AS$52))</f>
        <v>-2.8269800000000345E-2</v>
      </c>
      <c r="AX43" s="12">
        <f t="shared" ref="AX43:AX52" si="77">IF(OR(AT43="",AT43="NaN"),"",AT43-AVERAGE(AT$43:AT$52))</f>
        <v>-0.35722779999999688</v>
      </c>
      <c r="AY43" s="12">
        <f t="shared" ref="AY43:AY52" si="78">IF(OR(AU43="",AU43="NaN"),"",AU43-AVERAGE(AU$43:AU$52))</f>
        <v>0.25787730000000408</v>
      </c>
      <c r="AZ43" s="17">
        <v>8.5472803115844727</v>
      </c>
      <c r="BB43" s="5"/>
      <c r="BC43" s="14">
        <v>2.8703356000000002</v>
      </c>
      <c r="BD43" s="15">
        <v>2.8525138000000001</v>
      </c>
      <c r="BE43" s="15">
        <v>2.8729876999999999</v>
      </c>
      <c r="BF43" s="16">
        <v>2.8842232000000001</v>
      </c>
      <c r="BG43" s="12">
        <f t="shared" ref="BG43:BG52" si="79">IF(OR(BC43="",BC43="NaN"),"",BC43-AVERAGE(BC$43:BC$52))</f>
        <v>-1.8593299999993818E-3</v>
      </c>
      <c r="BH43" s="12">
        <f t="shared" ref="BH43:BH52" si="80">IF(OR(BD43="",BD43="NaN"),"",BD43-AVERAGE(BD$43:BD$52))</f>
        <v>-2.9425610000000102E-2</v>
      </c>
      <c r="BI43" s="12">
        <f t="shared" ref="BI43:BI52" si="81">IF(OR(BE43="",BE43="NaN"),"",BE43-AVERAGE(BE$43:BE$52))</f>
        <v>-1.4747770000000049E-2</v>
      </c>
      <c r="BJ43" s="17">
        <v>2.0364480018615718</v>
      </c>
      <c r="BL43" s="5"/>
      <c r="BM43" s="14">
        <v>2.0386576999999999</v>
      </c>
      <c r="BN43" s="15">
        <v>1.9614134999999999</v>
      </c>
      <c r="BO43" s="15">
        <v>2.0181089999999999</v>
      </c>
      <c r="BP43" s="16">
        <v>1.889826</v>
      </c>
      <c r="BQ43" s="12">
        <f t="shared" ref="BQ43:BQ52" si="82">IF(OR(BM43="",BM43="NaN"),"",BM43-AVERAGE(BM$43:BM$52))</f>
        <v>2.5832670000000224E-2</v>
      </c>
      <c r="BR43" s="12">
        <f t="shared" ref="BR43:BR52" si="83">IF(OR(BN43="",BN43="NaN"),"",BN43-AVERAGE(BN$43:BN$52))</f>
        <v>-3.7509569999999659E-2</v>
      </c>
      <c r="BS43" s="12">
        <f t="shared" ref="BS43:BS52" si="84">IF(OR(BO43="",BO43="NaN"),"",BO43-AVERAGE(BO$43:BO$52))</f>
        <v>-0.10750152999999996</v>
      </c>
      <c r="BT43" s="17">
        <v>11.600481033325201</v>
      </c>
      <c r="BV43" s="5"/>
      <c r="BW43" s="14">
        <v>5.683567</v>
      </c>
      <c r="BX43" s="15">
        <v>5.8414636</v>
      </c>
      <c r="BY43" s="15">
        <v>5.8793150000000001</v>
      </c>
      <c r="BZ43" s="16">
        <v>5.7636390000000004</v>
      </c>
      <c r="CA43" s="12">
        <f t="shared" ref="CA43:CA52" si="85">IF(OR(BW43="",BW43="NaN"),"",BW43-AVERAGE(BW$43:BW$52))</f>
        <v>-5.9711509999999635E-2</v>
      </c>
      <c r="CB43" s="12">
        <f t="shared" ref="CB43:CB52" si="86">IF(OR(BX43="",BX43="NaN"),"",BX43-AVERAGE(BX$43:BX$52))</f>
        <v>0.15815183999999949</v>
      </c>
      <c r="CC43" s="12">
        <f t="shared" ref="CC43:CC52" si="87">IF(OR(BY43="",BY43="NaN"),"",BY43-AVERAGE(BY$43:BY$52))</f>
        <v>0.1108798800000006</v>
      </c>
      <c r="CD43" s="17">
        <v>1.661480069160461</v>
      </c>
      <c r="CI43">
        <v>1.6860648393630979</v>
      </c>
      <c r="CN43">
        <v>1.5800526142120359</v>
      </c>
    </row>
    <row r="44" spans="1:92" x14ac:dyDescent="0.25">
      <c r="A44" s="38"/>
      <c r="B44" s="5">
        <v>2</v>
      </c>
      <c r="C44" s="18">
        <v>9</v>
      </c>
      <c r="E44" s="19">
        <v>87.893299999999996</v>
      </c>
      <c r="F44" s="20">
        <v>88.000754999999998</v>
      </c>
      <c r="G44" s="20">
        <v>87.890569999999997</v>
      </c>
      <c r="H44" s="21">
        <v>87.627914000000004</v>
      </c>
      <c r="I44" s="5">
        <f t="shared" si="64"/>
        <v>-5.2848199999999679E-2</v>
      </c>
      <c r="J44" s="5">
        <f t="shared" si="65"/>
        <v>-0.2507464999999911</v>
      </c>
      <c r="K44" s="5">
        <f t="shared" si="66"/>
        <v>7.3211599999993382E-2</v>
      </c>
      <c r="L44" s="22">
        <v>83.76715087890625</v>
      </c>
      <c r="M44" s="5"/>
      <c r="N44" s="5"/>
      <c r="O44" s="19">
        <v>53.706757000000003</v>
      </c>
      <c r="P44" s="20">
        <v>53.799174999999998</v>
      </c>
      <c r="Q44" s="20">
        <v>53.773009999999999</v>
      </c>
      <c r="R44" s="21">
        <v>54.377388000000003</v>
      </c>
      <c r="S44" s="5">
        <f t="shared" si="67"/>
        <v>-5.8550900000000183E-2</v>
      </c>
      <c r="T44" s="5">
        <f t="shared" si="68"/>
        <v>-0.22153950000001288</v>
      </c>
      <c r="U44" s="5">
        <f t="shared" si="69"/>
        <v>-0.12469300000000061</v>
      </c>
      <c r="V44" s="22">
        <v>72.540420532226563</v>
      </c>
      <c r="W44" s="5"/>
      <c r="X44" s="5"/>
      <c r="Y44" s="19">
        <v>9.8119779999999999</v>
      </c>
      <c r="Z44" s="20">
        <v>9.6674910000000001</v>
      </c>
      <c r="AA44" s="20">
        <v>10.016685000000001</v>
      </c>
      <c r="AB44" s="21">
        <v>10.044242000000001</v>
      </c>
      <c r="AC44" s="5">
        <f t="shared" si="70"/>
        <v>-7.0816199999999441E-2</v>
      </c>
      <c r="AD44" s="5">
        <f t="shared" si="71"/>
        <v>-7.1771999999999281E-2</v>
      </c>
      <c r="AE44" s="5">
        <f t="shared" si="72"/>
        <v>0.10342210000000129</v>
      </c>
      <c r="AF44" s="22">
        <v>19.888605117797852</v>
      </c>
      <c r="AG44" s="5"/>
      <c r="AH44" s="5"/>
      <c r="AI44" s="19">
        <v>7.2881830000000001</v>
      </c>
      <c r="AJ44" s="20">
        <v>7.3137600000000003</v>
      </c>
      <c r="AK44" s="20">
        <v>7.1103189999999996</v>
      </c>
      <c r="AL44" s="21">
        <v>7.1232049999999996</v>
      </c>
      <c r="AM44" s="5">
        <f t="shared" si="73"/>
        <v>0.17560261000000033</v>
      </c>
      <c r="AN44" s="5">
        <f t="shared" si="74"/>
        <v>0.15085030999999915</v>
      </c>
      <c r="AO44" s="5">
        <f t="shared" si="75"/>
        <v>0.21485220000000016</v>
      </c>
      <c r="AP44" s="22">
        <v>6.8013916015625</v>
      </c>
      <c r="AR44" s="5"/>
      <c r="AS44" s="19">
        <v>19.128504</v>
      </c>
      <c r="AT44" s="20">
        <v>18.886662000000001</v>
      </c>
      <c r="AU44" s="20">
        <v>19.310703</v>
      </c>
      <c r="AV44" s="21">
        <v>18.981902999999999</v>
      </c>
      <c r="AW44" s="5">
        <f t="shared" si="76"/>
        <v>2.7587199999999257E-2</v>
      </c>
      <c r="AX44" s="5">
        <f t="shared" si="77"/>
        <v>-0.19341079999999522</v>
      </c>
      <c r="AY44" s="5">
        <f t="shared" si="78"/>
        <v>0.28074830000000262</v>
      </c>
      <c r="AZ44" s="22">
        <v>8.9385299682617188</v>
      </c>
      <c r="BB44" s="5"/>
      <c r="BC44" s="19">
        <v>2.8703642</v>
      </c>
      <c r="BD44" s="20">
        <v>2.857043</v>
      </c>
      <c r="BE44" s="20">
        <v>2.8810630000000002</v>
      </c>
      <c r="BF44" s="21">
        <v>2.8842232000000001</v>
      </c>
      <c r="BG44" s="5">
        <f t="shared" si="79"/>
        <v>-1.8307299999995585E-3</v>
      </c>
      <c r="BH44" s="5">
        <f t="shared" si="80"/>
        <v>-2.4896410000000202E-2</v>
      </c>
      <c r="BI44" s="5">
        <f t="shared" si="81"/>
        <v>-6.6724699999998194E-3</v>
      </c>
      <c r="BJ44" s="22">
        <v>2.031427383422852</v>
      </c>
      <c r="BL44" s="5"/>
      <c r="BM44" s="19">
        <v>2.046036</v>
      </c>
      <c r="BN44" s="20">
        <v>1.9660572000000001</v>
      </c>
      <c r="BO44" s="20">
        <v>2.0715050000000002</v>
      </c>
      <c r="BP44" s="21">
        <v>1.882477</v>
      </c>
      <c r="BQ44" s="5">
        <f t="shared" si="82"/>
        <v>3.3210970000000284E-2</v>
      </c>
      <c r="BR44" s="5">
        <f t="shared" si="83"/>
        <v>-3.286586999999952E-2</v>
      </c>
      <c r="BS44" s="5">
        <f t="shared" si="84"/>
        <v>-5.4105529999999735E-2</v>
      </c>
      <c r="BT44" s="22">
        <v>11.676774024963381</v>
      </c>
      <c r="BV44" s="5"/>
      <c r="BW44" s="19">
        <v>5.7558319999999998</v>
      </c>
      <c r="BX44" s="20">
        <v>5.8804846</v>
      </c>
      <c r="BY44" s="20">
        <v>5.8015704000000001</v>
      </c>
      <c r="BZ44" s="21">
        <v>5.6578200000000001</v>
      </c>
      <c r="CA44" s="5">
        <f t="shared" si="85"/>
        <v>1.2553490000000167E-2</v>
      </c>
      <c r="CB44" s="5">
        <f t="shared" si="86"/>
        <v>0.19717283999999946</v>
      </c>
      <c r="CC44" s="5">
        <f t="shared" si="87"/>
        <v>3.3135280000000655E-2</v>
      </c>
      <c r="CD44" s="22">
        <v>1.714858412742615</v>
      </c>
      <c r="CI44">
        <v>1.69561243057251</v>
      </c>
      <c r="CN44">
        <v>1.572405934333801</v>
      </c>
    </row>
    <row r="45" spans="1:92" x14ac:dyDescent="0.25">
      <c r="A45" s="38"/>
      <c r="B45" s="5">
        <v>3</v>
      </c>
      <c r="C45" s="18">
        <v>14</v>
      </c>
      <c r="E45" s="19">
        <v>87.926024999999996</v>
      </c>
      <c r="F45" s="20">
        <v>88.240309999999994</v>
      </c>
      <c r="G45" s="20">
        <v>87.816810000000004</v>
      </c>
      <c r="H45" s="21">
        <v>87.515649999999994</v>
      </c>
      <c r="I45" s="5">
        <f t="shared" si="64"/>
        <v>-2.0123200000000452E-2</v>
      </c>
      <c r="J45" s="5">
        <f t="shared" si="65"/>
        <v>-1.1191499999995358E-2</v>
      </c>
      <c r="K45" s="5">
        <f t="shared" si="66"/>
        <v>-5.4839999999956035E-4</v>
      </c>
      <c r="L45" s="22">
        <v>83.730636596679688</v>
      </c>
      <c r="M45" s="5"/>
      <c r="N45" s="5"/>
      <c r="O45" s="19">
        <v>53.888966000000003</v>
      </c>
      <c r="P45" s="20">
        <v>53.908194999999999</v>
      </c>
      <c r="Q45" s="20">
        <v>53.722709999999999</v>
      </c>
      <c r="R45" s="21">
        <v>54.23659</v>
      </c>
      <c r="S45" s="5">
        <f t="shared" si="67"/>
        <v>0.1236581000000001</v>
      </c>
      <c r="T45" s="5">
        <f t="shared" si="68"/>
        <v>-0.11251950000001187</v>
      </c>
      <c r="U45" s="5">
        <f t="shared" si="69"/>
        <v>-0.17499300000000062</v>
      </c>
      <c r="V45" s="22">
        <v>72.576461791992188</v>
      </c>
      <c r="W45" s="5"/>
      <c r="X45" s="5"/>
      <c r="Y45" s="19">
        <v>9.8284929999999999</v>
      </c>
      <c r="Z45" s="20">
        <v>9.7797780000000003</v>
      </c>
      <c r="AA45" s="20">
        <v>9.9497900000000001</v>
      </c>
      <c r="AB45" s="21">
        <v>10.293428</v>
      </c>
      <c r="AC45" s="5">
        <f t="shared" si="70"/>
        <v>-5.4301199999999383E-2</v>
      </c>
      <c r="AD45" s="5">
        <f t="shared" si="71"/>
        <v>4.0515000000000967E-2</v>
      </c>
      <c r="AE45" s="5">
        <f t="shared" si="72"/>
        <v>3.6527100000000701E-2</v>
      </c>
      <c r="AF45" s="22">
        <v>19.812723159790039</v>
      </c>
      <c r="AG45" s="5"/>
      <c r="AH45" s="5"/>
      <c r="AI45" s="19">
        <v>7.2749248</v>
      </c>
      <c r="AJ45" s="20">
        <v>7.1765046000000003</v>
      </c>
      <c r="AK45" s="20">
        <v>6.8797829999999998</v>
      </c>
      <c r="AL45" s="21">
        <v>7.0002240000000002</v>
      </c>
      <c r="AM45" s="5">
        <f t="shared" si="73"/>
        <v>0.16234441000000022</v>
      </c>
      <c r="AN45" s="5">
        <f t="shared" si="74"/>
        <v>1.3594909999999238E-2</v>
      </c>
      <c r="AO45" s="5">
        <f t="shared" si="75"/>
        <v>-1.5683799999999692E-2</v>
      </c>
      <c r="AP45" s="22">
        <v>6.7438144683837891</v>
      </c>
      <c r="AR45" s="5"/>
      <c r="AS45" s="19">
        <v>19.062262</v>
      </c>
      <c r="AT45" s="20">
        <v>19.07469</v>
      </c>
      <c r="AU45" s="20">
        <v>19.03556</v>
      </c>
      <c r="AV45" s="21">
        <v>18.950261999999999</v>
      </c>
      <c r="AW45" s="5">
        <f t="shared" si="76"/>
        <v>-3.8654799999999767E-2</v>
      </c>
      <c r="AX45" s="5">
        <f t="shared" si="77"/>
        <v>-5.3827999999960241E-3</v>
      </c>
      <c r="AY45" s="5">
        <f t="shared" si="78"/>
        <v>5.6053000000026998E-3</v>
      </c>
      <c r="AZ45" s="22">
        <v>8.4710245132446289</v>
      </c>
      <c r="BB45" s="5"/>
      <c r="BC45" s="19">
        <v>2.8703642</v>
      </c>
      <c r="BD45" s="20">
        <v>2.8857461999999998</v>
      </c>
      <c r="BE45" s="20">
        <v>2.8745565000000002</v>
      </c>
      <c r="BF45" s="21">
        <v>2.9056804000000001</v>
      </c>
      <c r="BG45" s="5">
        <f t="shared" si="79"/>
        <v>-1.8307299999995585E-3</v>
      </c>
      <c r="BH45" s="5">
        <f t="shared" si="80"/>
        <v>3.8067899999996158E-3</v>
      </c>
      <c r="BI45" s="5">
        <f t="shared" si="81"/>
        <v>-1.317896999999979E-2</v>
      </c>
      <c r="BJ45" s="22">
        <v>2.031427383422852</v>
      </c>
      <c r="BL45" s="5"/>
      <c r="BM45" s="19">
        <v>2.0398388000000001</v>
      </c>
      <c r="BN45" s="20">
        <v>1.9600782000000001</v>
      </c>
      <c r="BO45" s="20">
        <v>2.0049214000000002</v>
      </c>
      <c r="BP45" s="21">
        <v>2.0193311999999999</v>
      </c>
      <c r="BQ45" s="5">
        <f t="shared" si="82"/>
        <v>2.7013770000000381E-2</v>
      </c>
      <c r="BR45" s="5">
        <f t="shared" si="83"/>
        <v>-3.8844869999999476E-2</v>
      </c>
      <c r="BS45" s="5">
        <f t="shared" si="84"/>
        <v>-0.1206891299999997</v>
      </c>
      <c r="BT45" s="22">
        <v>11.68335056304932</v>
      </c>
      <c r="BV45" s="5"/>
      <c r="BW45" s="19">
        <v>5.7575035000000003</v>
      </c>
      <c r="BX45" s="20">
        <v>5.6623190000000001</v>
      </c>
      <c r="BY45" s="20">
        <v>5.7695217000000003</v>
      </c>
      <c r="BZ45" s="21">
        <v>5.6444874</v>
      </c>
      <c r="CA45" s="5">
        <f t="shared" si="85"/>
        <v>1.4224990000000659E-2</v>
      </c>
      <c r="CB45" s="5">
        <f t="shared" si="86"/>
        <v>-2.0992760000000388E-2</v>
      </c>
      <c r="CC45" s="5">
        <f t="shared" si="87"/>
        <v>1.0865800000008363E-3</v>
      </c>
      <c r="CD45" s="22">
        <v>1.708797335624695</v>
      </c>
      <c r="CI45">
        <v>1.6461713314056401</v>
      </c>
      <c r="CN45">
        <v>1.572405934333801</v>
      </c>
    </row>
    <row r="46" spans="1:92" x14ac:dyDescent="0.25">
      <c r="A46" s="38"/>
      <c r="B46" s="5">
        <v>4</v>
      </c>
      <c r="C46" s="18">
        <v>19</v>
      </c>
      <c r="E46" s="19">
        <v>87.946709999999996</v>
      </c>
      <c r="F46" s="20">
        <v>88.297899999999998</v>
      </c>
      <c r="G46" s="20">
        <v>87.829880000000003</v>
      </c>
      <c r="H46" s="21">
        <v>87.53895</v>
      </c>
      <c r="I46" s="5">
        <f t="shared" si="64"/>
        <v>5.6179999999983465E-4</v>
      </c>
      <c r="J46" s="5">
        <f t="shared" si="65"/>
        <v>4.6398500000009335E-2</v>
      </c>
      <c r="K46" s="5">
        <f t="shared" si="66"/>
        <v>1.2521599999999466E-2</v>
      </c>
      <c r="L46" s="22">
        <v>83.663612365722656</v>
      </c>
      <c r="M46" s="5"/>
      <c r="N46" s="5"/>
      <c r="O46" s="19">
        <v>53.921100000000003</v>
      </c>
      <c r="P46" s="20">
        <v>54.099040000000002</v>
      </c>
      <c r="Q46" s="20">
        <v>53.882705999999999</v>
      </c>
      <c r="R46" s="21">
        <v>54.337302999999999</v>
      </c>
      <c r="S46" s="5">
        <f t="shared" si="67"/>
        <v>0.15579209999999932</v>
      </c>
      <c r="T46" s="5">
        <f t="shared" si="68"/>
        <v>7.8325499999991166E-2</v>
      </c>
      <c r="U46" s="5">
        <f t="shared" si="69"/>
        <v>-1.4997000000001037E-2</v>
      </c>
      <c r="V46" s="22">
        <v>72.547767639160156</v>
      </c>
      <c r="W46" s="5"/>
      <c r="X46" s="5"/>
      <c r="Y46" s="19">
        <v>9.9414429999999996</v>
      </c>
      <c r="Z46" s="20">
        <v>9.7959189999999996</v>
      </c>
      <c r="AA46" s="20">
        <v>9.8952329999999993</v>
      </c>
      <c r="AB46" s="21">
        <v>10.079496000000001</v>
      </c>
      <c r="AC46" s="5">
        <f t="shared" si="70"/>
        <v>5.8648800000000278E-2</v>
      </c>
      <c r="AD46" s="5">
        <f t="shared" si="71"/>
        <v>5.6656000000000262E-2</v>
      </c>
      <c r="AE46" s="5">
        <f t="shared" si="72"/>
        <v>-1.8029900000000154E-2</v>
      </c>
      <c r="AF46" s="22">
        <v>25.950006484985352</v>
      </c>
      <c r="AG46" s="5"/>
      <c r="AH46" s="5"/>
      <c r="AI46" s="19">
        <v>7.1478605000000002</v>
      </c>
      <c r="AJ46" s="20">
        <v>7.1803675</v>
      </c>
      <c r="AK46" s="20">
        <v>6.9222583999999996</v>
      </c>
      <c r="AL46" s="21">
        <v>6.9992856999999997</v>
      </c>
      <c r="AM46" s="5">
        <f t="shared" si="73"/>
        <v>3.528011000000042E-2</v>
      </c>
      <c r="AN46" s="5">
        <f t="shared" si="74"/>
        <v>1.7457809999998908E-2</v>
      </c>
      <c r="AO46" s="5">
        <f t="shared" si="75"/>
        <v>2.6791600000000138E-2</v>
      </c>
      <c r="AP46" s="22">
        <v>6.8058485984802246</v>
      </c>
      <c r="AR46" s="5"/>
      <c r="AS46" s="19">
        <v>19.080248000000001</v>
      </c>
      <c r="AT46" s="20">
        <v>19.004362</v>
      </c>
      <c r="AU46" s="20">
        <v>18.964051999999999</v>
      </c>
      <c r="AV46" s="21">
        <v>18.929442999999999</v>
      </c>
      <c r="AW46" s="5">
        <f t="shared" si="76"/>
        <v>-2.0668799999999266E-2</v>
      </c>
      <c r="AX46" s="5">
        <f t="shared" si="77"/>
        <v>-7.571079999999597E-2</v>
      </c>
      <c r="AY46" s="5">
        <f t="shared" si="78"/>
        <v>-6.5902699999998759E-2</v>
      </c>
      <c r="AZ46" s="22">
        <v>8.9618806838989258</v>
      </c>
      <c r="BB46" s="5"/>
      <c r="BC46" s="19">
        <v>2.8721209000000001</v>
      </c>
      <c r="BD46" s="20">
        <v>2.8857461999999998</v>
      </c>
      <c r="BE46" s="20">
        <v>2.8794092999999998</v>
      </c>
      <c r="BF46" s="21">
        <v>2.8998067000000001</v>
      </c>
      <c r="BG46" s="5">
        <f t="shared" si="79"/>
        <v>-7.4029999999503104E-5</v>
      </c>
      <c r="BH46" s="5">
        <f t="shared" si="80"/>
        <v>3.8067899999996158E-3</v>
      </c>
      <c r="BI46" s="5">
        <f t="shared" si="81"/>
        <v>-8.3261700000001326E-3</v>
      </c>
      <c r="BJ46" s="22">
        <v>2.0164527893066411</v>
      </c>
      <c r="BL46" s="5"/>
      <c r="BM46" s="19">
        <v>2.0133624000000001</v>
      </c>
      <c r="BN46" s="20">
        <v>2.0703382000000001</v>
      </c>
      <c r="BO46" s="20">
        <v>1.9890285000000001</v>
      </c>
      <c r="BP46" s="21">
        <v>2.0133724000000002</v>
      </c>
      <c r="BQ46" s="5">
        <f t="shared" si="82"/>
        <v>5.3737000000042556E-4</v>
      </c>
      <c r="BR46" s="5">
        <f t="shared" si="83"/>
        <v>7.1415130000000548E-2</v>
      </c>
      <c r="BS46" s="5">
        <f t="shared" si="84"/>
        <v>-0.1365820299999998</v>
      </c>
      <c r="BT46" s="22">
        <v>11.590792655944821</v>
      </c>
      <c r="BV46" s="5"/>
      <c r="BW46" s="19">
        <v>5.7687359999999996</v>
      </c>
      <c r="BX46" s="20">
        <v>5.6009564000000003</v>
      </c>
      <c r="BY46" s="20">
        <v>5.7582700000000004</v>
      </c>
      <c r="BZ46" s="21">
        <v>5.7447577000000001</v>
      </c>
      <c r="CA46" s="5">
        <f t="shared" si="85"/>
        <v>2.5457489999999972E-2</v>
      </c>
      <c r="CB46" s="5">
        <f t="shared" si="86"/>
        <v>-8.2355360000000211E-2</v>
      </c>
      <c r="CC46" s="5">
        <f t="shared" si="87"/>
        <v>-1.0165119999999028E-2</v>
      </c>
      <c r="CD46" s="22">
        <v>1.7022615671157839</v>
      </c>
      <c r="CI46">
        <v>1.62053918838501</v>
      </c>
      <c r="CN46">
        <v>1.554257750511169</v>
      </c>
    </row>
    <row r="47" spans="1:92" x14ac:dyDescent="0.25">
      <c r="A47" s="38"/>
      <c r="B47" s="5">
        <v>5</v>
      </c>
      <c r="C47" s="18">
        <v>24</v>
      </c>
      <c r="E47" s="19">
        <v>87.924459999999996</v>
      </c>
      <c r="F47" s="20">
        <v>88.292469999999994</v>
      </c>
      <c r="G47" s="20">
        <v>87.713104000000001</v>
      </c>
      <c r="H47" s="21">
        <v>87.470860000000002</v>
      </c>
      <c r="I47" s="5">
        <f t="shared" si="64"/>
        <v>-2.1688199999999824E-2</v>
      </c>
      <c r="J47" s="5">
        <f t="shared" si="65"/>
        <v>4.0968500000005292E-2</v>
      </c>
      <c r="K47" s="5">
        <f t="shared" si="66"/>
        <v>-0.10425440000000208</v>
      </c>
      <c r="L47" s="22">
        <v>83.662490844726563</v>
      </c>
      <c r="M47" s="5"/>
      <c r="N47" s="5"/>
      <c r="O47" s="19">
        <v>53.850037</v>
      </c>
      <c r="P47" s="20">
        <v>54.058872000000001</v>
      </c>
      <c r="Q47" s="20">
        <v>53.928379999999997</v>
      </c>
      <c r="R47" s="21">
        <v>54.688476999999999</v>
      </c>
      <c r="S47" s="5">
        <f t="shared" si="67"/>
        <v>8.4729099999997004E-2</v>
      </c>
      <c r="T47" s="5">
        <f t="shared" si="68"/>
        <v>3.8157499999989852E-2</v>
      </c>
      <c r="U47" s="5">
        <f t="shared" si="69"/>
        <v>3.0676999999997179E-2</v>
      </c>
      <c r="V47" s="22">
        <v>72.642753601074219</v>
      </c>
      <c r="W47" s="5"/>
      <c r="X47" s="5"/>
      <c r="Y47" s="19">
        <v>9.9627750000000006</v>
      </c>
      <c r="Z47" s="20">
        <v>9.765307</v>
      </c>
      <c r="AA47" s="20">
        <v>9.9257019999999994</v>
      </c>
      <c r="AB47" s="21">
        <v>10.225765000000001</v>
      </c>
      <c r="AC47" s="5">
        <f t="shared" si="70"/>
        <v>7.9980800000001295E-2</v>
      </c>
      <c r="AD47" s="5">
        <f t="shared" si="71"/>
        <v>2.6044000000000622E-2</v>
      </c>
      <c r="AE47" s="5">
        <f t="shared" si="72"/>
        <v>1.2439099999999925E-2</v>
      </c>
      <c r="AF47" s="22">
        <v>26.017669677734371</v>
      </c>
      <c r="AG47" s="5"/>
      <c r="AH47" s="5"/>
      <c r="AI47" s="19">
        <v>7.1478605000000002</v>
      </c>
      <c r="AJ47" s="20">
        <v>7.1803675</v>
      </c>
      <c r="AK47" s="20">
        <v>6.8264149999999999</v>
      </c>
      <c r="AL47" s="21">
        <v>7.009131</v>
      </c>
      <c r="AM47" s="5">
        <f t="shared" si="73"/>
        <v>3.528011000000042E-2</v>
      </c>
      <c r="AN47" s="5">
        <f t="shared" si="74"/>
        <v>1.7457809999998908E-2</v>
      </c>
      <c r="AO47" s="5">
        <f t="shared" si="75"/>
        <v>-6.9051799999999552E-2</v>
      </c>
      <c r="AP47" s="22">
        <v>6.7330117225646973</v>
      </c>
      <c r="AR47" s="5"/>
      <c r="AS47" s="19">
        <v>19.103505999999999</v>
      </c>
      <c r="AT47" s="20">
        <v>19.046683999999999</v>
      </c>
      <c r="AU47" s="20">
        <v>18.921530000000001</v>
      </c>
      <c r="AV47" s="21">
        <v>18.78087</v>
      </c>
      <c r="AW47" s="5">
        <f t="shared" si="76"/>
        <v>2.589199999999181E-3</v>
      </c>
      <c r="AX47" s="5">
        <f t="shared" si="77"/>
        <v>-3.3388799999997332E-2</v>
      </c>
      <c r="AY47" s="5">
        <f t="shared" si="78"/>
        <v>-0.10842469999999693</v>
      </c>
      <c r="AZ47" s="22">
        <v>9.1056165695190447</v>
      </c>
      <c r="BB47" s="5"/>
      <c r="BC47" s="19">
        <v>2.8721209000000001</v>
      </c>
      <c r="BD47" s="20">
        <v>2.8857461999999998</v>
      </c>
      <c r="BE47" s="20">
        <v>2.9026299</v>
      </c>
      <c r="BF47" s="21">
        <v>2.9075000000000002</v>
      </c>
      <c r="BG47" s="5">
        <f t="shared" si="79"/>
        <v>-7.4029999999503104E-5</v>
      </c>
      <c r="BH47" s="5">
        <f t="shared" si="80"/>
        <v>3.8067899999996158E-3</v>
      </c>
      <c r="BI47" s="5">
        <f t="shared" si="81"/>
        <v>1.4894430000000014E-2</v>
      </c>
      <c r="BJ47" s="22">
        <v>2.0164527893066411</v>
      </c>
      <c r="BL47" s="5"/>
      <c r="BM47" s="19">
        <v>2.0180058000000001</v>
      </c>
      <c r="BN47" s="20">
        <v>2.033868</v>
      </c>
      <c r="BO47" s="20">
        <v>2.023641</v>
      </c>
      <c r="BP47" s="21">
        <v>1.9852281000000001</v>
      </c>
      <c r="BQ47" s="5">
        <f t="shared" si="82"/>
        <v>5.1807700000003898E-3</v>
      </c>
      <c r="BR47" s="5">
        <f t="shared" si="83"/>
        <v>3.4944930000000429E-2</v>
      </c>
      <c r="BS47" s="5">
        <f t="shared" si="84"/>
        <v>-0.10196952999999986</v>
      </c>
      <c r="BT47" s="22">
        <v>11.654411315917971</v>
      </c>
      <c r="BV47" s="5"/>
      <c r="BW47" s="19">
        <v>5.7590522999999996</v>
      </c>
      <c r="BX47" s="20">
        <v>5.5900449999999999</v>
      </c>
      <c r="BY47" s="20">
        <v>5.7395699999999996</v>
      </c>
      <c r="BZ47" s="21">
        <v>5.6559663000000002</v>
      </c>
      <c r="CA47" s="5">
        <f t="shared" si="85"/>
        <v>1.5773789999999899E-2</v>
      </c>
      <c r="CB47" s="5">
        <f t="shared" si="86"/>
        <v>-9.3266760000000559E-2</v>
      </c>
      <c r="CC47" s="5">
        <f t="shared" si="87"/>
        <v>-2.8865119999999855E-2</v>
      </c>
      <c r="CD47" s="22">
        <v>1.719078540802002</v>
      </c>
      <c r="CI47">
        <v>1.6216087341308589</v>
      </c>
      <c r="CN47">
        <v>1.6146572828292849</v>
      </c>
    </row>
    <row r="48" spans="1:92" x14ac:dyDescent="0.25">
      <c r="A48" s="38"/>
      <c r="B48" s="5">
        <v>6</v>
      </c>
      <c r="C48" s="18">
        <v>29</v>
      </c>
      <c r="E48" s="19">
        <v>87.906456000000006</v>
      </c>
      <c r="F48" s="20">
        <v>88.30932</v>
      </c>
      <c r="G48" s="20">
        <v>87.697090000000003</v>
      </c>
      <c r="H48" s="21">
        <v>87.470240000000004</v>
      </c>
      <c r="I48" s="5">
        <f t="shared" si="64"/>
        <v>-3.9692199999990407E-2</v>
      </c>
      <c r="J48" s="5">
        <f t="shared" si="65"/>
        <v>5.7818500000010431E-2</v>
      </c>
      <c r="K48" s="5">
        <f t="shared" si="66"/>
        <v>-0.1202684000000005</v>
      </c>
      <c r="L48" s="22">
        <v>83.633644104003906</v>
      </c>
      <c r="M48" s="5"/>
      <c r="N48" s="5"/>
      <c r="O48" s="19">
        <v>53.650115999999997</v>
      </c>
      <c r="P48" s="20">
        <v>53.997993000000001</v>
      </c>
      <c r="Q48" s="20">
        <v>53.936160000000001</v>
      </c>
      <c r="R48" s="21">
        <v>54.538159999999998</v>
      </c>
      <c r="S48" s="5">
        <f t="shared" si="67"/>
        <v>-0.11519190000000634</v>
      </c>
      <c r="T48" s="5">
        <f t="shared" si="68"/>
        <v>-2.2721500000010053E-2</v>
      </c>
      <c r="U48" s="5">
        <f t="shared" si="69"/>
        <v>3.8457000000001074E-2</v>
      </c>
      <c r="V48" s="22">
        <v>72.665420532226563</v>
      </c>
      <c r="W48" s="5"/>
      <c r="X48" s="5"/>
      <c r="Y48" s="19">
        <v>9.9267845000000001</v>
      </c>
      <c r="Z48" s="20">
        <v>9.7357479999999992</v>
      </c>
      <c r="AA48" s="20">
        <v>9.8988180000000003</v>
      </c>
      <c r="AB48" s="21">
        <v>10.259945</v>
      </c>
      <c r="AC48" s="5">
        <f t="shared" si="70"/>
        <v>4.3990300000000815E-2</v>
      </c>
      <c r="AD48" s="5">
        <f t="shared" si="71"/>
        <v>-3.5150000000001569E-3</v>
      </c>
      <c r="AE48" s="5">
        <f t="shared" si="72"/>
        <v>-1.4444899999999095E-2</v>
      </c>
      <c r="AF48" s="22">
        <v>26.01823806762696</v>
      </c>
      <c r="AG48" s="5"/>
      <c r="AH48" s="5"/>
      <c r="AI48" s="19">
        <v>6.8865504</v>
      </c>
      <c r="AJ48" s="20">
        <v>7.0643960000000003</v>
      </c>
      <c r="AK48" s="20">
        <v>6.7736625999999998</v>
      </c>
      <c r="AL48" s="21">
        <v>7.0610265999999999</v>
      </c>
      <c r="AM48" s="5">
        <f t="shared" si="73"/>
        <v>-0.22602998999999979</v>
      </c>
      <c r="AN48" s="5">
        <f t="shared" si="74"/>
        <v>-9.8513690000000764E-2</v>
      </c>
      <c r="AO48" s="5">
        <f t="shared" si="75"/>
        <v>-0.1218041999999997</v>
      </c>
      <c r="AP48" s="22">
        <v>6.7330117225646973</v>
      </c>
      <c r="AR48" s="5"/>
      <c r="AS48" s="19">
        <v>19.124324999999999</v>
      </c>
      <c r="AT48" s="20">
        <v>19.22091</v>
      </c>
      <c r="AU48" s="20">
        <v>18.975843000000001</v>
      </c>
      <c r="AV48" s="21">
        <v>18.774542</v>
      </c>
      <c r="AW48" s="5">
        <f t="shared" si="76"/>
        <v>2.3408199999998658E-2</v>
      </c>
      <c r="AX48" s="5">
        <f t="shared" si="77"/>
        <v>0.14083720000000355</v>
      </c>
      <c r="AY48" s="5">
        <f t="shared" si="78"/>
        <v>-5.4111699999996432E-2</v>
      </c>
      <c r="AZ48" s="22">
        <v>8.5940036773681641</v>
      </c>
      <c r="BB48" s="5"/>
      <c r="BC48" s="19">
        <v>2.8751403999999998</v>
      </c>
      <c r="BD48" s="20">
        <v>2.8857461999999998</v>
      </c>
      <c r="BE48" s="20">
        <v>2.9026299</v>
      </c>
      <c r="BF48" s="21">
        <v>2.8998067000000001</v>
      </c>
      <c r="BG48" s="5">
        <f t="shared" si="79"/>
        <v>2.9454700000002276E-3</v>
      </c>
      <c r="BH48" s="5">
        <f t="shared" si="80"/>
        <v>3.8067899999996158E-3</v>
      </c>
      <c r="BI48" s="5">
        <f t="shared" si="81"/>
        <v>1.4894430000000014E-2</v>
      </c>
      <c r="BJ48" s="22">
        <v>2.0392179489135742</v>
      </c>
      <c r="BL48" s="5"/>
      <c r="BM48" s="19">
        <v>1.9945318999999999</v>
      </c>
      <c r="BN48" s="20">
        <v>1.9958967999999999</v>
      </c>
      <c r="BO48" s="20">
        <v>2.1297252000000002</v>
      </c>
      <c r="BP48" s="21">
        <v>2.0086124000000001</v>
      </c>
      <c r="BQ48" s="5">
        <f t="shared" si="82"/>
        <v>-1.8293129999999769E-2</v>
      </c>
      <c r="BR48" s="5">
        <f t="shared" si="83"/>
        <v>-3.0262699999996645E-3</v>
      </c>
      <c r="BS48" s="5">
        <f t="shared" si="84"/>
        <v>4.11467000000032E-3</v>
      </c>
      <c r="BT48" s="22">
        <v>11.75373458862305</v>
      </c>
      <c r="BV48" s="5"/>
      <c r="BW48" s="19">
        <v>5.7502193000000004</v>
      </c>
      <c r="BX48" s="20">
        <v>5.6359250000000003</v>
      </c>
      <c r="BY48" s="20">
        <v>5.7357053999999996</v>
      </c>
      <c r="BZ48" s="21">
        <v>5.6559663000000002</v>
      </c>
      <c r="CA48" s="5">
        <f t="shared" si="85"/>
        <v>6.9407900000006961E-3</v>
      </c>
      <c r="CB48" s="5">
        <f t="shared" si="86"/>
        <v>-4.7386760000000194E-2</v>
      </c>
      <c r="CC48" s="5">
        <f t="shared" si="87"/>
        <v>-3.2729719999999851E-2</v>
      </c>
      <c r="CD48" s="22">
        <v>1.708797335624695</v>
      </c>
      <c r="CI48">
        <v>1.645041227340698</v>
      </c>
      <c r="CN48">
        <v>3.4586410522460942</v>
      </c>
    </row>
    <row r="49" spans="1:82" x14ac:dyDescent="0.25">
      <c r="A49" s="38"/>
      <c r="B49" s="5">
        <v>7</v>
      </c>
      <c r="C49" s="18">
        <v>34</v>
      </c>
      <c r="E49" s="19">
        <v>87.975005999999993</v>
      </c>
      <c r="F49" s="20">
        <v>88.210980000000006</v>
      </c>
      <c r="G49" s="20">
        <v>87.708269999999999</v>
      </c>
      <c r="H49" s="21">
        <v>87.458579999999998</v>
      </c>
      <c r="I49" s="5">
        <f t="shared" si="64"/>
        <v>2.8857799999997269E-2</v>
      </c>
      <c r="J49" s="5">
        <f t="shared" si="65"/>
        <v>-4.052149999998278E-2</v>
      </c>
      <c r="K49" s="5">
        <f t="shared" si="66"/>
        <v>-0.10908840000000453</v>
      </c>
      <c r="L49" s="22">
        <f>IF(OR(H49="",H49="NaN"),"",H49-AVERAGE(H$43:H$52))</f>
        <v>-5.7263000000006059E-2</v>
      </c>
      <c r="M49" s="5"/>
      <c r="N49" s="5"/>
      <c r="O49" s="19">
        <v>53.705379999999998</v>
      </c>
      <c r="P49" s="20">
        <v>54.083297999999999</v>
      </c>
      <c r="Q49" s="20">
        <v>53.908405000000002</v>
      </c>
      <c r="R49" s="21">
        <v>54.151572999999999</v>
      </c>
      <c r="S49" s="5">
        <f t="shared" si="67"/>
        <v>-5.9927900000005252E-2</v>
      </c>
      <c r="T49" s="5">
        <f t="shared" si="68"/>
        <v>6.2583499999988135E-2</v>
      </c>
      <c r="U49" s="5">
        <f t="shared" si="69"/>
        <v>1.0702000000001988E-2</v>
      </c>
      <c r="V49" s="22">
        <f>IF(OR(R49="",R49="NaN"),"",R49-AVERAGE(R$43:R$52))</f>
        <v>-0.27181349999999327</v>
      </c>
      <c r="W49" s="5"/>
      <c r="X49" s="5"/>
      <c r="Y49" s="19">
        <v>9.9498789999999993</v>
      </c>
      <c r="Z49" s="20">
        <v>9.7186419999999991</v>
      </c>
      <c r="AA49" s="20">
        <v>9.8733810000000002</v>
      </c>
      <c r="AB49" s="21">
        <v>10.2465315</v>
      </c>
      <c r="AC49" s="5">
        <f t="shared" si="70"/>
        <v>6.7084799999999944E-2</v>
      </c>
      <c r="AD49" s="5">
        <f t="shared" si="71"/>
        <v>-2.0621000000000222E-2</v>
      </c>
      <c r="AE49" s="5">
        <f t="shared" si="72"/>
        <v>-3.9881899999999249E-2</v>
      </c>
      <c r="AF49" s="22">
        <f>IF(OR(AB49="",AB49="NaN"),"",AB49-AVERAGE(AB$43:AB$52))</f>
        <v>4.9930199999998592E-2</v>
      </c>
      <c r="AG49" s="5"/>
      <c r="AH49" s="5"/>
      <c r="AI49" s="19">
        <v>6.8824015000000003</v>
      </c>
      <c r="AJ49" s="20">
        <v>7.0846634000000002</v>
      </c>
      <c r="AK49" s="20">
        <v>6.9134890000000002</v>
      </c>
      <c r="AL49" s="21">
        <v>7.0575260000000002</v>
      </c>
      <c r="AM49" s="5">
        <f t="shared" si="73"/>
        <v>-0.23017888999999947</v>
      </c>
      <c r="AN49" s="5">
        <f t="shared" si="74"/>
        <v>-7.824629000000094E-2</v>
      </c>
      <c r="AO49" s="5">
        <f t="shared" si="75"/>
        <v>1.8022200000000765E-2</v>
      </c>
      <c r="AP49" s="22">
        <f>IF(OR(AL49="",AL49="NaN"),"",AL49-AVERAGE(AL$43:AL$52))</f>
        <v>-7.2361300000007844E-3</v>
      </c>
      <c r="AR49" s="5"/>
      <c r="AS49" s="19">
        <v>19.124324999999999</v>
      </c>
      <c r="AT49" s="20">
        <v>19.144919999999999</v>
      </c>
      <c r="AU49" s="20">
        <v>18.974777</v>
      </c>
      <c r="AV49" s="21">
        <v>18.808990000000001</v>
      </c>
      <c r="AW49" s="5">
        <f t="shared" si="76"/>
        <v>2.3408199999998658E-2</v>
      </c>
      <c r="AX49" s="5">
        <f t="shared" si="77"/>
        <v>6.4847200000002658E-2</v>
      </c>
      <c r="AY49" s="5">
        <f t="shared" si="78"/>
        <v>-5.5177699999997998E-2</v>
      </c>
      <c r="AZ49" s="22">
        <f>IF(OR(AV49="",AV49="NaN"),"",AV49-AVERAGE(AV$43:AV$52))</f>
        <v>-4.4705499999992071E-2</v>
      </c>
      <c r="BB49" s="5"/>
      <c r="BC49" s="19">
        <v>2.8721209000000001</v>
      </c>
      <c r="BD49" s="20">
        <v>2.8857461999999998</v>
      </c>
      <c r="BE49" s="20">
        <v>2.9026299</v>
      </c>
      <c r="BF49" s="21">
        <v>2.8998067000000001</v>
      </c>
      <c r="BG49" s="5">
        <f t="shared" si="79"/>
        <v>-7.4029999999503104E-5</v>
      </c>
      <c r="BH49" s="5">
        <f t="shared" si="80"/>
        <v>3.8067899999996158E-3</v>
      </c>
      <c r="BI49" s="5">
        <f t="shared" si="81"/>
        <v>1.4894430000000014E-2</v>
      </c>
      <c r="BJ49" s="22">
        <f>IF(OR(BF49="",BF49="NaN"),"",BF49-AVERAGE(BF$43:BF$52))</f>
        <v>-7.9017000000014548E-4</v>
      </c>
      <c r="BL49" s="5"/>
      <c r="BM49" s="19">
        <v>2.0325030000000002</v>
      </c>
      <c r="BN49" s="20">
        <v>1.9649074</v>
      </c>
      <c r="BO49" s="20">
        <v>2.039698</v>
      </c>
      <c r="BP49" s="21">
        <v>1.9706416</v>
      </c>
      <c r="BQ49" s="5">
        <f t="shared" si="82"/>
        <v>1.9677970000000489E-2</v>
      </c>
      <c r="BR49" s="5">
        <f t="shared" si="83"/>
        <v>-3.4015669999999609E-2</v>
      </c>
      <c r="BS49" s="5">
        <f t="shared" si="84"/>
        <v>-8.5912529999999876E-2</v>
      </c>
      <c r="BT49" s="22">
        <f>IF(OR(BP49="",BP49="NaN"),"",BP49-AVERAGE(BP$43:BP$52))</f>
        <v>-5.5653499999999134E-3</v>
      </c>
      <c r="BV49" s="5"/>
      <c r="BW49" s="19">
        <v>5.7386055000000002</v>
      </c>
      <c r="BX49" s="20">
        <v>5.7323599999999999</v>
      </c>
      <c r="BY49" s="20">
        <v>5.7665914999999996</v>
      </c>
      <c r="BZ49" s="21">
        <v>5.6233969999999998</v>
      </c>
      <c r="CA49" s="5">
        <f t="shared" si="85"/>
        <v>-4.6730099999994223E-3</v>
      </c>
      <c r="CB49" s="5">
        <f t="shared" si="86"/>
        <v>4.904823999999941E-2</v>
      </c>
      <c r="CC49" s="5">
        <f t="shared" si="87"/>
        <v>-1.8436199999998237E-3</v>
      </c>
      <c r="CD49" s="22">
        <f>IF(OR(BZ49="",BZ49="NaN"),"",BZ49-AVERAGE(BZ$43:BZ$52))</f>
        <v>-4.1213519999999448E-2</v>
      </c>
    </row>
    <row r="50" spans="1:82" x14ac:dyDescent="0.25">
      <c r="A50" s="38"/>
      <c r="B50" s="5">
        <v>8</v>
      </c>
      <c r="C50" s="18">
        <v>39</v>
      </c>
      <c r="E50" s="19">
        <v>87.963700000000003</v>
      </c>
      <c r="F50" s="20">
        <v>88.347915999999998</v>
      </c>
      <c r="G50" s="20">
        <v>87.831183999999993</v>
      </c>
      <c r="H50" s="21">
        <v>87.496930000000006</v>
      </c>
      <c r="I50" s="5">
        <f t="shared" si="64"/>
        <v>1.7551800000006779E-2</v>
      </c>
      <c r="J50" s="5">
        <f t="shared" si="65"/>
        <v>9.6414500000008729E-2</v>
      </c>
      <c r="K50" s="5">
        <f t="shared" si="66"/>
        <v>1.382559999998989E-2</v>
      </c>
      <c r="L50" s="22">
        <f>IF(OR(H50="",H50="NaN"),"",H50-AVERAGE(H$43:H$52))</f>
        <v>-1.8912999999997737E-2</v>
      </c>
      <c r="M50" s="5"/>
      <c r="N50" s="5"/>
      <c r="O50" s="19">
        <v>53.731003000000001</v>
      </c>
      <c r="P50" s="20">
        <v>54.004950000000001</v>
      </c>
      <c r="Q50" s="20">
        <v>53.900623000000003</v>
      </c>
      <c r="R50" s="21">
        <v>54.413147000000002</v>
      </c>
      <c r="S50" s="5">
        <f t="shared" si="67"/>
        <v>-3.4304900000002192E-2</v>
      </c>
      <c r="T50" s="5">
        <f t="shared" si="68"/>
        <v>-1.5764500000010173E-2</v>
      </c>
      <c r="U50" s="5">
        <f t="shared" si="69"/>
        <v>2.9200000000031423E-3</v>
      </c>
      <c r="V50" s="22">
        <f>IF(OR(R50="",R50="NaN"),"",R50-AVERAGE(R$43:R$52))</f>
        <v>-1.0239499999990187E-2</v>
      </c>
      <c r="W50" s="5"/>
      <c r="X50" s="5"/>
      <c r="Y50" s="19">
        <v>9.9148910000000008</v>
      </c>
      <c r="Z50" s="20">
        <v>9.7261170000000003</v>
      </c>
      <c r="AA50" s="20">
        <v>9.9015959999999996</v>
      </c>
      <c r="AB50" s="21">
        <v>10.278126</v>
      </c>
      <c r="AC50" s="5">
        <f t="shared" si="70"/>
        <v>3.209680000000148E-2</v>
      </c>
      <c r="AD50" s="5">
        <f t="shared" si="71"/>
        <v>-1.3145999999998992E-2</v>
      </c>
      <c r="AE50" s="5">
        <f t="shared" si="72"/>
        <v>-1.1666899999999814E-2</v>
      </c>
      <c r="AF50" s="22">
        <f>IF(OR(AB50="",AB50="NaN"),"",AB50-AVERAGE(AB$43:AB$52))</f>
        <v>8.1524699999999228E-2</v>
      </c>
      <c r="AG50" s="5"/>
      <c r="AH50" s="5"/>
      <c r="AI50" s="19">
        <v>7.2283635000000004</v>
      </c>
      <c r="AJ50" s="20">
        <v>7.0723180000000001</v>
      </c>
      <c r="AK50" s="20">
        <v>6.7881479999999996</v>
      </c>
      <c r="AL50" s="21">
        <v>7.0894069999999996</v>
      </c>
      <c r="AM50" s="5">
        <f t="shared" si="73"/>
        <v>0.11578311000000063</v>
      </c>
      <c r="AN50" s="5">
        <f t="shared" si="74"/>
        <v>-9.0591690000001002E-2</v>
      </c>
      <c r="AO50" s="5">
        <f t="shared" si="75"/>
        <v>-0.10731879999999983</v>
      </c>
      <c r="AP50" s="22">
        <f>IF(OR(AL50="",AL50="NaN"),"",AL50-AVERAGE(AL$43:AL$52))</f>
        <v>2.4644869999998598E-2</v>
      </c>
      <c r="AR50" s="5"/>
      <c r="AS50" s="19">
        <v>19.085519999999999</v>
      </c>
      <c r="AT50" s="20">
        <v>19.252759999999999</v>
      </c>
      <c r="AU50" s="20">
        <v>18.968143000000001</v>
      </c>
      <c r="AV50" s="21">
        <v>18.781488</v>
      </c>
      <c r="AW50" s="5">
        <f t="shared" si="76"/>
        <v>-1.5396800000001321E-2</v>
      </c>
      <c r="AX50" s="5">
        <f t="shared" si="77"/>
        <v>0.17268720000000215</v>
      </c>
      <c r="AY50" s="5">
        <f t="shared" si="78"/>
        <v>-6.181169999999625E-2</v>
      </c>
      <c r="AZ50" s="22">
        <f>IF(OR(AV50="",AV50="NaN"),"",AV50-AVERAGE(AV$43:AV$52))</f>
        <v>-7.2207499999993985E-2</v>
      </c>
      <c r="BB50" s="5"/>
      <c r="BC50" s="19">
        <v>2.8721209000000001</v>
      </c>
      <c r="BD50" s="20">
        <v>2.8857461999999998</v>
      </c>
      <c r="BE50" s="20">
        <v>2.8794092999999998</v>
      </c>
      <c r="BF50" s="21">
        <v>2.9056804000000001</v>
      </c>
      <c r="BG50" s="5">
        <f t="shared" si="79"/>
        <v>-7.4029999999503104E-5</v>
      </c>
      <c r="BH50" s="5">
        <f t="shared" si="80"/>
        <v>3.8067899999996158E-3</v>
      </c>
      <c r="BI50" s="5">
        <f t="shared" si="81"/>
        <v>-8.3261700000001326E-3</v>
      </c>
      <c r="BJ50" s="22">
        <f>IF(OR(BF50="",BF50="NaN"),"",BF50-AVERAGE(BF$43:BF$52))</f>
        <v>5.0835299999998362E-3</v>
      </c>
      <c r="BL50" s="5"/>
      <c r="BM50" s="19">
        <v>1.9753913999999999</v>
      </c>
      <c r="BN50" s="20">
        <v>1.9797194</v>
      </c>
      <c r="BO50" s="20">
        <v>2.0603351999999999</v>
      </c>
      <c r="BP50" s="21">
        <v>1.9610486</v>
      </c>
      <c r="BQ50" s="5">
        <f t="shared" si="82"/>
        <v>-3.7433629999999773E-2</v>
      </c>
      <c r="BR50" s="5">
        <f t="shared" si="83"/>
        <v>-1.9203669999999562E-2</v>
      </c>
      <c r="BS50" s="5">
        <f t="shared" si="84"/>
        <v>-6.5275329999999965E-2</v>
      </c>
      <c r="BT50" s="22">
        <f>IF(OR(BP50="",BP50="NaN"),"",BP50-AVERAGE(BP$43:BP$52))</f>
        <v>-1.5158349999999876E-2</v>
      </c>
      <c r="BV50" s="5"/>
      <c r="BW50" s="19">
        <v>5.8072540000000004</v>
      </c>
      <c r="BX50" s="20">
        <v>5.6424402999999996</v>
      </c>
      <c r="BY50" s="20">
        <v>5.7526989999999998</v>
      </c>
      <c r="BZ50" s="21">
        <v>5.6318874000000001</v>
      </c>
      <c r="CA50" s="5">
        <f t="shared" si="85"/>
        <v>6.397549000000069E-2</v>
      </c>
      <c r="CB50" s="5">
        <f t="shared" si="86"/>
        <v>-4.0871460000000859E-2</v>
      </c>
      <c r="CC50" s="5">
        <f t="shared" si="87"/>
        <v>-1.5736119999999687E-2</v>
      </c>
      <c r="CD50" s="22">
        <f>IF(OR(BZ50="",BZ50="NaN"),"",BZ50-AVERAGE(BZ$43:BZ$52))</f>
        <v>-3.2723119999999106E-2</v>
      </c>
    </row>
    <row r="51" spans="1:82" x14ac:dyDescent="0.25">
      <c r="A51" s="38"/>
      <c r="B51" s="5">
        <v>9</v>
      </c>
      <c r="C51" s="18">
        <v>44</v>
      </c>
      <c r="E51" s="19">
        <v>88.001594999999995</v>
      </c>
      <c r="F51" s="20">
        <v>88.326614000000006</v>
      </c>
      <c r="G51" s="20">
        <v>87.857056</v>
      </c>
      <c r="H51" s="21">
        <v>87.441460000000006</v>
      </c>
      <c r="I51" s="5">
        <f t="shared" si="64"/>
        <v>5.5446799999998575E-2</v>
      </c>
      <c r="J51" s="5">
        <f t="shared" si="65"/>
        <v>7.5112500000017235E-2</v>
      </c>
      <c r="K51" s="5">
        <f t="shared" si="66"/>
        <v>3.9697599999996669E-2</v>
      </c>
      <c r="L51" s="22">
        <f>IF(OR(H51="",H51="NaN"),"",H51-AVERAGE(H$43:H$52))</f>
        <v>-7.4382999999997423E-2</v>
      </c>
      <c r="M51" s="5"/>
      <c r="N51" s="5"/>
      <c r="O51" s="19">
        <v>53.734720000000003</v>
      </c>
      <c r="P51" s="20">
        <v>54.185802000000002</v>
      </c>
      <c r="Q51" s="20">
        <v>54.086112999999997</v>
      </c>
      <c r="R51" s="21">
        <v>54.895560000000003</v>
      </c>
      <c r="S51" s="5">
        <f t="shared" si="67"/>
        <v>-3.0587900000000445E-2</v>
      </c>
      <c r="T51" s="5">
        <f t="shared" si="68"/>
        <v>0.16508749999999139</v>
      </c>
      <c r="U51" s="5">
        <f t="shared" si="69"/>
        <v>0.18840999999999752</v>
      </c>
      <c r="V51" s="22">
        <f>IF(OR(R51="",R51="NaN"),"",R51-AVERAGE(R$43:R$52))</f>
        <v>0.4721735000000109</v>
      </c>
      <c r="W51" s="5"/>
      <c r="X51" s="5"/>
      <c r="Y51" s="19">
        <v>9.9263314999999999</v>
      </c>
      <c r="Z51" s="20">
        <v>9.7257929999999995</v>
      </c>
      <c r="AA51" s="20">
        <v>9.8918409999999994</v>
      </c>
      <c r="AB51" s="21">
        <v>10.310957</v>
      </c>
      <c r="AC51" s="5">
        <f t="shared" si="70"/>
        <v>4.3537300000000556E-2</v>
      </c>
      <c r="AD51" s="5">
        <f t="shared" si="71"/>
        <v>-1.3469999999999871E-2</v>
      </c>
      <c r="AE51" s="5">
        <f t="shared" si="72"/>
        <v>-2.1421899999999994E-2</v>
      </c>
      <c r="AF51" s="22">
        <f>IF(OR(AB51="",AB51="NaN"),"",AB51-AVERAGE(AB$43:AB$52))</f>
        <v>0.11435569999999906</v>
      </c>
      <c r="AG51" s="5"/>
      <c r="AH51" s="5"/>
      <c r="AI51" s="19">
        <v>7.0636033999999999</v>
      </c>
      <c r="AJ51" s="20">
        <v>7.0626283000000001</v>
      </c>
      <c r="AK51" s="20">
        <v>6.7393416999999998</v>
      </c>
      <c r="AL51" s="21">
        <v>7.0284820000000003</v>
      </c>
      <c r="AM51" s="5">
        <f t="shared" si="73"/>
        <v>-4.8976989999999887E-2</v>
      </c>
      <c r="AN51" s="5">
        <f t="shared" si="74"/>
        <v>-0.10028139000000102</v>
      </c>
      <c r="AO51" s="5">
        <f t="shared" si="75"/>
        <v>-0.15612509999999968</v>
      </c>
      <c r="AP51" s="22">
        <f>IF(OR(AL51="",AL51="NaN"),"",AL51-AVERAGE(AL$43:AL$52))</f>
        <v>-3.6280130000000632E-2</v>
      </c>
      <c r="AR51" s="5"/>
      <c r="AS51" s="19">
        <v>19.103505999999999</v>
      </c>
      <c r="AT51" s="20">
        <v>19.210861000000001</v>
      </c>
      <c r="AU51" s="20">
        <v>18.959803000000001</v>
      </c>
      <c r="AV51" s="21">
        <v>18.900400000000001</v>
      </c>
      <c r="AW51" s="5">
        <f t="shared" si="76"/>
        <v>2.589199999999181E-3</v>
      </c>
      <c r="AX51" s="5">
        <f t="shared" si="77"/>
        <v>0.13078820000000491</v>
      </c>
      <c r="AY51" s="5">
        <f t="shared" si="78"/>
        <v>-7.0151699999996708E-2</v>
      </c>
      <c r="AZ51" s="22">
        <f>IF(OR(AV51="",AV51="NaN"),"",AV51-AVERAGE(AV$43:AV$52))</f>
        <v>4.6704500000007698E-2</v>
      </c>
      <c r="BB51" s="5"/>
      <c r="BC51" s="19">
        <v>2.8721209000000001</v>
      </c>
      <c r="BD51" s="20">
        <v>2.8860698</v>
      </c>
      <c r="BE51" s="20">
        <v>2.8794092999999998</v>
      </c>
      <c r="BF51" s="21">
        <v>2.9056804000000001</v>
      </c>
      <c r="BG51" s="5">
        <f t="shared" si="79"/>
        <v>-7.4029999999503104E-5</v>
      </c>
      <c r="BH51" s="5">
        <f t="shared" si="80"/>
        <v>4.1303899999998173E-3</v>
      </c>
      <c r="BI51" s="5">
        <f t="shared" si="81"/>
        <v>-8.3261700000001326E-3</v>
      </c>
      <c r="BJ51" s="22">
        <f>IF(OR(BF51="",BF51="NaN"),"",BF51-AVERAGE(BF$43:BF$52))</f>
        <v>5.0835299999998362E-3</v>
      </c>
      <c r="BL51" s="5"/>
      <c r="BM51" s="19">
        <v>1.9753913999999999</v>
      </c>
      <c r="BN51" s="20">
        <v>1.9640359999999999</v>
      </c>
      <c r="BO51" s="20">
        <v>2.0575936000000001</v>
      </c>
      <c r="BP51" s="21">
        <v>1.9617792000000001</v>
      </c>
      <c r="BQ51" s="5">
        <f t="shared" si="82"/>
        <v>-3.7433629999999773E-2</v>
      </c>
      <c r="BR51" s="5">
        <f t="shared" si="83"/>
        <v>-3.4887069999999687E-2</v>
      </c>
      <c r="BS51" s="5">
        <f t="shared" si="84"/>
        <v>-6.8016929999999753E-2</v>
      </c>
      <c r="BT51" s="22">
        <f>IF(OR(BP51="",BP51="NaN"),"",BP51-AVERAGE(BP$43:BP$52))</f>
        <v>-1.442774999999985E-2</v>
      </c>
      <c r="BV51" s="5"/>
      <c r="BW51" s="19">
        <v>5.7107834999999998</v>
      </c>
      <c r="BX51" s="20">
        <v>5.6334552999999996</v>
      </c>
      <c r="BY51" s="20">
        <v>5.7511077000000004</v>
      </c>
      <c r="BZ51" s="21">
        <v>5.6318874000000001</v>
      </c>
      <c r="CA51" s="5">
        <f t="shared" si="85"/>
        <v>-3.249500999999988E-2</v>
      </c>
      <c r="CB51" s="5">
        <f t="shared" si="86"/>
        <v>-4.985646000000088E-2</v>
      </c>
      <c r="CC51" s="5">
        <f t="shared" si="87"/>
        <v>-1.7327419999999094E-2</v>
      </c>
      <c r="CD51" s="22">
        <f>IF(OR(BZ51="",BZ51="NaN"),"",BZ51-AVERAGE(BZ$43:BZ$52))</f>
        <v>-3.2723119999999106E-2</v>
      </c>
    </row>
    <row r="52" spans="1:82" x14ac:dyDescent="0.25">
      <c r="A52" s="39"/>
      <c r="B52" s="23">
        <v>10</v>
      </c>
      <c r="C52" s="24">
        <v>49</v>
      </c>
      <c r="E52" s="25">
        <v>87.979759999999999</v>
      </c>
      <c r="F52" s="26">
        <v>88.326329999999999</v>
      </c>
      <c r="G52" s="26">
        <v>87.835790000000003</v>
      </c>
      <c r="H52" s="27">
        <v>87.437619999999995</v>
      </c>
      <c r="I52" s="23">
        <f t="shared" si="64"/>
        <v>3.3611800000002745E-2</v>
      </c>
      <c r="J52" s="23">
        <f t="shared" si="65"/>
        <v>7.4828500000009512E-2</v>
      </c>
      <c r="K52" s="23">
        <f t="shared" si="66"/>
        <v>1.8431599999999548E-2</v>
      </c>
      <c r="L52" s="28">
        <f>IF(OR(H52="",H52="NaN"),"",H52-AVERAGE(H$43:H$52))</f>
        <v>-7.8223000000008369E-2</v>
      </c>
      <c r="M52" s="5"/>
      <c r="N52" s="5"/>
      <c r="O52" s="25">
        <v>53.70899</v>
      </c>
      <c r="P52" s="26">
        <v>54.253950000000003</v>
      </c>
      <c r="Q52" s="26">
        <v>54.019753000000001</v>
      </c>
      <c r="R52" s="27">
        <v>54.345689999999998</v>
      </c>
      <c r="S52" s="23">
        <f t="shared" si="67"/>
        <v>-5.6317900000003362E-2</v>
      </c>
      <c r="T52" s="23">
        <f t="shared" si="68"/>
        <v>0.23323549999999216</v>
      </c>
      <c r="U52" s="23">
        <f t="shared" si="69"/>
        <v>0.12205000000000155</v>
      </c>
      <c r="V52" s="28">
        <f>IF(OR(R52="",R52="NaN"),"",R52-AVERAGE(R$43:R$52))</f>
        <v>-7.7696499999994728E-2</v>
      </c>
      <c r="W52" s="5"/>
      <c r="X52" s="5"/>
      <c r="Y52" s="25">
        <v>9.8888649999999991</v>
      </c>
      <c r="Z52" s="26">
        <v>9.7167010000000005</v>
      </c>
      <c r="AA52" s="26">
        <v>9.9448170000000005</v>
      </c>
      <c r="AB52" s="27">
        <v>10.248386999999999</v>
      </c>
      <c r="AC52" s="23">
        <f t="shared" si="70"/>
        <v>6.0707999999998208E-3</v>
      </c>
      <c r="AD52" s="23">
        <f t="shared" si="71"/>
        <v>-2.2561999999998861E-2</v>
      </c>
      <c r="AE52" s="23">
        <f t="shared" si="72"/>
        <v>3.1554100000001029E-2</v>
      </c>
      <c r="AF52" s="28">
        <f>IF(OR(AB52="",AB52="NaN"),"",AB52-AVERAGE(AB$43:AB$52))</f>
        <v>5.1785699999998158E-2</v>
      </c>
      <c r="AG52" s="5"/>
      <c r="AH52" s="5"/>
      <c r="AI52" s="25">
        <v>6.845936</v>
      </c>
      <c r="AJ52" s="26">
        <v>7.0740410000000002</v>
      </c>
      <c r="AK52" s="26">
        <v>6.7833730000000001</v>
      </c>
      <c r="AL52" s="27">
        <v>6.9385203999999998</v>
      </c>
      <c r="AM52" s="23">
        <f t="shared" si="73"/>
        <v>-0.26664438999999973</v>
      </c>
      <c r="AN52" s="23">
        <f t="shared" si="74"/>
        <v>-8.8868690000000861E-2</v>
      </c>
      <c r="AO52" s="23">
        <f t="shared" si="75"/>
        <v>-0.11209379999999936</v>
      </c>
      <c r="AP52" s="28">
        <f>IF(OR(AL52="",AL52="NaN"),"",AL52-AVERAGE(AL$43:AL$52))</f>
        <v>-0.12624173000000116</v>
      </c>
      <c r="AR52" s="5"/>
      <c r="AS52" s="25">
        <v>19.124324999999999</v>
      </c>
      <c r="AT52" s="26">
        <v>19.236034</v>
      </c>
      <c r="AU52" s="26">
        <v>18.901304</v>
      </c>
      <c r="AV52" s="27">
        <v>18.621784000000002</v>
      </c>
      <c r="AW52" s="23">
        <f t="shared" si="76"/>
        <v>2.3408199999998658E-2</v>
      </c>
      <c r="AX52" s="23">
        <f t="shared" si="77"/>
        <v>0.15596120000000369</v>
      </c>
      <c r="AY52" s="23">
        <f t="shared" si="78"/>
        <v>-0.1286506999999979</v>
      </c>
      <c r="AZ52" s="28">
        <f>IF(OR(AV52="",AV52="NaN"),"",AV52-AVERAGE(AV$43:AV$52))</f>
        <v>-0.23191149999999183</v>
      </c>
      <c r="BB52" s="5"/>
      <c r="BC52" s="25">
        <v>2.8751403999999998</v>
      </c>
      <c r="BD52" s="26">
        <v>2.9092902999999999</v>
      </c>
      <c r="BE52" s="26">
        <v>2.9026299</v>
      </c>
      <c r="BF52" s="27">
        <v>2.9135610000000001</v>
      </c>
      <c r="BG52" s="23">
        <f t="shared" si="79"/>
        <v>2.9454700000002276E-3</v>
      </c>
      <c r="BH52" s="23">
        <f t="shared" si="80"/>
        <v>2.7350889999999684E-2</v>
      </c>
      <c r="BI52" s="23">
        <f t="shared" si="81"/>
        <v>1.4894430000000014E-2</v>
      </c>
      <c r="BJ52" s="28">
        <f>IF(OR(BF52="",BF52="NaN"),"",BF52-AVERAGE(BF$43:BF$52))</f>
        <v>1.2964129999999852E-2</v>
      </c>
      <c r="BL52" s="5"/>
      <c r="BM52" s="25">
        <v>1.9945318999999999</v>
      </c>
      <c r="BN52" s="26">
        <v>2.0929160000000002</v>
      </c>
      <c r="BO52" s="26">
        <v>2.8615484000000002</v>
      </c>
      <c r="BP52" s="27">
        <v>2.069753</v>
      </c>
      <c r="BQ52" s="23">
        <f t="shared" si="82"/>
        <v>-1.8293129999999769E-2</v>
      </c>
      <c r="BR52" s="23">
        <f t="shared" si="83"/>
        <v>9.3992930000000641E-2</v>
      </c>
      <c r="BS52" s="23">
        <f t="shared" si="84"/>
        <v>0.73593787000000033</v>
      </c>
      <c r="BT52" s="28">
        <f>IF(OR(BP52="",BP52="NaN"),"",BP52-AVERAGE(BP$43:BP$52))</f>
        <v>9.3546050000000047E-2</v>
      </c>
      <c r="BV52" s="5"/>
      <c r="BW52" s="25">
        <v>5.7012320000000001</v>
      </c>
      <c r="BX52" s="26">
        <v>5.6136683999999999</v>
      </c>
      <c r="BY52" s="26">
        <v>5.7300005000000001</v>
      </c>
      <c r="BZ52" s="27">
        <v>5.6362966999999999</v>
      </c>
      <c r="CA52" s="23">
        <f t="shared" si="85"/>
        <v>-4.2046509999999593E-2</v>
      </c>
      <c r="CB52" s="23">
        <f t="shared" si="86"/>
        <v>-6.9643360000000598E-2</v>
      </c>
      <c r="CC52" s="23">
        <f t="shared" si="87"/>
        <v>-3.843461999999942E-2</v>
      </c>
      <c r="CD52" s="28">
        <f>IF(OR(BZ52="",BZ52="NaN"),"",BZ52-AVERAGE(BZ$43:BZ$52))</f>
        <v>-2.8313819999999268E-2</v>
      </c>
    </row>
    <row r="53" spans="1:82" x14ac:dyDescent="0.25">
      <c r="A53" s="37">
        <v>5</v>
      </c>
      <c r="B53" s="12">
        <v>1</v>
      </c>
      <c r="C53" s="13">
        <v>5</v>
      </c>
      <c r="E53" s="14">
        <v>87.642455999999996</v>
      </c>
      <c r="F53" s="15">
        <v>88.365814</v>
      </c>
      <c r="G53" s="15">
        <v>87.626660000000001</v>
      </c>
      <c r="H53" s="16">
        <v>87.782709999999994</v>
      </c>
      <c r="I53" s="12">
        <f t="shared" ref="I53:I62" si="88">IF(OR(E53="",E53="NaN"),"",E53-AVERAGE(E$53:E$62))</f>
        <v>0.15530699999997921</v>
      </c>
      <c r="J53" s="12">
        <f t="shared" ref="J53:J62" si="89">IF(OR(F53="",F53="NaN"),"",F53-AVERAGE(F$53:F$62))</f>
        <v>0.28339009999999121</v>
      </c>
      <c r="K53" s="12">
        <f t="shared" ref="K53:K62" si="90">IF(OR(G53="",G53="NaN"),"",G53-AVERAGE(G$53:G$62))</f>
        <v>-0.26001100000000577</v>
      </c>
      <c r="L53" s="17">
        <f t="shared" ref="L53:L62" si="91">IF(OR(H53="",H53="NaN"),"",H53-AVERAGE(H$53:H$62))</f>
        <v>0.58679379999999526</v>
      </c>
      <c r="M53" s="5"/>
      <c r="N53" s="5"/>
      <c r="O53" s="14">
        <v>49.954742000000003</v>
      </c>
      <c r="P53" s="15">
        <v>52.228619999999999</v>
      </c>
      <c r="Q53" s="15">
        <v>50.795597000000001</v>
      </c>
      <c r="R53" s="16">
        <v>51.332275000000003</v>
      </c>
      <c r="S53" s="12">
        <f t="shared" ref="S53:S62" si="92">IF(OR(O53="",O53="NaN"),"",O53-AVERAGE(O$53:O$62))</f>
        <v>-8.5214699999994536E-2</v>
      </c>
      <c r="T53" s="12">
        <f t="shared" ref="T53:T62" si="93">IF(OR(P53="",P53="NaN"),"",P53-AVERAGE(P$53:P$62))</f>
        <v>0.96745449999999522</v>
      </c>
      <c r="U53" s="12">
        <f t="shared" ref="U53:U62" si="94">IF(OR(Q53="",Q53="NaN"),"",Q53-AVERAGE(Q$53:Q$62))</f>
        <v>-8.7331400000003612E-2</v>
      </c>
      <c r="V53" s="17">
        <f t="shared" ref="V53:V62" si="95">IF(OR(R53="",R53="NaN"),"",R53-AVERAGE(R$53:R$62))</f>
        <v>7.4590299999997001E-2</v>
      </c>
      <c r="W53" s="5"/>
      <c r="X53" s="5"/>
      <c r="Y53" s="14">
        <v>14.053292000000001</v>
      </c>
      <c r="Z53" s="15">
        <v>12.500959</v>
      </c>
      <c r="AA53" s="15">
        <v>14.365536000000001</v>
      </c>
      <c r="AB53" s="16">
        <v>12.857892</v>
      </c>
      <c r="AC53" s="12">
        <f t="shared" ref="AC53:AC62" si="96">IF(OR(Y53="",Y53="NaN"),"",Y53-AVERAGE(Y$53:Y$62))</f>
        <v>-0.3363460000000007</v>
      </c>
      <c r="AD53" s="12">
        <f t="shared" ref="AD53:AD62" si="97">IF(OR(Z53="",Z53="NaN"),"",Z53-AVERAGE(Z$53:Z$62))</f>
        <v>-0.34615980000000057</v>
      </c>
      <c r="AE53" s="12">
        <f t="shared" ref="AE53:AE62" si="98">IF(OR(AA53="",AA53="NaN"),"",AA53-AVERAGE(AA$53:AA$62))</f>
        <v>-8.4734350000001513E-2</v>
      </c>
      <c r="AF53" s="17">
        <f t="shared" ref="AF53:AF62" si="99">IF(OR(AB53="",AB53="NaN"),"",AB53-AVERAGE(AB$53:AB$62))</f>
        <v>-0.36953470000000088</v>
      </c>
      <c r="AG53" s="5"/>
      <c r="AH53" s="5"/>
      <c r="AI53" s="14">
        <v>6.8915920000000002</v>
      </c>
      <c r="AJ53" s="15">
        <v>6.9819636000000003</v>
      </c>
      <c r="AK53" s="15">
        <v>7.2157619999999998</v>
      </c>
      <c r="AL53" s="16">
        <v>7.4055295000000001</v>
      </c>
      <c r="AM53" s="12">
        <f t="shared" ref="AM53:AM62" si="100">IF(OR(AI53="",AI53="NaN"),"",AI53-AVERAGE(AI$53:AI$62))</f>
        <v>-0.19379010000000108</v>
      </c>
      <c r="AN53" s="12">
        <f t="shared" ref="AN53:AN62" si="101">IF(OR(AJ53="",AJ53="NaN"),"",AJ53-AVERAGE(AJ$53:AJ$62))</f>
        <v>-0.4375311299999991</v>
      </c>
      <c r="AO53" s="12">
        <f t="shared" ref="AO53:AO62" si="102">IF(OR(AK53="",AK53="NaN"),"",AK53-AVERAGE(AK$53:AK$62))</f>
        <v>5.8443099999996306E-3</v>
      </c>
      <c r="AP53" s="17">
        <f t="shared" ref="AP53:AP62" si="103">IF(OR(AL53="",AL53="NaN"),"",AL53-AVERAGE(AL$53:AL$62))</f>
        <v>-0.12672560000000033</v>
      </c>
      <c r="AR53" s="5"/>
      <c r="AS53" s="14">
        <v>19.588405999999999</v>
      </c>
      <c r="AT53" s="15">
        <v>18.919536999999998</v>
      </c>
      <c r="AU53" s="15">
        <v>18.830324000000001</v>
      </c>
      <c r="AV53" s="16">
        <v>18.847517</v>
      </c>
      <c r="AW53" s="12">
        <f t="shared" ref="AW53:AW62" si="104">IF(OR(AS53="",AS53="NaN"),"",AS53-AVERAGE(AS$53:AS$62))</f>
        <v>6.7172799999994481E-2</v>
      </c>
      <c r="AX53" s="12">
        <f t="shared" ref="AX53:AX62" si="105">IF(OR(AT53="",AT53="NaN"),"",AT53-AVERAGE(AT$53:AT$62))</f>
        <v>-5.6587400000001509E-2</v>
      </c>
      <c r="AY53" s="12">
        <f t="shared" ref="AY53:AY62" si="106">IF(OR(AU53="",AU53="NaN"),"",AU53-AVERAGE(AU$53:AU$62))</f>
        <v>2.226400000001405E-3</v>
      </c>
      <c r="AZ53" s="17">
        <f t="shared" ref="AZ53:AZ62" si="107">IF(OR(AV53="",AV53="NaN"),"",AV53-AVERAGE(AV$53:AV$62))</f>
        <v>0.10937309999999911</v>
      </c>
      <c r="BB53" s="5"/>
      <c r="BC53" s="14">
        <v>3.0624123000000001</v>
      </c>
      <c r="BD53" s="15">
        <v>3.0180072999999998</v>
      </c>
      <c r="BE53" s="15">
        <v>3.0756725999999999</v>
      </c>
      <c r="BF53" s="16">
        <v>3.0770797999999999</v>
      </c>
      <c r="BG53" s="12">
        <f t="shared" ref="BG53:BG62" si="108">IF(OR(BC53="",BC53="NaN"),"",BC53-AVERAGE(BC$53:BC$62))</f>
        <v>3.4816500000003359E-3</v>
      </c>
      <c r="BH53" s="12">
        <f t="shared" ref="BH53:BH62" si="109">IF(OR(BD53="",BD53="NaN"),"",BD53-AVERAGE(BD$53:BD$62))</f>
        <v>-5.2070629999999785E-2</v>
      </c>
      <c r="BI53" s="12">
        <f t="shared" ref="BI53:BI62" si="110">IF(OR(BE53="",BE53="NaN"),"",BE53-AVERAGE(BE$53:BE$62))</f>
        <v>-3.0071660000000389E-2</v>
      </c>
      <c r="BJ53" s="17">
        <f t="shared" ref="BJ53:BJ62" si="111">IF(OR(BF53="",BF53="NaN"),"",BF53-AVERAGE(BF$53:BF$62))</f>
        <v>1.6811199999997584E-3</v>
      </c>
      <c r="BL53" s="5"/>
      <c r="BM53" s="14">
        <v>3.2027451999999998</v>
      </c>
      <c r="BN53" s="15">
        <v>2.1547909000000001</v>
      </c>
      <c r="BO53" s="15">
        <v>4.0822744000000002</v>
      </c>
      <c r="BP53" s="16">
        <v>3.2924688</v>
      </c>
      <c r="BQ53" s="12">
        <f t="shared" ref="BQ53:BQ62" si="112">IF(OR(BM53="",BM53="NaN"),"",BM53-AVERAGE(BM$53:BM$62))</f>
        <v>-1.18278616</v>
      </c>
      <c r="BR53" s="12">
        <f t="shared" ref="BR53:BR62" si="113">IF(OR(BN53="",BN53="NaN"),"",BN53-AVERAGE(BN$53:BN$62))</f>
        <v>-0.11119349000000023</v>
      </c>
      <c r="BS53" s="12">
        <f t="shared" ref="BS53:BS62" si="114">IF(OR(BO53="",BO53="NaN"),"",BO53-AVERAGE(BO$53:BO$62))</f>
        <v>0.10917613000000026</v>
      </c>
      <c r="BT53" s="17">
        <f t="shared" ref="BT53:BT62" si="115">IF(OR(BP53="",BP53="NaN"),"",BP53-AVERAGE(BP$53:BP$62))</f>
        <v>-1.6518064899999985</v>
      </c>
      <c r="BV53" s="5"/>
      <c r="BW53" s="14">
        <v>5.7919264000000004</v>
      </c>
      <c r="BX53" s="15">
        <v>5.3535909999999998</v>
      </c>
      <c r="BY53" s="15">
        <v>5.405354</v>
      </c>
      <c r="BZ53" s="16">
        <v>5.1553483</v>
      </c>
      <c r="CA53" s="12">
        <f t="shared" ref="CA53:CA62" si="116">IF(OR(BW53="",BW53="NaN"),"",BW53-AVERAGE(BW$53:BW$62))</f>
        <v>0.14348186999999957</v>
      </c>
      <c r="CB53" s="12">
        <f t="shared" ref="CB53:CB62" si="117">IF(OR(BX53="",BX53="NaN"),"",BX53-AVERAGE(BX$53:BX$62))</f>
        <v>0.2082809000000001</v>
      </c>
      <c r="CC53" s="12">
        <f t="shared" ref="CC53:CC62" si="118">IF(OR(BY53="",BY53="NaN"),"",BY53-AVERAGE(BY$53:BY$62))</f>
        <v>4.3234309999998111E-2</v>
      </c>
      <c r="CD53" s="17">
        <f t="shared" ref="CD53:CD62" si="119">IF(OR(BZ53="",BZ53="NaN"),"",BZ53-AVERAGE(BZ$53:BZ$62))</f>
        <v>0.1310705900000011</v>
      </c>
    </row>
    <row r="54" spans="1:82" x14ac:dyDescent="0.25">
      <c r="A54" s="38"/>
      <c r="B54" s="5">
        <v>2</v>
      </c>
      <c r="C54" s="18">
        <v>10</v>
      </c>
      <c r="E54" s="19">
        <v>87.258250000000004</v>
      </c>
      <c r="F54" s="20">
        <v>88.181049999999999</v>
      </c>
      <c r="G54" s="20">
        <v>87.555549999999997</v>
      </c>
      <c r="H54" s="21">
        <v>87.094260000000006</v>
      </c>
      <c r="I54" s="5">
        <f t="shared" si="88"/>
        <v>-0.22889900000001262</v>
      </c>
      <c r="J54" s="5">
        <f t="shared" si="89"/>
        <v>9.8626099999989947E-2</v>
      </c>
      <c r="K54" s="5">
        <f t="shared" si="90"/>
        <v>-0.33112100000001021</v>
      </c>
      <c r="L54" s="22">
        <f t="shared" si="91"/>
        <v>-0.10165619999999365</v>
      </c>
      <c r="M54" s="5"/>
      <c r="N54" s="5"/>
      <c r="O54" s="19">
        <v>49.948605000000001</v>
      </c>
      <c r="P54" s="20">
        <v>51.009003</v>
      </c>
      <c r="Q54" s="20">
        <v>50.820720000000001</v>
      </c>
      <c r="R54" s="21">
        <v>51.249844000000003</v>
      </c>
      <c r="S54" s="5">
        <f t="shared" si="92"/>
        <v>-9.1351699999997038E-2</v>
      </c>
      <c r="T54" s="5">
        <f t="shared" si="93"/>
        <v>-0.25216250000000429</v>
      </c>
      <c r="U54" s="5">
        <f t="shared" si="94"/>
        <v>-6.2208400000002939E-2</v>
      </c>
      <c r="V54" s="22">
        <f t="shared" si="95"/>
        <v>-7.8407000000026983E-3</v>
      </c>
      <c r="W54" s="5"/>
      <c r="X54" s="5"/>
      <c r="Y54" s="19">
        <v>14.507619</v>
      </c>
      <c r="Z54" s="20">
        <v>12.801856000000001</v>
      </c>
      <c r="AA54" s="20">
        <v>14.337929000000001</v>
      </c>
      <c r="AB54" s="21">
        <v>13.106353</v>
      </c>
      <c r="AC54" s="5">
        <f t="shared" si="96"/>
        <v>0.11798099999999856</v>
      </c>
      <c r="AD54" s="5">
        <f t="shared" si="97"/>
        <v>-4.5262799999999714E-2</v>
      </c>
      <c r="AE54" s="5">
        <f t="shared" si="98"/>
        <v>-0.11234135000000123</v>
      </c>
      <c r="AF54" s="22">
        <f t="shared" si="99"/>
        <v>-0.12107370000000017</v>
      </c>
      <c r="AG54" s="5"/>
      <c r="AH54" s="5"/>
      <c r="AI54" s="19">
        <v>7.1174593000000002</v>
      </c>
      <c r="AJ54" s="20">
        <v>7.2673388000000001</v>
      </c>
      <c r="AK54" s="20">
        <v>7.2055835999999998</v>
      </c>
      <c r="AL54" s="21">
        <v>7.4998110000000002</v>
      </c>
      <c r="AM54" s="5">
        <f t="shared" si="100"/>
        <v>3.2077199999998918E-2</v>
      </c>
      <c r="AN54" s="5">
        <f t="shared" si="101"/>
        <v>-0.15215592999999927</v>
      </c>
      <c r="AO54" s="5">
        <f t="shared" si="102"/>
        <v>-4.3340900000004012E-3</v>
      </c>
      <c r="AP54" s="22">
        <f t="shared" si="103"/>
        <v>-3.2444100000000198E-2</v>
      </c>
      <c r="AR54" s="5"/>
      <c r="AS54" s="19">
        <v>19.53388</v>
      </c>
      <c r="AT54" s="20">
        <v>18.978386</v>
      </c>
      <c r="AU54" s="20">
        <v>18.830324000000001</v>
      </c>
      <c r="AV54" s="21">
        <v>18.710540000000002</v>
      </c>
      <c r="AW54" s="5">
        <f t="shared" si="104"/>
        <v>1.2646799999995295E-2</v>
      </c>
      <c r="AX54" s="5">
        <f t="shared" si="105"/>
        <v>2.2616000000006409E-3</v>
      </c>
      <c r="AY54" s="5">
        <f t="shared" si="106"/>
        <v>2.226400000001405E-3</v>
      </c>
      <c r="AZ54" s="22">
        <f t="shared" si="107"/>
        <v>-2.7603899999999015E-2</v>
      </c>
      <c r="BB54" s="5"/>
      <c r="BC54" s="19">
        <v>3.0577483000000001</v>
      </c>
      <c r="BD54" s="20">
        <v>3.0255828</v>
      </c>
      <c r="BE54" s="20">
        <v>3.0756725999999999</v>
      </c>
      <c r="BF54" s="21">
        <v>3.0770797999999999</v>
      </c>
      <c r="BG54" s="5">
        <f t="shared" si="108"/>
        <v>-1.1823499999996656E-3</v>
      </c>
      <c r="BH54" s="5">
        <f t="shared" si="109"/>
        <v>-4.4495129999999605E-2</v>
      </c>
      <c r="BI54" s="5">
        <f t="shared" si="110"/>
        <v>-3.0071660000000389E-2</v>
      </c>
      <c r="BJ54" s="22">
        <f t="shared" si="111"/>
        <v>1.6811199999997584E-3</v>
      </c>
      <c r="BL54" s="5"/>
      <c r="BM54" s="19">
        <v>4.517512</v>
      </c>
      <c r="BN54" s="20">
        <v>2.2843974</v>
      </c>
      <c r="BO54" s="20">
        <v>4.0844864999999997</v>
      </c>
      <c r="BP54" s="21">
        <v>3.4187254999999999</v>
      </c>
      <c r="BQ54" s="5">
        <f t="shared" si="112"/>
        <v>0.13198064000000009</v>
      </c>
      <c r="BR54" s="5">
        <f t="shared" si="113"/>
        <v>1.841300999999973E-2</v>
      </c>
      <c r="BS54" s="5">
        <f t="shared" si="114"/>
        <v>0.11138822999999975</v>
      </c>
      <c r="BT54" s="22">
        <f t="shared" si="115"/>
        <v>-1.5255497899999986</v>
      </c>
      <c r="BV54" s="5"/>
      <c r="BW54" s="19">
        <v>5.6438484000000004</v>
      </c>
      <c r="BX54" s="20">
        <v>5.2312726999999999</v>
      </c>
      <c r="BY54" s="20">
        <v>5.4457589999999998</v>
      </c>
      <c r="BZ54" s="21">
        <v>5.0166917</v>
      </c>
      <c r="CA54" s="5">
        <f t="shared" si="116"/>
        <v>-4.5961300000003646E-3</v>
      </c>
      <c r="CB54" s="5">
        <f t="shared" si="117"/>
        <v>8.5962600000000222E-2</v>
      </c>
      <c r="CC54" s="5">
        <f t="shared" si="118"/>
        <v>8.3639309999997913E-2</v>
      </c>
      <c r="CD54" s="22">
        <f t="shared" si="119"/>
        <v>-7.5860099999989217E-3</v>
      </c>
    </row>
    <row r="55" spans="1:82" x14ac:dyDescent="0.25">
      <c r="A55" s="38"/>
      <c r="B55" s="5">
        <v>3</v>
      </c>
      <c r="C55" s="18">
        <v>15</v>
      </c>
      <c r="E55" s="19">
        <v>87.393619999999999</v>
      </c>
      <c r="F55" s="20">
        <v>88.025639999999996</v>
      </c>
      <c r="G55" s="20">
        <v>87.898219999999995</v>
      </c>
      <c r="H55" s="21">
        <v>87.133229999999998</v>
      </c>
      <c r="I55" s="5">
        <f t="shared" si="88"/>
        <v>-9.3529000000017959E-2</v>
      </c>
      <c r="J55" s="5">
        <f t="shared" si="89"/>
        <v>-5.6783900000013432E-2</v>
      </c>
      <c r="K55" s="5">
        <f t="shared" si="90"/>
        <v>1.1548999999988041E-2</v>
      </c>
      <c r="L55" s="22">
        <f t="shared" si="91"/>
        <v>-6.2686200000001691E-2</v>
      </c>
      <c r="M55" s="5"/>
      <c r="N55" s="5"/>
      <c r="O55" s="19">
        <v>49.991095999999999</v>
      </c>
      <c r="P55" s="20">
        <v>51.227524000000003</v>
      </c>
      <c r="Q55" s="20">
        <v>50.893590000000003</v>
      </c>
      <c r="R55" s="21">
        <v>51.386192000000001</v>
      </c>
      <c r="S55" s="5">
        <f t="shared" si="92"/>
        <v>-4.8860699999998758E-2</v>
      </c>
      <c r="T55" s="5">
        <f t="shared" si="93"/>
        <v>-3.3641500000001656E-2</v>
      </c>
      <c r="U55" s="5">
        <f t="shared" si="94"/>
        <v>1.0661599999998828E-2</v>
      </c>
      <c r="V55" s="22">
        <f t="shared" si="95"/>
        <v>0.12850729999999544</v>
      </c>
      <c r="W55" s="5"/>
      <c r="X55" s="5"/>
      <c r="Y55" s="19">
        <v>14.258899</v>
      </c>
      <c r="Z55" s="20">
        <v>12.880692</v>
      </c>
      <c r="AA55" s="20">
        <v>14.352148</v>
      </c>
      <c r="AB55" s="21">
        <v>13.289224000000001</v>
      </c>
      <c r="AC55" s="5">
        <f t="shared" si="96"/>
        <v>-0.13073900000000194</v>
      </c>
      <c r="AD55" s="5">
        <f t="shared" si="97"/>
        <v>3.3573199999999304E-2</v>
      </c>
      <c r="AE55" s="5">
        <f t="shared" si="98"/>
        <v>-9.8122350000002356E-2</v>
      </c>
      <c r="AF55" s="22">
        <f t="shared" si="99"/>
        <v>6.1797300000000277E-2</v>
      </c>
      <c r="AG55" s="5"/>
      <c r="AH55" s="5"/>
      <c r="AI55" s="19">
        <v>7.0946826999999999</v>
      </c>
      <c r="AJ55" s="20">
        <v>7.4865065</v>
      </c>
      <c r="AK55" s="20">
        <v>7.2405434</v>
      </c>
      <c r="AL55" s="21">
        <v>7.5049523999999996</v>
      </c>
      <c r="AM55" s="5">
        <f t="shared" si="100"/>
        <v>9.3005999999986599E-3</v>
      </c>
      <c r="AN55" s="5">
        <f t="shared" si="101"/>
        <v>6.7011770000000581E-2</v>
      </c>
      <c r="AO55" s="5">
        <f t="shared" si="102"/>
        <v>3.0625709999999806E-2</v>
      </c>
      <c r="AP55" s="22">
        <f t="shared" si="103"/>
        <v>-2.730270000000079E-2</v>
      </c>
      <c r="AR55" s="5"/>
      <c r="AS55" s="19">
        <v>19.565321000000001</v>
      </c>
      <c r="AT55" s="20">
        <v>19.043365000000001</v>
      </c>
      <c r="AU55" s="20">
        <v>18.829664000000001</v>
      </c>
      <c r="AV55" s="21">
        <v>18.718354999999999</v>
      </c>
      <c r="AW55" s="5">
        <f t="shared" si="104"/>
        <v>4.4087799999996236E-2</v>
      </c>
      <c r="AX55" s="5">
        <f t="shared" si="105"/>
        <v>6.7240600000001649E-2</v>
      </c>
      <c r="AY55" s="5">
        <f t="shared" si="106"/>
        <v>1.5664000000015221E-3</v>
      </c>
      <c r="AZ55" s="22">
        <f t="shared" si="107"/>
        <v>-1.9788900000001775E-2</v>
      </c>
      <c r="BB55" s="5"/>
      <c r="BC55" s="19">
        <v>3.0577483000000001</v>
      </c>
      <c r="BD55" s="20">
        <v>3.0881514999999999</v>
      </c>
      <c r="BE55" s="20">
        <v>3.0756725999999999</v>
      </c>
      <c r="BF55" s="21">
        <v>3.0691299999999999</v>
      </c>
      <c r="BG55" s="5">
        <f t="shared" si="108"/>
        <v>-1.1823499999996656E-3</v>
      </c>
      <c r="BH55" s="5">
        <f t="shared" si="109"/>
        <v>1.8073570000000316E-2</v>
      </c>
      <c r="BI55" s="5">
        <f t="shared" si="110"/>
        <v>-3.0071660000000389E-2</v>
      </c>
      <c r="BJ55" s="22">
        <f t="shared" si="111"/>
        <v>-6.2686800000002485E-3</v>
      </c>
      <c r="BL55" s="5"/>
      <c r="BM55" s="19">
        <v>4.4781823000000003</v>
      </c>
      <c r="BN55" s="20">
        <v>2.2656996</v>
      </c>
      <c r="BO55" s="20">
        <v>3.9482662999999998</v>
      </c>
      <c r="BP55" s="21">
        <v>3.3995899999999999</v>
      </c>
      <c r="BQ55" s="5">
        <f t="shared" si="112"/>
        <v>9.2650940000000404E-2</v>
      </c>
      <c r="BR55" s="5">
        <f t="shared" si="113"/>
        <v>-2.8479000000025678E-4</v>
      </c>
      <c r="BS55" s="5">
        <f t="shared" si="114"/>
        <v>-2.4831970000000148E-2</v>
      </c>
      <c r="BT55" s="22">
        <f t="shared" si="115"/>
        <v>-1.5446852899999985</v>
      </c>
      <c r="BV55" s="5"/>
      <c r="BW55" s="19">
        <v>5.6438484000000004</v>
      </c>
      <c r="BX55" s="20">
        <v>5.1563109999999996</v>
      </c>
      <c r="BY55" s="20">
        <v>5.3655739999999996</v>
      </c>
      <c r="BZ55" s="21">
        <v>5.0361200000000004</v>
      </c>
      <c r="CA55" s="5">
        <f t="shared" si="116"/>
        <v>-4.5961300000003646E-3</v>
      </c>
      <c r="CB55" s="5">
        <f t="shared" si="117"/>
        <v>1.100089999999998E-2</v>
      </c>
      <c r="CC55" s="5">
        <f t="shared" si="118"/>
        <v>3.45430999999774E-3</v>
      </c>
      <c r="CD55" s="22">
        <f t="shared" si="119"/>
        <v>1.1842290000001476E-2</v>
      </c>
    </row>
    <row r="56" spans="1:82" x14ac:dyDescent="0.25">
      <c r="A56" s="38"/>
      <c r="B56" s="5">
        <v>4</v>
      </c>
      <c r="C56" s="18">
        <v>20</v>
      </c>
      <c r="E56" s="19">
        <v>87.362403999999998</v>
      </c>
      <c r="F56" s="20">
        <v>87.973820000000003</v>
      </c>
      <c r="G56" s="20">
        <v>87.943306000000007</v>
      </c>
      <c r="H56" s="21">
        <v>87.092185999999998</v>
      </c>
      <c r="I56" s="5">
        <f t="shared" si="88"/>
        <v>-0.12474500000001854</v>
      </c>
      <c r="J56" s="5">
        <f t="shared" si="89"/>
        <v>-0.10860390000000564</v>
      </c>
      <c r="K56" s="5">
        <f t="shared" si="90"/>
        <v>5.6634999999999991E-2</v>
      </c>
      <c r="L56" s="22">
        <f t="shared" si="91"/>
        <v>-0.1037302000000011</v>
      </c>
      <c r="M56" s="5"/>
      <c r="N56" s="5"/>
      <c r="O56" s="19">
        <v>50.232174000000001</v>
      </c>
      <c r="P56" s="20">
        <v>51.205032000000003</v>
      </c>
      <c r="Q56" s="20">
        <v>50.893590000000003</v>
      </c>
      <c r="R56" s="21">
        <v>51.146805000000001</v>
      </c>
      <c r="S56" s="5">
        <f t="shared" si="92"/>
        <v>0.19221730000000292</v>
      </c>
      <c r="T56" s="5">
        <f t="shared" si="93"/>
        <v>-5.6133500000001391E-2</v>
      </c>
      <c r="U56" s="5">
        <f t="shared" si="94"/>
        <v>1.0661599999998828E-2</v>
      </c>
      <c r="V56" s="22">
        <f t="shared" si="95"/>
        <v>-0.11087970000000524</v>
      </c>
      <c r="W56" s="5"/>
      <c r="X56" s="5"/>
      <c r="Y56" s="19">
        <v>14.178936</v>
      </c>
      <c r="Z56" s="20">
        <v>12.880692</v>
      </c>
      <c r="AA56" s="20">
        <v>14.2849045</v>
      </c>
      <c r="AB56" s="21">
        <v>13.336589999999999</v>
      </c>
      <c r="AC56" s="5">
        <f t="shared" si="96"/>
        <v>-0.21070200000000128</v>
      </c>
      <c r="AD56" s="5">
        <f t="shared" si="97"/>
        <v>3.3573199999999304E-2</v>
      </c>
      <c r="AE56" s="5">
        <f t="shared" si="98"/>
        <v>-0.16536585000000237</v>
      </c>
      <c r="AF56" s="22">
        <f t="shared" si="99"/>
        <v>0.10916329999999874</v>
      </c>
      <c r="AG56" s="5"/>
      <c r="AH56" s="5"/>
      <c r="AI56" s="19">
        <v>7.072972</v>
      </c>
      <c r="AJ56" s="20">
        <v>7.3504275999999997</v>
      </c>
      <c r="AK56" s="20">
        <v>7.2466929999999996</v>
      </c>
      <c r="AL56" s="21">
        <v>7.6092870000000001</v>
      </c>
      <c r="AM56" s="5">
        <f t="shared" si="100"/>
        <v>-1.2410100000001201E-2</v>
      </c>
      <c r="AN56" s="5">
        <f t="shared" si="101"/>
        <v>-6.9067129999999644E-2</v>
      </c>
      <c r="AO56" s="5">
        <f t="shared" si="102"/>
        <v>3.677530999999945E-2</v>
      </c>
      <c r="AP56" s="22">
        <f t="shared" si="103"/>
        <v>7.7031899999999709E-2</v>
      </c>
      <c r="AR56" s="5"/>
      <c r="AS56" s="19">
        <v>19.527746</v>
      </c>
      <c r="AT56" s="20">
        <v>19.043365000000001</v>
      </c>
      <c r="AU56" s="20">
        <v>18.824922999999998</v>
      </c>
      <c r="AV56" s="21">
        <v>18.756626000000001</v>
      </c>
      <c r="AW56" s="5">
        <f t="shared" si="104"/>
        <v>6.5127999999958774E-3</v>
      </c>
      <c r="AX56" s="5">
        <f t="shared" si="105"/>
        <v>6.7240600000001649E-2</v>
      </c>
      <c r="AY56" s="5">
        <f t="shared" si="106"/>
        <v>-3.1746000000012486E-3</v>
      </c>
      <c r="AZ56" s="22">
        <f t="shared" si="107"/>
        <v>1.8482099999999946E-2</v>
      </c>
      <c r="BB56" s="5"/>
      <c r="BC56" s="19">
        <v>3.0577483000000001</v>
      </c>
      <c r="BD56" s="20">
        <v>3.0881514999999999</v>
      </c>
      <c r="BE56" s="20">
        <v>3.1540184</v>
      </c>
      <c r="BF56" s="21">
        <v>3.0798771</v>
      </c>
      <c r="BG56" s="5">
        <f t="shared" si="108"/>
        <v>-1.1823499999996656E-3</v>
      </c>
      <c r="BH56" s="5">
        <f t="shared" si="109"/>
        <v>1.8073570000000316E-2</v>
      </c>
      <c r="BI56" s="5">
        <f t="shared" si="110"/>
        <v>4.8274139999999743E-2</v>
      </c>
      <c r="BJ56" s="22">
        <f t="shared" si="111"/>
        <v>4.4784199999998719E-3</v>
      </c>
      <c r="BL56" s="5"/>
      <c r="BM56" s="19">
        <v>4.4316215999999997</v>
      </c>
      <c r="BN56" s="20">
        <v>2.2355673</v>
      </c>
      <c r="BO56" s="20">
        <v>3.4153326000000002</v>
      </c>
      <c r="BP56" s="21">
        <v>5.9720592000000003</v>
      </c>
      <c r="BQ56" s="5">
        <f t="shared" si="112"/>
        <v>4.6090239999999838E-2</v>
      </c>
      <c r="BR56" s="5">
        <f t="shared" si="113"/>
        <v>-3.0417090000000258E-2</v>
      </c>
      <c r="BS56" s="5">
        <f t="shared" si="114"/>
        <v>-0.55776566999999977</v>
      </c>
      <c r="BT56" s="22">
        <f t="shared" si="115"/>
        <v>1.0277839100000019</v>
      </c>
      <c r="BV56" s="5"/>
      <c r="BW56" s="19">
        <v>5.6237196999999997</v>
      </c>
      <c r="BX56" s="20">
        <v>5.1292834000000003</v>
      </c>
      <c r="BY56" s="20">
        <v>5.3629923000000002</v>
      </c>
      <c r="BZ56" s="21">
        <v>5.0315713999999998</v>
      </c>
      <c r="CA56" s="5">
        <f t="shared" si="116"/>
        <v>-2.4724830000001141E-2</v>
      </c>
      <c r="CB56" s="5">
        <f t="shared" si="117"/>
        <v>-1.6026699999999394E-2</v>
      </c>
      <c r="CC56" s="5">
        <f t="shared" si="118"/>
        <v>8.7260999999827504E-4</v>
      </c>
      <c r="CD56" s="22">
        <f t="shared" si="119"/>
        <v>7.2936900000009075E-3</v>
      </c>
    </row>
    <row r="57" spans="1:82" x14ac:dyDescent="0.25">
      <c r="A57" s="38"/>
      <c r="B57" s="5">
        <v>5</v>
      </c>
      <c r="C57" s="18">
        <v>25</v>
      </c>
      <c r="E57" s="19">
        <v>87.632739999999998</v>
      </c>
      <c r="F57" s="20">
        <v>87.998099999999994</v>
      </c>
      <c r="G57" s="20">
        <v>88.057730000000006</v>
      </c>
      <c r="H57" s="21">
        <v>87.310149999999993</v>
      </c>
      <c r="I57" s="5">
        <f t="shared" si="88"/>
        <v>0.14559099999998182</v>
      </c>
      <c r="J57" s="5">
        <f t="shared" si="89"/>
        <v>-8.4323900000015328E-2</v>
      </c>
      <c r="K57" s="5">
        <f t="shared" si="90"/>
        <v>0.17105899999999963</v>
      </c>
      <c r="L57" s="22">
        <f t="shared" si="91"/>
        <v>0.11423379999999383</v>
      </c>
      <c r="M57" s="5"/>
      <c r="N57" s="5"/>
      <c r="O57" s="19">
        <v>50.123992999999999</v>
      </c>
      <c r="P57" s="20">
        <v>51.164490000000001</v>
      </c>
      <c r="Q57" s="20">
        <v>50.916065000000003</v>
      </c>
      <c r="R57" s="21">
        <v>51.146805000000001</v>
      </c>
      <c r="S57" s="5">
        <f t="shared" si="92"/>
        <v>8.4036300000001063E-2</v>
      </c>
      <c r="T57" s="5">
        <f t="shared" si="93"/>
        <v>-9.6675500000003467E-2</v>
      </c>
      <c r="U57" s="5">
        <f t="shared" si="94"/>
        <v>3.313659999999885E-2</v>
      </c>
      <c r="V57" s="22">
        <f t="shared" si="95"/>
        <v>-0.11087970000000524</v>
      </c>
      <c r="W57" s="5"/>
      <c r="X57" s="5"/>
      <c r="Y57" s="19">
        <v>14.514106999999999</v>
      </c>
      <c r="Z57" s="20">
        <v>12.880692</v>
      </c>
      <c r="AA57" s="20">
        <v>14.589921</v>
      </c>
      <c r="AB57" s="21">
        <v>13.455885</v>
      </c>
      <c r="AC57" s="5">
        <f t="shared" si="96"/>
        <v>0.12446899999999772</v>
      </c>
      <c r="AD57" s="5">
        <f t="shared" si="97"/>
        <v>3.3573199999999304E-2</v>
      </c>
      <c r="AE57" s="5">
        <f t="shared" si="98"/>
        <v>0.13965064999999832</v>
      </c>
      <c r="AF57" s="22">
        <f t="shared" si="99"/>
        <v>0.22845829999999978</v>
      </c>
      <c r="AG57" s="5"/>
      <c r="AH57" s="5"/>
      <c r="AI57" s="19">
        <v>7.0792522</v>
      </c>
      <c r="AJ57" s="20">
        <v>7.4192885999999998</v>
      </c>
      <c r="AK57" s="20">
        <v>7.1985960000000002</v>
      </c>
      <c r="AL57" s="21">
        <v>7.6469659999999999</v>
      </c>
      <c r="AM57" s="5">
        <f t="shared" si="100"/>
        <v>-6.1299000000012427E-3</v>
      </c>
      <c r="AN57" s="5">
        <f t="shared" si="101"/>
        <v>-2.0612999999958248E-4</v>
      </c>
      <c r="AO57" s="5">
        <f t="shared" si="102"/>
        <v>-1.132168999999994E-2</v>
      </c>
      <c r="AP57" s="22">
        <f t="shared" si="103"/>
        <v>0.1147108999999995</v>
      </c>
      <c r="AR57" s="5"/>
      <c r="AS57" s="19">
        <v>19.360185999999999</v>
      </c>
      <c r="AT57" s="20">
        <v>18.954197000000001</v>
      </c>
      <c r="AU57" s="20">
        <v>18.824922999999998</v>
      </c>
      <c r="AV57" s="21">
        <v>18.756626000000001</v>
      </c>
      <c r="AW57" s="5">
        <f t="shared" si="104"/>
        <v>-0.16104720000000583</v>
      </c>
      <c r="AX57" s="5">
        <f t="shared" si="105"/>
        <v>-2.1927399999999153E-2</v>
      </c>
      <c r="AY57" s="5">
        <f t="shared" si="106"/>
        <v>-3.1746000000012486E-3</v>
      </c>
      <c r="AZ57" s="22">
        <f t="shared" si="107"/>
        <v>1.8482099999999946E-2</v>
      </c>
      <c r="BB57" s="5"/>
      <c r="BC57" s="19">
        <v>3.0577483000000001</v>
      </c>
      <c r="BD57" s="20">
        <v>3.0881514999999999</v>
      </c>
      <c r="BE57" s="20">
        <v>3.1540184</v>
      </c>
      <c r="BF57" s="21">
        <v>3.0944229999999999</v>
      </c>
      <c r="BG57" s="5">
        <f t="shared" si="108"/>
        <v>-1.1823499999996656E-3</v>
      </c>
      <c r="BH57" s="5">
        <f t="shared" si="109"/>
        <v>1.8073570000000316E-2</v>
      </c>
      <c r="BI57" s="5">
        <f t="shared" si="110"/>
        <v>4.8274139999999743E-2</v>
      </c>
      <c r="BJ57" s="22">
        <f t="shared" si="111"/>
        <v>1.9024319999999761E-2</v>
      </c>
      <c r="BL57" s="5"/>
      <c r="BM57" s="19">
        <v>4.8087068000000004</v>
      </c>
      <c r="BN57" s="20">
        <v>2.1390083</v>
      </c>
      <c r="BO57" s="20">
        <v>3.4724816999999999</v>
      </c>
      <c r="BP57" s="21">
        <v>5.8056492999999998</v>
      </c>
      <c r="BQ57" s="5">
        <f t="shared" si="112"/>
        <v>0.42317544000000051</v>
      </c>
      <c r="BR57" s="5">
        <f t="shared" si="113"/>
        <v>-0.12697609000000032</v>
      </c>
      <c r="BS57" s="5">
        <f t="shared" si="114"/>
        <v>-0.50061657000000004</v>
      </c>
      <c r="BT57" s="22">
        <f t="shared" si="115"/>
        <v>0.86137401000000136</v>
      </c>
      <c r="BV57" s="5"/>
      <c r="BW57" s="19">
        <v>5.5677479999999999</v>
      </c>
      <c r="BX57" s="20">
        <v>5.1023399999999999</v>
      </c>
      <c r="BY57" s="20">
        <v>5.3165364000000004</v>
      </c>
      <c r="BZ57" s="21">
        <v>4.9454427000000001</v>
      </c>
      <c r="CA57" s="5">
        <f t="shared" si="116"/>
        <v>-8.0696530000000877E-2</v>
      </c>
      <c r="CB57" s="5">
        <f t="shared" si="117"/>
        <v>-4.2970099999999789E-2</v>
      </c>
      <c r="CC57" s="5">
        <f t="shared" si="118"/>
        <v>-4.5583290000001497E-2</v>
      </c>
      <c r="CD57" s="22">
        <f t="shared" si="119"/>
        <v>-7.8835009999998817E-2</v>
      </c>
    </row>
    <row r="58" spans="1:82" x14ac:dyDescent="0.25">
      <c r="A58" s="38"/>
      <c r="B58" s="5">
        <v>6</v>
      </c>
      <c r="C58" s="18">
        <v>30</v>
      </c>
      <c r="E58" s="19">
        <v>87.358320000000006</v>
      </c>
      <c r="F58" s="20">
        <v>87.9786</v>
      </c>
      <c r="G58" s="20">
        <v>88.061279999999996</v>
      </c>
      <c r="H58" s="21">
        <v>87.061676000000006</v>
      </c>
      <c r="I58" s="5">
        <f t="shared" si="88"/>
        <v>-0.1288290000000103</v>
      </c>
      <c r="J58" s="5">
        <f t="shared" si="89"/>
        <v>-0.10382390000000896</v>
      </c>
      <c r="K58" s="5">
        <f t="shared" si="90"/>
        <v>0.17460899999998958</v>
      </c>
      <c r="L58" s="22">
        <f t="shared" si="91"/>
        <v>-0.13424019999999359</v>
      </c>
      <c r="M58" s="5"/>
      <c r="N58" s="5"/>
      <c r="O58" s="19">
        <v>50.073658000000002</v>
      </c>
      <c r="P58" s="20">
        <v>51.135173999999999</v>
      </c>
      <c r="Q58" s="20">
        <v>50.916065000000003</v>
      </c>
      <c r="R58" s="21">
        <v>51.125259999999997</v>
      </c>
      <c r="S58" s="5">
        <f t="shared" si="92"/>
        <v>3.3701300000004153E-2</v>
      </c>
      <c r="T58" s="5">
        <f t="shared" si="93"/>
        <v>-0.12599150000000492</v>
      </c>
      <c r="U58" s="5">
        <f t="shared" si="94"/>
        <v>3.313659999999885E-2</v>
      </c>
      <c r="V58" s="22">
        <f t="shared" si="95"/>
        <v>-0.1324247000000085</v>
      </c>
      <c r="W58" s="5"/>
      <c r="X58" s="5"/>
      <c r="Y58" s="19">
        <v>14.55677</v>
      </c>
      <c r="Z58" s="20">
        <v>12.933802</v>
      </c>
      <c r="AA58" s="20">
        <v>14.403622</v>
      </c>
      <c r="AB58" s="21">
        <v>13.211486000000001</v>
      </c>
      <c r="AC58" s="5">
        <f t="shared" si="96"/>
        <v>0.16713199999999873</v>
      </c>
      <c r="AD58" s="5">
        <f t="shared" si="97"/>
        <v>8.6683199999999516E-2</v>
      </c>
      <c r="AE58" s="5">
        <f t="shared" si="98"/>
        <v>-4.664835000000167E-2</v>
      </c>
      <c r="AF58" s="22">
        <f t="shared" si="99"/>
        <v>-1.5940699999999808E-2</v>
      </c>
      <c r="AG58" s="5"/>
      <c r="AH58" s="5"/>
      <c r="AI58" s="19">
        <v>7.1158814000000001</v>
      </c>
      <c r="AJ58" s="20">
        <v>7.6309500000000003</v>
      </c>
      <c r="AK58" s="20">
        <v>7.1870874999999996</v>
      </c>
      <c r="AL58" s="21">
        <v>7.5209216999999997</v>
      </c>
      <c r="AM58" s="5">
        <f t="shared" si="100"/>
        <v>3.0499299999998897E-2</v>
      </c>
      <c r="AN58" s="5">
        <f t="shared" si="101"/>
        <v>0.21145527000000097</v>
      </c>
      <c r="AO58" s="5">
        <f t="shared" si="102"/>
        <v>-2.2830190000000528E-2</v>
      </c>
      <c r="AP58" s="22">
        <f t="shared" si="103"/>
        <v>-1.1333400000000715E-2</v>
      </c>
      <c r="AR58" s="5"/>
      <c r="AS58" s="19">
        <v>19.527746</v>
      </c>
      <c r="AT58" s="20">
        <v>18.841930000000001</v>
      </c>
      <c r="AU58" s="20">
        <v>18.830324000000001</v>
      </c>
      <c r="AV58" s="21">
        <v>18.718354999999999</v>
      </c>
      <c r="AW58" s="5">
        <f t="shared" si="104"/>
        <v>6.5127999999958774E-3</v>
      </c>
      <c r="AX58" s="5">
        <f t="shared" si="105"/>
        <v>-0.13419439999999838</v>
      </c>
      <c r="AY58" s="5">
        <f t="shared" si="106"/>
        <v>2.226400000001405E-3</v>
      </c>
      <c r="AZ58" s="22">
        <f t="shared" si="107"/>
        <v>-1.9788900000001775E-2</v>
      </c>
      <c r="BB58" s="5"/>
      <c r="BC58" s="19">
        <v>3.0577483000000001</v>
      </c>
      <c r="BD58" s="20">
        <v>3.0881514999999999</v>
      </c>
      <c r="BE58" s="20">
        <v>3.0756725999999999</v>
      </c>
      <c r="BF58" s="21">
        <v>3.0691299999999999</v>
      </c>
      <c r="BG58" s="5">
        <f t="shared" si="108"/>
        <v>-1.1823499999996656E-3</v>
      </c>
      <c r="BH58" s="5">
        <f t="shared" si="109"/>
        <v>1.8073570000000316E-2</v>
      </c>
      <c r="BI58" s="5">
        <f t="shared" si="110"/>
        <v>-3.0071660000000389E-2</v>
      </c>
      <c r="BJ58" s="22">
        <f t="shared" si="111"/>
        <v>-6.2686800000002485E-3</v>
      </c>
      <c r="BL58" s="5"/>
      <c r="BM58" s="19">
        <v>4.4755115999999999</v>
      </c>
      <c r="BN58" s="20">
        <v>2.2414907999999998</v>
      </c>
      <c r="BO58" s="20">
        <v>4.2617073000000003</v>
      </c>
      <c r="BP58" s="21">
        <v>6.0374489999999996</v>
      </c>
      <c r="BQ58" s="5">
        <f t="shared" si="112"/>
        <v>8.9980240000000045E-2</v>
      </c>
      <c r="BR58" s="5">
        <f t="shared" si="113"/>
        <v>-2.4493590000000509E-2</v>
      </c>
      <c r="BS58" s="5">
        <f t="shared" si="114"/>
        <v>0.28860903000000038</v>
      </c>
      <c r="BT58" s="22">
        <f t="shared" si="115"/>
        <v>1.0931737100000012</v>
      </c>
      <c r="BV58" s="5"/>
      <c r="BW58" s="19">
        <v>5.6407213</v>
      </c>
      <c r="BX58" s="20">
        <v>5.1127253000000001</v>
      </c>
      <c r="BY58" s="20">
        <v>5.3353533999999998</v>
      </c>
      <c r="BZ58" s="21">
        <v>4.9861025999999997</v>
      </c>
      <c r="CA58" s="5">
        <f t="shared" si="116"/>
        <v>-7.723230000000747E-3</v>
      </c>
      <c r="CB58" s="5">
        <f t="shared" si="117"/>
        <v>-3.2584799999999525E-2</v>
      </c>
      <c r="CC58" s="5">
        <f t="shared" si="118"/>
        <v>-2.676629000000208E-2</v>
      </c>
      <c r="CD58" s="22">
        <f t="shared" si="119"/>
        <v>-3.8175109999999179E-2</v>
      </c>
    </row>
    <row r="59" spans="1:82" x14ac:dyDescent="0.25">
      <c r="A59" s="38"/>
      <c r="B59" s="5">
        <v>7</v>
      </c>
      <c r="C59" s="18">
        <v>35</v>
      </c>
      <c r="E59" s="19">
        <v>87.419640000000001</v>
      </c>
      <c r="F59" s="20">
        <v>88.063940000000002</v>
      </c>
      <c r="G59" s="20">
        <v>87.782973999999996</v>
      </c>
      <c r="H59" s="21">
        <v>87.069270000000003</v>
      </c>
      <c r="I59" s="5">
        <f t="shared" si="88"/>
        <v>-6.7509000000015362E-2</v>
      </c>
      <c r="J59" s="5">
        <f t="shared" si="89"/>
        <v>-1.848390000000677E-2</v>
      </c>
      <c r="K59" s="5">
        <f t="shared" si="90"/>
        <v>-0.10369700000001103</v>
      </c>
      <c r="L59" s="22">
        <f t="shared" si="91"/>
        <v>-0.12664619999999616</v>
      </c>
      <c r="M59" s="5"/>
      <c r="N59" s="5"/>
      <c r="O59" s="19">
        <v>50.041091999999999</v>
      </c>
      <c r="P59" s="20">
        <v>51.143982000000001</v>
      </c>
      <c r="Q59" s="20">
        <v>50.916065000000003</v>
      </c>
      <c r="R59" s="21">
        <v>51.364376</v>
      </c>
      <c r="S59" s="5">
        <f t="shared" si="92"/>
        <v>1.1353000000013935E-3</v>
      </c>
      <c r="T59" s="5">
        <f t="shared" si="93"/>
        <v>-0.11718350000000299</v>
      </c>
      <c r="U59" s="5">
        <f t="shared" si="94"/>
        <v>3.313659999999885E-2</v>
      </c>
      <c r="V59" s="22">
        <f t="shared" si="95"/>
        <v>0.10669129999999427</v>
      </c>
      <c r="W59" s="5"/>
      <c r="X59" s="5"/>
      <c r="Y59" s="19">
        <v>14.55677</v>
      </c>
      <c r="Z59" s="20">
        <v>12.918407</v>
      </c>
      <c r="AA59" s="20">
        <v>14.617528</v>
      </c>
      <c r="AB59" s="21">
        <v>13.238918999999999</v>
      </c>
      <c r="AC59" s="5">
        <f t="shared" si="96"/>
        <v>0.16713199999999873</v>
      </c>
      <c r="AD59" s="5">
        <f t="shared" si="97"/>
        <v>7.1288199999999691E-2</v>
      </c>
      <c r="AE59" s="5">
        <f t="shared" si="98"/>
        <v>0.16725764999999804</v>
      </c>
      <c r="AF59" s="22">
        <f t="shared" si="99"/>
        <v>1.1492299999998679E-2</v>
      </c>
      <c r="AG59" s="5"/>
      <c r="AH59" s="5"/>
      <c r="AI59" s="19">
        <v>7.072972</v>
      </c>
      <c r="AJ59" s="20">
        <v>7.5798344999999996</v>
      </c>
      <c r="AK59" s="20">
        <v>7.1860714000000003</v>
      </c>
      <c r="AL59" s="21">
        <v>7.5435920000000003</v>
      </c>
      <c r="AM59" s="5">
        <f t="shared" si="100"/>
        <v>-1.2410100000001201E-2</v>
      </c>
      <c r="AN59" s="5">
        <f t="shared" si="101"/>
        <v>0.16033977000000021</v>
      </c>
      <c r="AO59" s="5">
        <f t="shared" si="102"/>
        <v>-2.3846289999999826E-2</v>
      </c>
      <c r="AP59" s="22">
        <f t="shared" si="103"/>
        <v>1.1336899999999872E-2</v>
      </c>
      <c r="AR59" s="5"/>
      <c r="AS59" s="19">
        <v>19.527746</v>
      </c>
      <c r="AT59" s="20">
        <v>19.043365000000001</v>
      </c>
      <c r="AU59" s="20">
        <v>18.825583000000002</v>
      </c>
      <c r="AV59" s="21">
        <v>18.718354999999999</v>
      </c>
      <c r="AW59" s="5">
        <f t="shared" si="104"/>
        <v>6.5127999999958774E-3</v>
      </c>
      <c r="AX59" s="5">
        <f t="shared" si="105"/>
        <v>6.7240600000001649E-2</v>
      </c>
      <c r="AY59" s="5">
        <f t="shared" si="106"/>
        <v>-2.514599999997813E-3</v>
      </c>
      <c r="AZ59" s="22">
        <f t="shared" si="107"/>
        <v>-1.9788900000001775E-2</v>
      </c>
      <c r="BB59" s="5"/>
      <c r="BC59" s="19">
        <v>3.0577483000000001</v>
      </c>
      <c r="BD59" s="20">
        <v>3.0881514999999999</v>
      </c>
      <c r="BE59" s="20">
        <v>3.1460151999999999</v>
      </c>
      <c r="BF59" s="21">
        <v>3.0691299999999999</v>
      </c>
      <c r="BG59" s="5">
        <f t="shared" si="108"/>
        <v>-1.1823499999996656E-3</v>
      </c>
      <c r="BH59" s="5">
        <f t="shared" si="109"/>
        <v>1.8073570000000316E-2</v>
      </c>
      <c r="BI59" s="5">
        <f t="shared" si="110"/>
        <v>4.0270939999999644E-2</v>
      </c>
      <c r="BJ59" s="22">
        <f t="shared" si="111"/>
        <v>-6.2686800000002485E-3</v>
      </c>
      <c r="BL59" s="5"/>
      <c r="BM59" s="19">
        <v>4.4478489999999997</v>
      </c>
      <c r="BN59" s="20">
        <v>2.3214456999999999</v>
      </c>
      <c r="BO59" s="20">
        <v>4.3393435</v>
      </c>
      <c r="BP59" s="21">
        <v>5.9866700000000002</v>
      </c>
      <c r="BQ59" s="5">
        <f t="shared" si="112"/>
        <v>6.2317639999999841E-2</v>
      </c>
      <c r="BR59" s="5">
        <f t="shared" si="113"/>
        <v>5.5461309999999653E-2</v>
      </c>
      <c r="BS59" s="5">
        <f t="shared" si="114"/>
        <v>0.36624523000000009</v>
      </c>
      <c r="BT59" s="22">
        <f t="shared" si="115"/>
        <v>1.0423947100000017</v>
      </c>
      <c r="BV59" s="5"/>
      <c r="BW59" s="19">
        <v>5.6438484000000004</v>
      </c>
      <c r="BX59" s="20">
        <v>5.0756683000000002</v>
      </c>
      <c r="BY59" s="20">
        <v>5.3221064</v>
      </c>
      <c r="BZ59" s="21">
        <v>5.0315713999999998</v>
      </c>
      <c r="CA59" s="5">
        <f t="shared" si="116"/>
        <v>-4.5961300000003646E-3</v>
      </c>
      <c r="CB59" s="5">
        <f t="shared" si="117"/>
        <v>-6.9641799999999421E-2</v>
      </c>
      <c r="CC59" s="5">
        <f t="shared" si="118"/>
        <v>-4.0013290000001867E-2</v>
      </c>
      <c r="CD59" s="22">
        <f t="shared" si="119"/>
        <v>7.2936900000009075E-3</v>
      </c>
    </row>
    <row r="60" spans="1:82" x14ac:dyDescent="0.25">
      <c r="A60" s="38"/>
      <c r="B60" s="5">
        <v>8</v>
      </c>
      <c r="C60" s="18">
        <v>40</v>
      </c>
      <c r="E60" s="19">
        <v>87.386345000000006</v>
      </c>
      <c r="F60" s="20">
        <v>88.095280000000002</v>
      </c>
      <c r="G60" s="20">
        <v>87.802229999999994</v>
      </c>
      <c r="H60" s="21">
        <v>87.242620000000002</v>
      </c>
      <c r="I60" s="5">
        <f t="shared" si="88"/>
        <v>-0.10080400000001077</v>
      </c>
      <c r="J60" s="5">
        <f t="shared" si="89"/>
        <v>1.2856099999993376E-2</v>
      </c>
      <c r="K60" s="5">
        <f t="shared" si="90"/>
        <v>-8.4441000000012423E-2</v>
      </c>
      <c r="L60" s="22">
        <f t="shared" si="91"/>
        <v>4.6703800000003071E-2</v>
      </c>
      <c r="M60" s="5"/>
      <c r="N60" s="5"/>
      <c r="O60" s="19">
        <v>49.992232999999999</v>
      </c>
      <c r="P60" s="20">
        <v>51.184024999999998</v>
      </c>
      <c r="Q60" s="20">
        <v>50.848509999999997</v>
      </c>
      <c r="R60" s="21">
        <v>51.350850000000001</v>
      </c>
      <c r="S60" s="5">
        <f t="shared" si="92"/>
        <v>-4.7723699999998814E-2</v>
      </c>
      <c r="T60" s="5">
        <f t="shared" si="93"/>
        <v>-7.7140500000005829E-2</v>
      </c>
      <c r="U60" s="5">
        <f t="shared" si="94"/>
        <v>-3.4418400000006955E-2</v>
      </c>
      <c r="V60" s="22">
        <f t="shared" si="95"/>
        <v>9.3165299999995455E-2</v>
      </c>
      <c r="W60" s="5"/>
      <c r="X60" s="5"/>
      <c r="Y60" s="19">
        <v>14.491937</v>
      </c>
      <c r="Z60" s="20">
        <v>12.839572</v>
      </c>
      <c r="AA60" s="20">
        <v>14.557572</v>
      </c>
      <c r="AB60" s="21">
        <v>13.173575</v>
      </c>
      <c r="AC60" s="5">
        <f t="shared" si="96"/>
        <v>0.10229899999999859</v>
      </c>
      <c r="AD60" s="5">
        <f t="shared" si="97"/>
        <v>-7.5468000000000757E-3</v>
      </c>
      <c r="AE60" s="5">
        <f t="shared" si="98"/>
        <v>0.10730164999999836</v>
      </c>
      <c r="AF60" s="22">
        <f t="shared" si="99"/>
        <v>-5.3851700000000946E-2</v>
      </c>
      <c r="AG60" s="5"/>
      <c r="AH60" s="5"/>
      <c r="AI60" s="19">
        <v>7.0780004999999999</v>
      </c>
      <c r="AJ60" s="20">
        <v>7.4021052999999997</v>
      </c>
      <c r="AK60" s="20">
        <v>7.2350289999999999</v>
      </c>
      <c r="AL60" s="21">
        <v>7.5049523999999996</v>
      </c>
      <c r="AM60" s="5">
        <f t="shared" si="100"/>
        <v>-7.3816000000013204E-3</v>
      </c>
      <c r="AN60" s="5">
        <f t="shared" si="101"/>
        <v>-1.7389429999999706E-2</v>
      </c>
      <c r="AO60" s="5">
        <f t="shared" si="102"/>
        <v>2.5111309999999776E-2</v>
      </c>
      <c r="AP60" s="22">
        <f t="shared" si="103"/>
        <v>-2.730270000000079E-2</v>
      </c>
      <c r="AR60" s="5"/>
      <c r="AS60" s="19">
        <v>19.551394999999999</v>
      </c>
      <c r="AT60" s="20">
        <v>19.042631</v>
      </c>
      <c r="AU60" s="20">
        <v>18.829664000000001</v>
      </c>
      <c r="AV60" s="21">
        <v>18.718354999999999</v>
      </c>
      <c r="AW60" s="5">
        <f t="shared" si="104"/>
        <v>3.0161799999994798E-2</v>
      </c>
      <c r="AX60" s="5">
        <f t="shared" si="105"/>
        <v>6.6506600000000304E-2</v>
      </c>
      <c r="AY60" s="5">
        <f t="shared" si="106"/>
        <v>1.5664000000015221E-3</v>
      </c>
      <c r="AZ60" s="22">
        <f t="shared" si="107"/>
        <v>-1.9788900000001775E-2</v>
      </c>
      <c r="BB60" s="5"/>
      <c r="BC60" s="19">
        <v>3.0577483000000001</v>
      </c>
      <c r="BD60" s="20">
        <v>3.0255828</v>
      </c>
      <c r="BE60" s="20">
        <v>3.0710092000000002</v>
      </c>
      <c r="BF60" s="21">
        <v>3.0691299999999999</v>
      </c>
      <c r="BG60" s="5">
        <f t="shared" si="108"/>
        <v>-1.1823499999996656E-3</v>
      </c>
      <c r="BH60" s="5">
        <f t="shared" si="109"/>
        <v>-4.4495129999999605E-2</v>
      </c>
      <c r="BI60" s="5">
        <f t="shared" si="110"/>
        <v>-3.473506000000004E-2</v>
      </c>
      <c r="BJ60" s="22">
        <f t="shared" si="111"/>
        <v>-6.2686800000002485E-3</v>
      </c>
      <c r="BL60" s="5"/>
      <c r="BM60" s="19">
        <v>4.4440556000000004</v>
      </c>
      <c r="BN60" s="20">
        <v>2.3214456999999999</v>
      </c>
      <c r="BO60" s="20">
        <v>4.2615914000000004</v>
      </c>
      <c r="BP60" s="21">
        <v>3.5359297000000001</v>
      </c>
      <c r="BQ60" s="5">
        <f t="shared" si="112"/>
        <v>5.852424000000056E-2</v>
      </c>
      <c r="BR60" s="5">
        <f t="shared" si="113"/>
        <v>5.5461309999999653E-2</v>
      </c>
      <c r="BS60" s="5">
        <f t="shared" si="114"/>
        <v>0.28849313000000043</v>
      </c>
      <c r="BT60" s="22">
        <f t="shared" si="115"/>
        <v>-1.4083455899999984</v>
      </c>
      <c r="BV60" s="5"/>
      <c r="BW60" s="19">
        <v>5.6438484000000004</v>
      </c>
      <c r="BX60" s="20">
        <v>5.1038375</v>
      </c>
      <c r="BY60" s="20">
        <v>5.3866019999999999</v>
      </c>
      <c r="BZ60" s="21">
        <v>5.0389255999999998</v>
      </c>
      <c r="CA60" s="5">
        <f t="shared" si="116"/>
        <v>-4.5961300000003646E-3</v>
      </c>
      <c r="CB60" s="5">
        <f t="shared" si="117"/>
        <v>-4.1472599999999638E-2</v>
      </c>
      <c r="CC60" s="5">
        <f t="shared" si="118"/>
        <v>2.4482309999998009E-2</v>
      </c>
      <c r="CD60" s="22">
        <f t="shared" si="119"/>
        <v>1.4647890000000885E-2</v>
      </c>
    </row>
    <row r="61" spans="1:82" x14ac:dyDescent="0.25">
      <c r="A61" s="38"/>
      <c r="B61" s="5">
        <v>9</v>
      </c>
      <c r="C61" s="18">
        <v>45</v>
      </c>
      <c r="E61" s="19">
        <v>87.698689999999999</v>
      </c>
      <c r="F61" s="20">
        <v>88.168175000000005</v>
      </c>
      <c r="G61" s="20">
        <v>88.081029999999998</v>
      </c>
      <c r="H61" s="21">
        <v>87.126639999999995</v>
      </c>
      <c r="I61" s="5">
        <f t="shared" si="88"/>
        <v>0.21154099999998266</v>
      </c>
      <c r="J61" s="5">
        <f t="shared" si="89"/>
        <v>8.5751099999995972E-2</v>
      </c>
      <c r="K61" s="5">
        <f t="shared" si="90"/>
        <v>0.19435899999999151</v>
      </c>
      <c r="L61" s="22">
        <f t="shared" si="91"/>
        <v>-6.9276200000004451E-2</v>
      </c>
      <c r="M61" s="5"/>
      <c r="N61" s="5"/>
      <c r="O61" s="19">
        <v>50.026935999999999</v>
      </c>
      <c r="P61" s="20">
        <v>51.130825000000002</v>
      </c>
      <c r="Q61" s="20">
        <v>50.916065000000003</v>
      </c>
      <c r="R61" s="21">
        <v>51.235190000000003</v>
      </c>
      <c r="S61" s="5">
        <f t="shared" si="92"/>
        <v>-1.3020699999998442E-2</v>
      </c>
      <c r="T61" s="5">
        <f t="shared" si="93"/>
        <v>-0.13034050000000263</v>
      </c>
      <c r="U61" s="5">
        <f t="shared" si="94"/>
        <v>3.313659999999885E-2</v>
      </c>
      <c r="V61" s="22">
        <f t="shared" si="95"/>
        <v>-2.2494700000002865E-2</v>
      </c>
      <c r="W61" s="5"/>
      <c r="X61" s="5"/>
      <c r="Y61" s="19">
        <v>14.236336</v>
      </c>
      <c r="Z61" s="20">
        <v>12.998435000000001</v>
      </c>
      <c r="AA61" s="20">
        <v>14.403622</v>
      </c>
      <c r="AB61" s="21">
        <v>13.269081</v>
      </c>
      <c r="AC61" s="5">
        <f t="shared" si="96"/>
        <v>-0.15330200000000183</v>
      </c>
      <c r="AD61" s="5">
        <f t="shared" si="97"/>
        <v>0.15131620000000012</v>
      </c>
      <c r="AE61" s="5">
        <f t="shared" si="98"/>
        <v>-4.664835000000167E-2</v>
      </c>
      <c r="AF61" s="22">
        <f t="shared" si="99"/>
        <v>4.1654299999999367E-2</v>
      </c>
      <c r="AG61" s="5"/>
      <c r="AH61" s="5"/>
      <c r="AI61" s="19">
        <v>7.1187953999999998</v>
      </c>
      <c r="AJ61" s="20">
        <v>7.638979</v>
      </c>
      <c r="AK61" s="20">
        <v>7.2036332999999999</v>
      </c>
      <c r="AL61" s="21">
        <v>7.5435920000000003</v>
      </c>
      <c r="AM61" s="5">
        <f t="shared" si="100"/>
        <v>3.3413299999998536E-2</v>
      </c>
      <c r="AN61" s="5">
        <f t="shared" si="101"/>
        <v>0.21948427000000059</v>
      </c>
      <c r="AO61" s="5">
        <f t="shared" si="102"/>
        <v>-6.2843900000002506E-3</v>
      </c>
      <c r="AP61" s="22">
        <f t="shared" si="103"/>
        <v>1.1336899999999872E-2</v>
      </c>
      <c r="AR61" s="5"/>
      <c r="AS61" s="19">
        <v>19.527746</v>
      </c>
      <c r="AT61" s="20">
        <v>18.940270999999999</v>
      </c>
      <c r="AU61" s="20">
        <v>18.830324000000001</v>
      </c>
      <c r="AV61" s="21">
        <v>18.718354999999999</v>
      </c>
      <c r="AW61" s="5">
        <f t="shared" si="104"/>
        <v>6.5127999999958774E-3</v>
      </c>
      <c r="AX61" s="5">
        <f t="shared" si="105"/>
        <v>-3.585340000000059E-2</v>
      </c>
      <c r="AY61" s="5">
        <f t="shared" si="106"/>
        <v>2.226400000001405E-3</v>
      </c>
      <c r="AZ61" s="22">
        <f t="shared" si="107"/>
        <v>-1.9788900000001775E-2</v>
      </c>
      <c r="BB61" s="5"/>
      <c r="BC61" s="19">
        <v>3.0649077999999998</v>
      </c>
      <c r="BD61" s="20">
        <v>3.1026973999999998</v>
      </c>
      <c r="BE61" s="20">
        <v>3.0756725999999999</v>
      </c>
      <c r="BF61" s="21">
        <v>3.0691299999999999</v>
      </c>
      <c r="BG61" s="5">
        <f t="shared" si="108"/>
        <v>5.9771500000000977E-3</v>
      </c>
      <c r="BH61" s="5">
        <f t="shared" si="109"/>
        <v>3.2619470000000206E-2</v>
      </c>
      <c r="BI61" s="5">
        <f t="shared" si="110"/>
        <v>-3.0071660000000389E-2</v>
      </c>
      <c r="BJ61" s="22">
        <f t="shared" si="111"/>
        <v>-6.2686800000002485E-3</v>
      </c>
      <c r="BL61" s="5"/>
      <c r="BM61" s="19">
        <v>4.4848065000000004</v>
      </c>
      <c r="BN61" s="20">
        <v>2.3630651999999999</v>
      </c>
      <c r="BO61" s="20">
        <v>4.3938370000000004</v>
      </c>
      <c r="BP61" s="21">
        <v>5.9334043999999997</v>
      </c>
      <c r="BQ61" s="5">
        <f t="shared" si="112"/>
        <v>9.9275140000000484E-2</v>
      </c>
      <c r="BR61" s="5">
        <f t="shared" si="113"/>
        <v>9.7080809999999573E-2</v>
      </c>
      <c r="BS61" s="5">
        <f t="shared" si="114"/>
        <v>0.4207387300000005</v>
      </c>
      <c r="BT61" s="22">
        <f t="shared" si="115"/>
        <v>0.98912911000000125</v>
      </c>
      <c r="BV61" s="5"/>
      <c r="BW61" s="19">
        <v>5.7071779999999999</v>
      </c>
      <c r="BX61" s="20">
        <v>5.0999474999999999</v>
      </c>
      <c r="BY61" s="20">
        <v>5.3643830000000001</v>
      </c>
      <c r="BZ61" s="21">
        <v>5.0315713999999998</v>
      </c>
      <c r="CA61" s="5">
        <f t="shared" si="116"/>
        <v>5.8733469999999066E-2</v>
      </c>
      <c r="CB61" s="5">
        <f t="shared" si="117"/>
        <v>-4.5362599999999809E-2</v>
      </c>
      <c r="CC61" s="5">
        <f t="shared" si="118"/>
        <v>2.263309999998242E-3</v>
      </c>
      <c r="CD61" s="22">
        <f t="shared" si="119"/>
        <v>7.2936900000009075E-3</v>
      </c>
    </row>
    <row r="62" spans="1:82" x14ac:dyDescent="0.25">
      <c r="A62" s="39"/>
      <c r="B62" s="23">
        <v>10</v>
      </c>
      <c r="C62" s="24">
        <v>50</v>
      </c>
      <c r="E62" s="25">
        <v>87.719025000000002</v>
      </c>
      <c r="F62" s="26">
        <v>87.973820000000003</v>
      </c>
      <c r="G62" s="26">
        <v>88.057730000000006</v>
      </c>
      <c r="H62" s="27">
        <v>87.046419999999998</v>
      </c>
      <c r="I62" s="23">
        <f t="shared" si="88"/>
        <v>0.23187599999998554</v>
      </c>
      <c r="J62" s="23">
        <f t="shared" si="89"/>
        <v>-0.10860390000000564</v>
      </c>
      <c r="K62" s="23">
        <f t="shared" si="90"/>
        <v>0.17105899999999963</v>
      </c>
      <c r="L62" s="28">
        <f t="shared" si="91"/>
        <v>-0.14949620000000152</v>
      </c>
      <c r="M62" s="5"/>
      <c r="N62" s="5"/>
      <c r="O62" s="25">
        <v>50.015037999999997</v>
      </c>
      <c r="P62" s="26">
        <v>51.182980000000001</v>
      </c>
      <c r="Q62" s="26">
        <v>50.913017000000004</v>
      </c>
      <c r="R62" s="27">
        <v>51.239249999999998</v>
      </c>
      <c r="S62" s="23">
        <f t="shared" si="92"/>
        <v>-2.4918700000000626E-2</v>
      </c>
      <c r="T62" s="23">
        <f t="shared" si="93"/>
        <v>-7.8185500000003572E-2</v>
      </c>
      <c r="U62" s="23">
        <f t="shared" si="94"/>
        <v>3.0088599999999133E-2</v>
      </c>
      <c r="V62" s="28">
        <f t="shared" si="95"/>
        <v>-1.8434700000007354E-2</v>
      </c>
      <c r="W62" s="5"/>
      <c r="X62" s="5"/>
      <c r="Y62" s="25">
        <v>14.541714000000001</v>
      </c>
      <c r="Z62" s="26">
        <v>12.836081</v>
      </c>
      <c r="AA62" s="26">
        <v>14.589921</v>
      </c>
      <c r="AB62" s="27">
        <v>13.335262</v>
      </c>
      <c r="AC62" s="23">
        <f t="shared" si="96"/>
        <v>0.15207599999999921</v>
      </c>
      <c r="AD62" s="23">
        <f t="shared" si="97"/>
        <v>-1.1037800000000431E-2</v>
      </c>
      <c r="AE62" s="23">
        <f t="shared" si="98"/>
        <v>0.13965064999999832</v>
      </c>
      <c r="AF62" s="28">
        <f t="shared" si="99"/>
        <v>0.10783529999999963</v>
      </c>
      <c r="AG62" s="5"/>
      <c r="AH62" s="5"/>
      <c r="AI62" s="25">
        <v>7.2122134999999998</v>
      </c>
      <c r="AJ62" s="26">
        <v>7.4375533999999996</v>
      </c>
      <c r="AK62" s="26">
        <v>7.1801776999999998</v>
      </c>
      <c r="AL62" s="27">
        <v>7.5429469999999998</v>
      </c>
      <c r="AM62" s="23">
        <f t="shared" si="100"/>
        <v>0.1268313999999986</v>
      </c>
      <c r="AN62" s="23">
        <f t="shared" si="101"/>
        <v>1.8058670000000276E-2</v>
      </c>
      <c r="AO62" s="23">
        <f t="shared" si="102"/>
        <v>-2.9739990000000383E-2</v>
      </c>
      <c r="AP62" s="28">
        <f t="shared" si="103"/>
        <v>1.0691899999999421E-2</v>
      </c>
      <c r="AR62" s="5"/>
      <c r="AS62" s="25">
        <v>19.50216</v>
      </c>
      <c r="AT62" s="26">
        <v>18.954197000000001</v>
      </c>
      <c r="AU62" s="26">
        <v>18.824922999999998</v>
      </c>
      <c r="AV62" s="27">
        <v>18.718354999999999</v>
      </c>
      <c r="AW62" s="23">
        <f t="shared" si="104"/>
        <v>-1.9073200000004675E-2</v>
      </c>
      <c r="AX62" s="23">
        <f t="shared" si="105"/>
        <v>-2.1927399999999153E-2</v>
      </c>
      <c r="AY62" s="23">
        <f t="shared" si="106"/>
        <v>-3.1746000000012486E-3</v>
      </c>
      <c r="AZ62" s="28">
        <f t="shared" si="107"/>
        <v>-1.9788900000001775E-2</v>
      </c>
      <c r="BB62" s="5"/>
      <c r="BC62" s="25">
        <v>3.0577483000000001</v>
      </c>
      <c r="BD62" s="26">
        <v>3.0881514999999999</v>
      </c>
      <c r="BE62" s="26">
        <v>3.1540184</v>
      </c>
      <c r="BF62" s="27">
        <v>3.0798771</v>
      </c>
      <c r="BG62" s="23">
        <f t="shared" si="108"/>
        <v>-1.1823499999996656E-3</v>
      </c>
      <c r="BH62" s="23">
        <f t="shared" si="109"/>
        <v>1.8073570000000316E-2</v>
      </c>
      <c r="BI62" s="23">
        <f t="shared" si="110"/>
        <v>4.8274139999999743E-2</v>
      </c>
      <c r="BJ62" s="28">
        <f t="shared" si="111"/>
        <v>4.4784199999998719E-3</v>
      </c>
      <c r="BL62" s="5"/>
      <c r="BM62" s="25">
        <v>4.5643229999999999</v>
      </c>
      <c r="BN62" s="26">
        <v>2.3329330000000001</v>
      </c>
      <c r="BO62" s="26">
        <v>3.4716619999999998</v>
      </c>
      <c r="BP62" s="27">
        <v>6.0608069999999996</v>
      </c>
      <c r="BQ62" s="23">
        <f t="shared" si="112"/>
        <v>0.17879164000000003</v>
      </c>
      <c r="BR62" s="23">
        <f t="shared" si="113"/>
        <v>6.6948609999999853E-2</v>
      </c>
      <c r="BS62" s="23">
        <f t="shared" si="114"/>
        <v>-0.50143627000000013</v>
      </c>
      <c r="BT62" s="28">
        <f t="shared" si="115"/>
        <v>1.1165317100000012</v>
      </c>
      <c r="BV62" s="5"/>
      <c r="BW62" s="25">
        <v>5.5777583000000002</v>
      </c>
      <c r="BX62" s="26">
        <v>5.0881242999999996</v>
      </c>
      <c r="BY62" s="26">
        <v>5.3165364000000004</v>
      </c>
      <c r="BZ62" s="27">
        <v>4.9694320000000003</v>
      </c>
      <c r="CA62" s="23">
        <f t="shared" si="116"/>
        <v>-7.0686230000000627E-2</v>
      </c>
      <c r="CB62" s="23">
        <f t="shared" si="117"/>
        <v>-5.7185800000000064E-2</v>
      </c>
      <c r="CC62" s="23">
        <f t="shared" si="118"/>
        <v>-4.5583290000001497E-2</v>
      </c>
      <c r="CD62" s="28">
        <f t="shared" si="119"/>
        <v>-5.4845709999998604E-2</v>
      </c>
    </row>
  </sheetData>
  <mergeCells count="32"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  <mergeCell ref="BW11:BZ11"/>
    <mergeCell ref="AM11:AP11"/>
    <mergeCell ref="A23:A32"/>
    <mergeCell ref="S11:V11"/>
    <mergeCell ref="Y11:AB11"/>
    <mergeCell ref="BM1:BT1"/>
    <mergeCell ref="AW11:AZ11"/>
    <mergeCell ref="C11:C12"/>
    <mergeCell ref="Y1:AF1"/>
    <mergeCell ref="I11:L11"/>
    <mergeCell ref="BC11:BF11"/>
    <mergeCell ref="BM11:BP11"/>
    <mergeCell ref="AI1:AP1"/>
    <mergeCell ref="AS1:AZ1"/>
    <mergeCell ref="AC11:AF11"/>
    <mergeCell ref="E1:L1"/>
    <mergeCell ref="O1:V1"/>
    <mergeCell ref="BQ11:BT11"/>
    <mergeCell ref="A53:A62"/>
    <mergeCell ref="A43:A52"/>
    <mergeCell ref="O11:R11"/>
    <mergeCell ref="B11:B12"/>
    <mergeCell ref="A13:A22"/>
  </mergeCells>
  <conditionalFormatting sqref="E8:H8 Y8:AB8 AI8:AL8 AS8:AV8 BC8:BF8 BM8:BP8 BW8:BZ8">
    <cfRule type="cellIs" dxfId="3" priority="2" operator="greaterThan">
      <formula>$C$9</formula>
    </cfRule>
  </conditionalFormatting>
  <conditionalFormatting sqref="O8:R8">
    <cfRule type="cellIs" dxfId="2" priority="1" operator="greaterThan">
      <formula>$C$9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62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92" ht="21.75" customHeight="1" thickBot="1" x14ac:dyDescent="0.4">
      <c r="E1" s="44" t="s">
        <v>0</v>
      </c>
      <c r="F1" s="45"/>
      <c r="G1" s="45"/>
      <c r="H1" s="45"/>
      <c r="I1" s="45"/>
      <c r="J1" s="45"/>
      <c r="K1" s="45"/>
      <c r="L1" s="46"/>
      <c r="O1" s="44" t="s">
        <v>1</v>
      </c>
      <c r="P1" s="45"/>
      <c r="Q1" s="45"/>
      <c r="R1" s="45"/>
      <c r="S1" s="45"/>
      <c r="T1" s="45"/>
      <c r="U1" s="45"/>
      <c r="V1" s="46"/>
      <c r="Y1" s="44" t="s">
        <v>2</v>
      </c>
      <c r="Z1" s="45"/>
      <c r="AA1" s="45"/>
      <c r="AB1" s="45"/>
      <c r="AC1" s="45"/>
      <c r="AD1" s="45"/>
      <c r="AE1" s="45"/>
      <c r="AF1" s="46"/>
      <c r="AI1" s="44" t="s">
        <v>3</v>
      </c>
      <c r="AJ1" s="45"/>
      <c r="AK1" s="45"/>
      <c r="AL1" s="45"/>
      <c r="AM1" s="45"/>
      <c r="AN1" s="45"/>
      <c r="AO1" s="45"/>
      <c r="AP1" s="46"/>
      <c r="AS1" s="44" t="s">
        <v>4</v>
      </c>
      <c r="AT1" s="45"/>
      <c r="AU1" s="45"/>
      <c r="AV1" s="45"/>
      <c r="AW1" s="45"/>
      <c r="AX1" s="45"/>
      <c r="AY1" s="45"/>
      <c r="AZ1" s="46"/>
      <c r="BC1" s="44" t="s">
        <v>5</v>
      </c>
      <c r="BD1" s="45"/>
      <c r="BE1" s="45"/>
      <c r="BF1" s="45"/>
      <c r="BG1" s="45"/>
      <c r="BH1" s="45"/>
      <c r="BI1" s="45"/>
      <c r="BJ1" s="46"/>
      <c r="BM1" s="44" t="s">
        <v>6</v>
      </c>
      <c r="BN1" s="45"/>
      <c r="BO1" s="45"/>
      <c r="BP1" s="45"/>
      <c r="BQ1" s="45"/>
      <c r="BR1" s="45"/>
      <c r="BS1" s="45"/>
      <c r="BT1" s="46"/>
      <c r="BW1" s="44" t="s">
        <v>7</v>
      </c>
      <c r="BX1" s="45"/>
      <c r="BY1" s="45"/>
      <c r="BZ1" s="45"/>
      <c r="CA1" s="45"/>
      <c r="CB1" s="45"/>
      <c r="CC1" s="45"/>
      <c r="CD1" s="46"/>
    </row>
    <row r="2" spans="1:92" x14ac:dyDescent="0.25">
      <c r="D2" s="1" t="s">
        <v>8</v>
      </c>
      <c r="E2" s="2" t="s">
        <v>9</v>
      </c>
      <c r="F2" s="3">
        <v>249063</v>
      </c>
      <c r="G2" s="3">
        <v>249062</v>
      </c>
      <c r="H2" s="4">
        <v>249061</v>
      </c>
      <c r="N2" s="1" t="s">
        <v>8</v>
      </c>
      <c r="O2" s="2" t="s">
        <v>9</v>
      </c>
      <c r="P2" s="3">
        <v>249063</v>
      </c>
      <c r="Q2" s="3">
        <v>249062</v>
      </c>
      <c r="R2" s="4">
        <v>249061</v>
      </c>
      <c r="X2" s="1" t="s">
        <v>8</v>
      </c>
      <c r="Y2" s="2" t="s">
        <v>9</v>
      </c>
      <c r="Z2" s="3">
        <v>249063</v>
      </c>
      <c r="AA2" s="3">
        <v>249062</v>
      </c>
      <c r="AB2" s="4">
        <v>249061</v>
      </c>
      <c r="AH2" s="1" t="s">
        <v>8</v>
      </c>
      <c r="AI2" s="2" t="s">
        <v>9</v>
      </c>
      <c r="AJ2" s="3">
        <v>249063</v>
      </c>
      <c r="AK2" s="3">
        <v>249062</v>
      </c>
      <c r="AL2" s="4">
        <v>249061</v>
      </c>
      <c r="AR2" s="1" t="s">
        <v>8</v>
      </c>
      <c r="AS2" s="2" t="s">
        <v>9</v>
      </c>
      <c r="AT2" s="3">
        <v>249063</v>
      </c>
      <c r="AU2" s="3">
        <v>249062</v>
      </c>
      <c r="AV2" s="4">
        <v>249061</v>
      </c>
      <c r="BB2" s="1" t="s">
        <v>8</v>
      </c>
      <c r="BC2" s="2" t="s">
        <v>9</v>
      </c>
      <c r="BD2" s="3">
        <v>249063</v>
      </c>
      <c r="BE2" s="3">
        <v>249062</v>
      </c>
      <c r="BF2" s="4">
        <v>249061</v>
      </c>
      <c r="BL2" s="1" t="s">
        <v>8</v>
      </c>
      <c r="BM2" s="2" t="s">
        <v>9</v>
      </c>
      <c r="BN2" s="3">
        <v>249063</v>
      </c>
      <c r="BO2" s="3">
        <v>249062</v>
      </c>
      <c r="BP2" s="4">
        <v>249061</v>
      </c>
      <c r="BV2" s="1" t="s">
        <v>8</v>
      </c>
      <c r="BW2" s="2" t="s">
        <v>9</v>
      </c>
      <c r="BX2" s="3">
        <v>249063</v>
      </c>
      <c r="BY2" s="3">
        <v>249062</v>
      </c>
      <c r="BZ2" s="4">
        <v>249061</v>
      </c>
    </row>
    <row r="3" spans="1:92" x14ac:dyDescent="0.25">
      <c r="D3" s="5">
        <v>1</v>
      </c>
      <c r="E3" s="31">
        <f>IF((MAX(I13:I22)-MIN(I13:I22))/2=0,"",(MAX(I13:I22)-MIN(I13:I22))/2)</f>
        <v>0.44030000000000058</v>
      </c>
      <c r="F3" s="32">
        <f>IF((MAX(J13:J22)-MIN(J13:J22))/2=0,"",(MAX(J13:J22)-MIN(J13:J22))/2)</f>
        <v>43.279531683837902</v>
      </c>
      <c r="G3" s="32">
        <f>IF((MAX(K13:K22)-MIN(K13:K22))/2=0,"",(MAX(K13:K22)-MIN(K13:K22))/2)</f>
        <v>42.908865631298831</v>
      </c>
      <c r="H3" s="33">
        <f>IF((MAX(L13:L22)-MIN(L13:L22))/2=0,"",(MAX(L13:L22)-MIN(L13:L22))/2)</f>
        <v>3.9512138366699219</v>
      </c>
      <c r="N3" s="5">
        <v>1</v>
      </c>
      <c r="O3" s="31">
        <f>IF((MAX(S13:S22)-MIN(S13:S22))/2=0,"",(MAX(S13:S22)-MIN(S13:S22))/2)</f>
        <v>0.74803350000000179</v>
      </c>
      <c r="P3" s="32">
        <f>IF((MAX(T13:T22)-MIN(T13:T22))/2=0,"",(MAX(T13:T22)-MIN(T13:T22))/2)</f>
        <v>37.046082462939452</v>
      </c>
      <c r="Q3" s="32">
        <f>IF((MAX(U13:U22)-MIN(U13:U22))/2=0,"",(MAX(U13:U22)-MIN(U13:U22))/2)</f>
        <v>36.997489817578121</v>
      </c>
      <c r="R3" s="33">
        <f>IF((MAX(V13:V22)-MIN(V13:V22))/2=0,"",(MAX(V13:V22)-MIN(V13:V22))/2)</f>
        <v>3.1865501403808594</v>
      </c>
      <c r="X3" s="5">
        <v>1</v>
      </c>
      <c r="Y3" s="31">
        <f>IF((MAX(AC13:AC22)-MIN(AC13:AC22))/2=0,"",(MAX(AC13:AC22)-MIN(AC13:AC22))/2)</f>
        <v>0.36908199999999969</v>
      </c>
      <c r="Z3" s="32">
        <f>IF((MAX(AD13:AD22)-MIN(AD13:AD22))/2=0,"",(MAX(AD13:AD22)-MIN(AD13:AD22))/2)</f>
        <v>5.7988368588562009</v>
      </c>
      <c r="AA3" s="32">
        <f>IF((MAX(AE13:AE22)-MIN(AE13:AE22))/2=0,"",(MAX(AE13:AE22)-MIN(AE13:AE22))/2)</f>
        <v>6.0514745549316391</v>
      </c>
      <c r="AB3" s="33">
        <f>IF((MAX(AF13:AF22)-MIN(AF13:AF22))/2=0,"",(MAX(AF13:AF22)-MIN(AF13:AF22))/2)</f>
        <v>2.2636818885803232</v>
      </c>
      <c r="AH3" s="5">
        <v>1</v>
      </c>
      <c r="AI3" s="31">
        <f>IF((MAX(AM13:AM22)-MIN(AM13:AM22))/2=0,"",(MAX(AM13:AM22)-MIN(AM13:AM22))/2)</f>
        <v>0.38201665000000018</v>
      </c>
      <c r="AJ3" s="32">
        <f>IF((MAX(AN13:AN22)-MIN(AN13:AN22))/2=0,"",(MAX(AN13:AN22)-MIN(AN13:AN22))/2)</f>
        <v>3.3688386948858651</v>
      </c>
      <c r="AK3" s="32">
        <f>IF((MAX(AO13:AO22)-MIN(AO13:AO22))/2=0,"",(MAX(AO13:AO22)-MIN(AO13:AO22))/2)</f>
        <v>3.6144928040118409</v>
      </c>
      <c r="AL3" s="33">
        <f>IF((MAX(AP13:AP22)-MIN(AP13:AP22))/2=0,"",(MAX(AP13:AP22)-MIN(AP13:AP22))/2)</f>
        <v>0.42068791389465332</v>
      </c>
      <c r="AR3" s="5">
        <v>1</v>
      </c>
      <c r="AS3" s="31">
        <f>IF((MAX(AW13:AW22)-MIN(AW13:AW22))/2=0,"",(MAX(AW13:AW22)-MIN(AW13:AW22))/2)</f>
        <v>2.1506160000000003</v>
      </c>
      <c r="AT3" s="32">
        <f>IF((MAX(AX13:AX22)-MIN(AX13:AX22))/2=0,"",(MAX(AX13:AX22)-MIN(AX13:AX22))/2)</f>
        <v>7.0946935487121587</v>
      </c>
      <c r="AU3" s="32">
        <f>IF((MAX(AY13:AY22)-MIN(AY13:AY22))/2=0,"",(MAX(AY13:AY22)-MIN(AY13:AY22))/2)</f>
        <v>6.7018061576965335</v>
      </c>
      <c r="AV3" s="33">
        <f>IF((MAX(AZ13:AZ22)-MIN(AZ13:AZ22))/2=0,"",(MAX(AZ13:AZ22)-MIN(AZ13:AZ22))/2)</f>
        <v>1.2083892822265634</v>
      </c>
      <c r="BB3" s="5">
        <v>1</v>
      </c>
      <c r="BC3" s="31">
        <f>IF((MAX(BG13:BG22)-MIN(BG13:BG22))/2=0,"",(MAX(BG13:BG22)-MIN(BG13:BG22))/2)</f>
        <v>1.1702500000000171E-2</v>
      </c>
      <c r="BD3" s="32">
        <f>IF((MAX(BH13:BH22)-MIN(BH13:BH22))/2=0,"",(MAX(BH13:BH22)-MIN(BH13:BH22))/2)</f>
        <v>1.2264767360516353</v>
      </c>
      <c r="BE3" s="32">
        <f>IF((MAX(BI13:BI22)-MIN(BI13:BI22))/2=0,"",(MAX(BI13:BI22)-MIN(BI13:BI22))/2)</f>
        <v>1.1327287732214353</v>
      </c>
      <c r="BF3" s="33">
        <f>IF((MAX(BJ13:BJ22)-MIN(BJ13:BJ22))/2=0,"",(MAX(BJ13:BJ22)-MIN(BJ13:BJ22))/2)</f>
        <v>0.35074013471603349</v>
      </c>
      <c r="BL3" s="5">
        <v>1</v>
      </c>
      <c r="BM3" s="31">
        <f>IF((MAX(BQ13:BQ22)-MIN(BQ13:BQ22))/2=0,"",(MAX(BQ13:BQ22)-MIN(BQ13:BQ22))/2)</f>
        <v>0.37221894999999994</v>
      </c>
      <c r="BN3" s="32">
        <f>IF((MAX(BR13:BR22)-MIN(BR13:BR22))/2=0,"",(MAX(BR13:BR22)-MIN(BR13:BR22))/2)</f>
        <v>1.8728023490487671</v>
      </c>
      <c r="BO3" s="32">
        <f>IF((MAX(BS13:BS22)-MIN(BS13:BS22))/2=0,"",(MAX(BS13:BS22)-MIN(BS13:BS22))/2)</f>
        <v>3.4793574342907716</v>
      </c>
      <c r="BP3" s="33">
        <f>IF((MAX(BT13:BT22)-MIN(BT13:BT22))/2=0,"",(MAX(BT13:BT22)-MIN(BT13:BT22))/2)</f>
        <v>2.1971197128295898</v>
      </c>
      <c r="BV3" s="5">
        <v>1</v>
      </c>
      <c r="BW3" s="31">
        <f>IF((MAX(CA13:CA22)-MIN(CA13:CA22))/2=0,"",(MAX(CA13:CA22)-MIN(CA13:CA22))/2)</f>
        <v>0.42016510000000018</v>
      </c>
      <c r="BX3" s="32">
        <f>IF((MAX(CB13:CB22)-MIN(CB13:CB22))/2=0,"",(MAX(CB13:CB22)-MIN(CB13:CB22))/2)</f>
        <v>0.96600849641998299</v>
      </c>
      <c r="BY3" s="32">
        <f>IF((MAX(CC13:CC22)-MIN(CC13:CC22))/2=0,"",(MAX(CC13:CC22)-MIN(CC13:CC22))/2)</f>
        <v>0.92710555756164625</v>
      </c>
      <c r="BZ3" s="33">
        <f>IF((MAX(CD13:CD22)-MIN(CD13:CD22))/2=0,"",(MAX(CD13:CD22)-MIN(CD13:CD22))/2)</f>
        <v>0.3093743324279784</v>
      </c>
    </row>
    <row r="4" spans="1:92" x14ac:dyDescent="0.25">
      <c r="D4" s="5">
        <v>2</v>
      </c>
      <c r="E4" s="31">
        <f>IF((MAX(I23:I32)-MIN(I23:I32))/2=0,"",(MAX(I23:I32)-MIN(I23:I32))/2)</f>
        <v>0.57611500000000149</v>
      </c>
      <c r="F4" s="32">
        <f>IF((MAX(J23:J32)-MIN(J23:J32))/2=0,"",(MAX(J23:J32)-MIN(J23:J32))/2)</f>
        <v>0.72784300000000002</v>
      </c>
      <c r="G4" s="32">
        <f>IF((MAX(K23:K32)-MIN(K23:K32))/2=0,"",(MAX(K23:K32)-MIN(K23:K32))/2)</f>
        <v>1.1011950000000041</v>
      </c>
      <c r="H4" s="33">
        <f>IF((MAX(L23:L32)-MIN(L23:L32))/2=0,"",(MAX(L23:L32)-MIN(L23:L32))/2)</f>
        <v>0.76061248779296875</v>
      </c>
      <c r="N4" s="5">
        <v>2</v>
      </c>
      <c r="O4" s="31">
        <f>IF((MAX(S23:S32)-MIN(S23:S32))/2=0,"",(MAX(S23:S32)-MIN(S23:S32))/2)</f>
        <v>0.77020999999999873</v>
      </c>
      <c r="P4" s="32">
        <f>IF((MAX(T23:T32)-MIN(T23:T32))/2=0,"",(MAX(T23:T32)-MIN(T23:T32))/2)</f>
        <v>1.0115130000000008</v>
      </c>
      <c r="Q4" s="32">
        <f>IF((MAX(U23:U32)-MIN(U23:U32))/2=0,"",(MAX(U23:U32)-MIN(U23:U32))/2)</f>
        <v>0.19307099999999977</v>
      </c>
      <c r="R4" s="33">
        <f>IF((MAX(V23:V32)-MIN(V23:V32))/2=0,"",(MAX(V23:V32)-MIN(V23:V32))/2)</f>
        <v>0.27935028076171875</v>
      </c>
      <c r="X4" s="5">
        <v>2</v>
      </c>
      <c r="Y4" s="31">
        <f>IF((MAX(AC23:AC32)-MIN(AC23:AC32))/2=0,"",(MAX(AC23:AC32)-MIN(AC23:AC32))/2)</f>
        <v>1.8674414999999991</v>
      </c>
      <c r="Z4" s="32">
        <f>IF((MAX(AD23:AD32)-MIN(AD23:AD32))/2=0,"",(MAX(AD23:AD32)-MIN(AD23:AD32))/2)</f>
        <v>0.68458150000000018</v>
      </c>
      <c r="AA4" s="32">
        <f>IF((MAX(AE23:AE32)-MIN(AE23:AE32))/2=0,"",(MAX(AE23:AE32)-MIN(AE23:AE32))/2)</f>
        <v>2.8677780000000004</v>
      </c>
      <c r="AB4" s="33">
        <f>IF((MAX(AF23:AF32)-MIN(AF23:AF32))/2=0,"",(MAX(AF23:AF32)-MIN(AF23:AF32))/2)</f>
        <v>6.064950942993165</v>
      </c>
      <c r="AH4" s="5">
        <v>2</v>
      </c>
      <c r="AI4" s="31">
        <f>IF((MAX(AM23:AM32)-MIN(AM23:AM32))/2=0,"",(MAX(AM23:AM32)-MIN(AM23:AM32))/2)</f>
        <v>0.23687915000000004</v>
      </c>
      <c r="AJ4" s="32">
        <f>IF((MAX(AN23:AN32)-MIN(AN23:AN32))/2=0,"",(MAX(AN23:AN32)-MIN(AN23:AN32))/2)</f>
        <v>0.27836940000000032</v>
      </c>
      <c r="AK4" s="32">
        <f>IF((MAX(AO23:AO32)-MIN(AO23:AO32))/2=0,"",(MAX(AO23:AO32)-MIN(AO23:AO32))/2)</f>
        <v>0.25335980000000013</v>
      </c>
      <c r="AL4" s="33">
        <f>IF((MAX(AP23:AP32)-MIN(AP23:AP32))/2=0,"",(MAX(AP23:AP32)-MIN(AP23:AP32))/2)</f>
        <v>0.4762725830078125</v>
      </c>
      <c r="AR4" s="5">
        <v>2</v>
      </c>
      <c r="AS4" s="31">
        <f>IF((MAX(AW23:AW32)-MIN(AW23:AW32))/2=0,"",(MAX(AW23:AW32)-MIN(AW23:AW32))/2)</f>
        <v>0.25975050000000088</v>
      </c>
      <c r="AT4" s="32">
        <f>IF((MAX(AX23:AX32)-MIN(AX23:AX32))/2=0,"",(MAX(AX23:AX32)-MIN(AX23:AX32))/2)</f>
        <v>0.37326149999999991</v>
      </c>
      <c r="AU4" s="32">
        <f>IF((MAX(AY23:AY32)-MIN(AY23:AY32))/2=0,"",(MAX(AY23:AY32)-MIN(AY23:AY32))/2)</f>
        <v>1.3481854999999996</v>
      </c>
      <c r="AV4" s="33">
        <f>IF((MAX(AZ23:AZ32)-MIN(AZ23:AZ32))/2=0,"",(MAX(AZ23:AZ32)-MIN(AZ23:AZ32))/2)</f>
        <v>0.72104740142822354</v>
      </c>
      <c r="BB4" s="5">
        <v>2</v>
      </c>
      <c r="BC4" s="31">
        <f>IF((MAX(BG23:BG32)-MIN(BG23:BG32))/2=0,"",(MAX(BG23:BG32)-MIN(BG23:BG32))/2)</f>
        <v>0.57932135000000007</v>
      </c>
      <c r="BD4" s="32">
        <f>IF((MAX(BH23:BH32)-MIN(BH23:BH32))/2=0,"",(MAX(BH23:BH32)-MIN(BH23:BH32))/2)</f>
        <v>0.10705819999999999</v>
      </c>
      <c r="BE4" s="32">
        <f>IF((MAX(BI23:BI32)-MIN(BI23:BI32))/2=0,"",(MAX(BI23:BI32)-MIN(BI23:BI32))/2)</f>
        <v>0.59250405000000006</v>
      </c>
      <c r="BF4" s="33">
        <f>IF((MAX(BJ23:BJ32)-MIN(BJ23:BJ32))/2=0,"",(MAX(BJ23:BJ32)-MIN(BJ23:BJ32))/2)</f>
        <v>0.23437422513961803</v>
      </c>
      <c r="BL4" s="5">
        <v>2</v>
      </c>
      <c r="BM4" s="31">
        <f>IF((MAX(BQ23:BQ32)-MIN(BQ23:BQ32))/2=0,"",(MAX(BQ23:BQ32)-MIN(BQ23:BQ32))/2)</f>
        <v>4.1180912000000003</v>
      </c>
      <c r="BN4" s="32">
        <f>IF((MAX(BR23:BR32)-MIN(BR23:BR32))/2=0,"",(MAX(BR23:BR32)-MIN(BR23:BR32))/2)</f>
        <v>1.8869886500000002</v>
      </c>
      <c r="BO4" s="32">
        <f>IF((MAX(BS23:BS32)-MIN(BS23:BS32))/2=0,"",(MAX(BS23:BS32)-MIN(BS23:BS32))/2)</f>
        <v>4.9904134999999998</v>
      </c>
      <c r="BP4" s="33">
        <f>IF((MAX(BT23:BT32)-MIN(BT23:BT32))/2=0,"",(MAX(BT23:BT32)-MIN(BT23:BT32))/2)</f>
        <v>4.4014886617660514</v>
      </c>
      <c r="BV4" s="5">
        <v>2</v>
      </c>
      <c r="BW4" s="31">
        <f>IF((MAX(CA23:CA32)-MIN(CA23:CA32))/2=0,"",(MAX(CA23:CA32)-MIN(CA23:CA32))/2)</f>
        <v>0.10621049999999999</v>
      </c>
      <c r="BX4" s="32">
        <f>IF((MAX(CB23:CB32)-MIN(CB23:CB32))/2=0,"",(MAX(CB23:CB32)-MIN(CB23:CB32))/2)</f>
        <v>0.14492050000000001</v>
      </c>
      <c r="BY4" s="32">
        <f>IF((MAX(CC23:CC32)-MIN(CC23:CC32))/2=0,"",(MAX(CC23:CC32)-MIN(CC23:CC32))/2)</f>
        <v>0.1414645000000001</v>
      </c>
      <c r="BZ4" s="33">
        <f>IF((MAX(CD23:CD32)-MIN(CD23:CD32))/2=0,"",(MAX(CD23:CD32)-MIN(CD23:CD32))/2)</f>
        <v>0.25404536724090554</v>
      </c>
    </row>
    <row r="5" spans="1:92" x14ac:dyDescent="0.25">
      <c r="D5" s="5">
        <v>3</v>
      </c>
      <c r="E5" s="31">
        <f>IF((MAX(I33:I42)-MIN(I33:I42))/2=0,"",(MAX(I33:I42)-MIN(I33:I42))/2)</f>
        <v>0.28123999999999683</v>
      </c>
      <c r="F5" s="32">
        <f>IF((MAX(J33:J42)-MIN(J33:J42))/2=0,"",(MAX(J33:J42)-MIN(J33:J42))/2)</f>
        <v>0.48019000000000034</v>
      </c>
      <c r="G5" s="32">
        <f>IF((MAX(K33:K42)-MIN(K33:K42))/2=0,"",(MAX(K33:K42)-MIN(K33:K42))/2)</f>
        <v>0.46297799999999967</v>
      </c>
      <c r="H5" s="33">
        <f>IF((MAX(L33:L42)-MIN(L33:L42))/2=0,"",(MAX(L33:L42)-MIN(L33:L42))/2)</f>
        <v>1.0183525085449219</v>
      </c>
      <c r="N5" s="5">
        <v>3</v>
      </c>
      <c r="O5" s="31">
        <f>IF((MAX(S33:S42)-MIN(S33:S42))/2=0,"",(MAX(S33:S42)-MIN(S33:S42))/2)</f>
        <v>0.41890550000000104</v>
      </c>
      <c r="P5" s="32">
        <f>IF((MAX(T33:T42)-MIN(T33:T42))/2=0,"",(MAX(T33:T42)-MIN(T33:T42))/2)</f>
        <v>0.90119799999999728</v>
      </c>
      <c r="Q5" s="32">
        <f>IF((MAX(U33:U42)-MIN(U33:U42))/2=0,"",(MAX(U33:U42)-MIN(U33:U42))/2)</f>
        <v>1.1531480000000016</v>
      </c>
      <c r="R5" s="33">
        <f>IF((MAX(V33:V42)-MIN(V33:V42))/2=0,"",(MAX(V33:V42)-MIN(V33:V42))/2)</f>
        <v>0.93891525268554688</v>
      </c>
      <c r="X5" s="5">
        <v>3</v>
      </c>
      <c r="Y5" s="31">
        <f>IF((MAX(AC33:AC42)-MIN(AC33:AC42))/2=0,"",(MAX(AC33:AC42)-MIN(AC33:AC42))/2)</f>
        <v>0.20268350000000002</v>
      </c>
      <c r="Z5" s="32">
        <f>IF((MAX(AD33:AD42)-MIN(AD33:AD42))/2=0,"",(MAX(AD33:AD42)-MIN(AD33:AD42))/2)</f>
        <v>0.22778350000000014</v>
      </c>
      <c r="AA5" s="32">
        <f>IF((MAX(AE33:AE42)-MIN(AE33:AE42))/2=0,"",(MAX(AE33:AE42)-MIN(AE33:AE42))/2)</f>
        <v>3.2065250000000001</v>
      </c>
      <c r="AB5" s="33">
        <f>IF((MAX(AF33:AF42)-MIN(AF33:AF42))/2=0,"",(MAX(AF33:AF42)-MIN(AF33:AF42))/2)</f>
        <v>5.3795766830444336</v>
      </c>
      <c r="AH5" s="5">
        <v>3</v>
      </c>
      <c r="AI5" s="31">
        <f>IF((MAX(AM33:AM42)-MIN(AM33:AM42))/2=0,"",(MAX(AM33:AM42)-MIN(AM33:AM42))/2)</f>
        <v>0.2750701499999999</v>
      </c>
      <c r="AJ5" s="32">
        <f>IF((MAX(AN33:AN42)-MIN(AN33:AN42))/2=0,"",(MAX(AN33:AN42)-MIN(AN33:AN42))/2)</f>
        <v>0.13304150000000003</v>
      </c>
      <c r="AK5" s="32">
        <f>IF((MAX(AO33:AO42)-MIN(AO33:AO42))/2=0,"",(MAX(AO33:AO42)-MIN(AO33:AO42))/2)</f>
        <v>0.32957700000000001</v>
      </c>
      <c r="AL5" s="33">
        <f>IF((MAX(AP33:AP42)-MIN(AP33:AP42))/2=0,"",(MAX(AP33:AP42)-MIN(AP33:AP42))/2)</f>
        <v>1.0883567333221436</v>
      </c>
      <c r="AR5" s="5">
        <v>3</v>
      </c>
      <c r="AS5" s="31">
        <f>IF((MAX(AW33:AW42)-MIN(AW33:AW42))/2=0,"",(MAX(AW33:AW42)-MIN(AW33:AW42))/2)</f>
        <v>2.1589989999999997</v>
      </c>
      <c r="AT5" s="32">
        <f>IF((MAX(AX33:AX42)-MIN(AX33:AX42))/2=0,"",(MAX(AX33:AX42)-MIN(AX33:AX42))/2)</f>
        <v>2.45940475</v>
      </c>
      <c r="AU5" s="32">
        <f>IF((MAX(AY33:AY42)-MIN(AY33:AY42))/2=0,"",(MAX(AY33:AY42)-MIN(AY33:AY42))/2)</f>
        <v>1.3758569999999999</v>
      </c>
      <c r="AV5" s="33">
        <f>IF((MAX(AZ33:AZ42)-MIN(AZ33:AZ42))/2=0,"",(MAX(AZ33:AZ42)-MIN(AZ33:AZ42))/2)</f>
        <v>0.77126216888427734</v>
      </c>
      <c r="BB5" s="5">
        <v>3</v>
      </c>
      <c r="BC5" s="31">
        <f>IF((MAX(BG33:BG42)-MIN(BG33:BG42))/2=0,"",(MAX(BG33:BG42)-MIN(BG33:BG42))/2)</f>
        <v>1.521539999999999E-2</v>
      </c>
      <c r="BD5" s="32">
        <f>IF((MAX(BH33:BH42)-MIN(BH33:BH42))/2=0,"",(MAX(BH33:BH42)-MIN(BH33:BH42))/2)</f>
        <v>1.9760400000000011E-2</v>
      </c>
      <c r="BE5" s="32">
        <f>IF((MAX(BI33:BI42)-MIN(BI33:BI42))/2=0,"",(MAX(BI33:BI42)-MIN(BI33:BI42))/2)</f>
        <v>0.73285139999999993</v>
      </c>
      <c r="BF5" s="33">
        <f>IF((MAX(BJ33:BJ42)-MIN(BJ33:BJ42))/2=0,"",(MAX(BJ33:BJ42)-MIN(BJ33:BJ42))/2)</f>
        <v>0.83471357822418257</v>
      </c>
      <c r="BL5" s="5">
        <v>3</v>
      </c>
      <c r="BM5" s="31">
        <f>IF((MAX(BQ33:BQ42)-MIN(BQ33:BQ42))/2=0,"",(MAX(BQ33:BQ42)-MIN(BQ33:BQ42))/2)</f>
        <v>0.14387919999999998</v>
      </c>
      <c r="BN5" s="32">
        <f>IF((MAX(BR33:BR42)-MIN(BR33:BR42))/2=0,"",(MAX(BR33:BR42)-MIN(BR33:BR42))/2)</f>
        <v>0.53459319999999999</v>
      </c>
      <c r="BO5" s="32">
        <f>IF((MAX(BS33:BS42)-MIN(BS33:BS42))/2=0,"",(MAX(BS33:BS42)-MIN(BS33:BS42))/2)</f>
        <v>0.65305735000000009</v>
      </c>
      <c r="BP5" s="33">
        <f>IF((MAX(BT33:BT42)-MIN(BT33:BT42))/2=0,"",(MAX(BT33:BT42)-MIN(BT33:BT42))/2)</f>
        <v>5.0128594636917132</v>
      </c>
      <c r="BV5" s="5">
        <v>3</v>
      </c>
      <c r="BW5" s="31">
        <f>IF((MAX(CA33:CA42)-MIN(CA33:CA42))/2=0,"",(MAX(CA33:CA42)-MIN(CA33:CA42))/2)</f>
        <v>0.27544449999999987</v>
      </c>
      <c r="BX5" s="32">
        <f>IF((MAX(CB33:CB42)-MIN(CB33:CB42))/2=0,"",(MAX(CB33:CB42)-MIN(CB33:CB42))/2)</f>
        <v>0.20447400000000027</v>
      </c>
      <c r="BY5" s="32">
        <f>IF((MAX(CC33:CC42)-MIN(CC33:CC42))/2=0,"",(MAX(CC33:CC42)-MIN(CC33:CC42))/2)</f>
        <v>0.43824124999999992</v>
      </c>
      <c r="BZ5" s="33">
        <f>IF((MAX(CD33:CD42)-MIN(CD33:CD42))/2=0,"",(MAX(CD33:CD42)-MIN(CD33:CD42))/2)</f>
        <v>0.28535366058349598</v>
      </c>
    </row>
    <row r="6" spans="1:92" x14ac:dyDescent="0.25">
      <c r="D6" s="5">
        <v>4</v>
      </c>
      <c r="E6" s="31">
        <f>IF((MAX(I43:I52)-MIN(I43:I52))/2=0,"",(MAX(I43:I52)-MIN(I43:I52))/2)</f>
        <v>0.75245499999999765</v>
      </c>
      <c r="F6" s="32">
        <f>IF((MAX(J43:J52)-MIN(J43:J52))/2=0,"",(MAX(J43:J52)-MIN(J43:J52))/2)</f>
        <v>0.47738999999999976</v>
      </c>
      <c r="G6" s="32">
        <f>IF((MAX(K43:K52)-MIN(K43:K52))/2=0,"",(MAX(K43:K52)-MIN(K43:K52))/2)</f>
        <v>0.60291699999999793</v>
      </c>
      <c r="H6" s="33">
        <f>IF((MAX(L43:L52)-MIN(L43:L52))/2=0,"",(MAX(L43:L52)-MIN(L43:L52))/2)</f>
        <v>41.592368588134761</v>
      </c>
      <c r="N6" s="5">
        <v>4</v>
      </c>
      <c r="O6" s="31">
        <f>IF((MAX(S43:S52)-MIN(S43:S52))/2=0,"",(MAX(S43:S52)-MIN(S43:S52))/2)</f>
        <v>4.658142999999999</v>
      </c>
      <c r="P6" s="32">
        <f>IF((MAX(T43:T52)-MIN(T43:T52))/2=0,"",(MAX(T43:T52)-MIN(T43:T52))/2)</f>
        <v>0.59093850000000003</v>
      </c>
      <c r="Q6" s="32">
        <f>IF((MAX(U43:U52)-MIN(U43:U52))/2=0,"",(MAX(U43:U52)-MIN(U43:U52))/2)</f>
        <v>3.5298484999999999</v>
      </c>
      <c r="R6" s="33">
        <f>IF((MAX(V43:V52)-MIN(V43:V52))/2=0,"",(MAX(V43:V52)-MIN(V43:V52))/2)</f>
        <v>37.846016660595708</v>
      </c>
      <c r="X6" s="5">
        <v>4</v>
      </c>
      <c r="Y6" s="31">
        <f>IF((MAX(AC43:AC52)-MIN(AC43:AC52))/2=0,"",(MAX(AC43:AC52)-MIN(AC43:AC52))/2)</f>
        <v>0.34342099999999931</v>
      </c>
      <c r="Z6" s="32">
        <f>IF((MAX(AD43:AD52)-MIN(AD43:AD52))/2=0,"",(MAX(AD43:AD52)-MIN(AD43:AD52))/2)</f>
        <v>0.50382850000000001</v>
      </c>
      <c r="AA6" s="32">
        <f>IF((MAX(AE43:AE52)-MIN(AE43:AE52))/2=0,"",(MAX(AE43:AE52)-MIN(AE43:AE52))/2)</f>
        <v>0.54339549999999992</v>
      </c>
      <c r="AB6" s="33">
        <f>IF((MAX(AF43:AF52)-MIN(AF43:AF52))/2=0,"",(MAX(AF43:AF52)-MIN(AF43:AF52))/2)</f>
        <v>5.9022840882507293</v>
      </c>
      <c r="AH6" s="5">
        <v>4</v>
      </c>
      <c r="AI6" s="31">
        <f>IF((MAX(AM43:AM52)-MIN(AM43:AM52))/2=0,"",(MAX(AM43:AM52)-MIN(AM43:AM52))/2)</f>
        <v>0.76968134999999993</v>
      </c>
      <c r="AJ6" s="32">
        <f>IF((MAX(AN43:AN52)-MIN(AN43:AN52))/2=0,"",(MAX(AN43:AN52)-MIN(AN43:AN52))/2)</f>
        <v>0.2694519999999998</v>
      </c>
      <c r="AK6" s="32">
        <f>IF((MAX(AO43:AO52)-MIN(AO43:AO52))/2=0,"",(MAX(AO43:AO52)-MIN(AO43:AO52))/2)</f>
        <v>1.0072556499999998</v>
      </c>
      <c r="AL6" s="33">
        <f>IF((MAX(AP43:AP52)-MIN(AP43:AP52))/2=0,"",(MAX(AP43:AP52)-MIN(AP43:AP52))/2)</f>
        <v>3.2879916452917484</v>
      </c>
      <c r="AR6" s="5">
        <v>4</v>
      </c>
      <c r="AS6" s="31">
        <f>IF((MAX(AW43:AW52)-MIN(AW43:AW52))/2=0,"",(MAX(AW43:AW52)-MIN(AW43:AW52))/2)</f>
        <v>1.4169260000000001</v>
      </c>
      <c r="AT6" s="32">
        <f>IF((MAX(AX43:AX52)-MIN(AX43:AX52))/2=0,"",(MAX(AX43:AX52)-MIN(AX43:AX52))/2)</f>
        <v>0.14569550000000042</v>
      </c>
      <c r="AU6" s="32">
        <f>IF((MAX(AY43:AY52)-MIN(AY43:AY52))/2=0,"",(MAX(AY43:AY52)-MIN(AY43:AY52))/2)</f>
        <v>2.6362644999999993</v>
      </c>
      <c r="AV6" s="33">
        <f>IF((MAX(AZ43:AZ52)-MIN(AZ43:AZ52))/2=0,"",(MAX(AZ43:AZ52)-MIN(AZ43:AZ52))/2)</f>
        <v>6.8776994139038106</v>
      </c>
      <c r="BB6" s="5">
        <v>4</v>
      </c>
      <c r="BC6" s="31">
        <f>IF((MAX(BG43:BG52)-MIN(BG43:BG52))/2=0,"",(MAX(BG43:BG52)-MIN(BG43:BG52))/2)</f>
        <v>0.12484099999999998</v>
      </c>
      <c r="BD6" s="32">
        <f>IF((MAX(BH43:BH52)-MIN(BH43:BH52))/2=0,"",(MAX(BH43:BH52)-MIN(BH43:BH52))/2)</f>
        <v>3.599584999999994E-2</v>
      </c>
      <c r="BE6" s="32">
        <f>IF((MAX(BI43:BI52)-MIN(BI43:BI52))/2=0,"",(MAX(BI43:BI52)-MIN(BI43:BI52))/2)</f>
        <v>0.1453837</v>
      </c>
      <c r="BF6" s="33">
        <f>IF((MAX(BJ43:BJ52)-MIN(BJ43:BJ52))/2=0,"",(MAX(BJ43:BJ52)-MIN(BJ43:BJ52))/2)</f>
        <v>1.6639654134899904</v>
      </c>
      <c r="BL6" s="5">
        <v>4</v>
      </c>
      <c r="BM6" s="31">
        <f>IF((MAX(BQ43:BQ52)-MIN(BQ43:BQ52))/2=0,"",(MAX(BQ43:BQ52)-MIN(BQ43:BQ52))/2)</f>
        <v>7.1986049999999913E-2</v>
      </c>
      <c r="BN6" s="32">
        <f>IF((MAX(BR43:BR52)-MIN(BR43:BR52))/2=0,"",(MAX(BR43:BR52)-MIN(BR43:BR52))/2)</f>
        <v>0.22956740000000009</v>
      </c>
      <c r="BO6" s="32">
        <f>IF((MAX(BS43:BS52)-MIN(BS43:BS52))/2=0,"",(MAX(BS43:BS52)-MIN(BS43:BS52))/2)</f>
        <v>0.61025810000000003</v>
      </c>
      <c r="BP6" s="33">
        <f>IF((MAX(BT43:BT52)-MIN(BT43:BT52))/2=0,"",(MAX(BT43:BT52)-MIN(BT43:BT52))/2)</f>
        <v>1.7157866147027592</v>
      </c>
      <c r="BV6" s="5">
        <v>4</v>
      </c>
      <c r="BW6" s="31">
        <f>IF((MAX(CA43:CA52)-MIN(CA43:CA52))/2=0,"",(MAX(CA43:CA52)-MIN(CA43:CA52))/2)</f>
        <v>0.40722250000000004</v>
      </c>
      <c r="BX6" s="32">
        <f>IF((MAX(CB43:CB52)-MIN(CB43:CB52))/2=0,"",(MAX(CB43:CB52)-MIN(CB43:CB52))/2)</f>
        <v>0.33470524999999984</v>
      </c>
      <c r="BY6" s="32">
        <f>IF((MAX(CC43:CC52)-MIN(CC43:CC52))/2=0,"",(MAX(CC43:CC52)-MIN(CC43:CC52))/2)</f>
        <v>0.58403634999999987</v>
      </c>
      <c r="BZ6" s="33">
        <f>IF((MAX(CD43:CD52)-MIN(CD43:CD52))/2=0,"",(MAX(CD43:CD52)-MIN(CD43:CD52))/2)</f>
        <v>1.4490201618579095</v>
      </c>
    </row>
    <row r="7" spans="1:92" x14ac:dyDescent="0.25">
      <c r="D7" s="5">
        <v>5</v>
      </c>
      <c r="E7" s="6">
        <f>IF((MAX(I53:I62)-MIN(I53:I62))/2=0,"",(MAX(I53:I62)-MIN(I53:I62))/2)</f>
        <v>0.4599850000000032</v>
      </c>
      <c r="F7" s="7">
        <f>IF((MAX(J53:J62)-MIN(J53:J62))/2=0,"",(MAX(J53:J62)-MIN(J53:J62))/2)</f>
        <v>0.15836749999999711</v>
      </c>
      <c r="G7" s="7">
        <f>IF((MAX(K53:K62)-MIN(K53:K62))/2=0,"",(MAX(K53:K62)-MIN(K53:K62))/2)</f>
        <v>0.34617800000000187</v>
      </c>
      <c r="H7" s="8">
        <f>IF((MAX(L53:L62)-MIN(L53:L62))/2=0,"",(MAX(L53:L62)-MIN(L53:L62))/2)</f>
        <v>0.46916499999999672</v>
      </c>
      <c r="N7" s="5">
        <v>5</v>
      </c>
      <c r="O7" s="6">
        <f>IF((MAX(S53:S62)-MIN(S53:S62))/2=0,"",(MAX(S53:S62)-MIN(S53:S62))/2)</f>
        <v>1.5757010000000022</v>
      </c>
      <c r="P7" s="7">
        <f>IF((MAX(T53:T62)-MIN(T53:T62))/2=0,"",(MAX(T53:T62)-MIN(T53:T62))/2)</f>
        <v>1.9279074999999999</v>
      </c>
      <c r="Q7" s="7">
        <f>IF((MAX(U53:U62)-MIN(U53:U62))/2=0,"",(MAX(U53:U62)-MIN(U53:U62))/2)</f>
        <v>1.9762459999999997</v>
      </c>
      <c r="R7" s="8">
        <f>IF((MAX(V53:V62)-MIN(V53:V62))/2=0,"",(MAX(V53:V62)-MIN(V53:V62))/2)</f>
        <v>1.2702959999999983</v>
      </c>
      <c r="X7" s="5">
        <v>5</v>
      </c>
      <c r="Y7" s="6">
        <f>IF((MAX(AC53:AC62)-MIN(AC53:AC62))/2=0,"",(MAX(AC53:AC62)-MIN(AC53:AC62))/2)</f>
        <v>2.8479354999999993</v>
      </c>
      <c r="Z7" s="7">
        <f>IF((MAX(AD53:AD62)-MIN(AD53:AD62))/2=0,"",(MAX(AD53:AD62)-MIN(AD53:AD62))/2)</f>
        <v>0.98154025000000011</v>
      </c>
      <c r="AA7" s="7">
        <f>IF((MAX(AE53:AE62)-MIN(AE53:AE62))/2=0,"",(MAX(AE53:AE62)-MIN(AE53:AE62))/2)</f>
        <v>5.2576180000000008</v>
      </c>
      <c r="AB7" s="8">
        <f>IF((MAX(AF53:AF62)-MIN(AF53:AF62))/2=0,"",(MAX(AF53:AF62)-MIN(AF53:AF62))/2)</f>
        <v>0.90669800000000045</v>
      </c>
      <c r="AH7" s="5">
        <v>5</v>
      </c>
      <c r="AI7" s="6">
        <f>IF((MAX(AM53:AM62)-MIN(AM53:AM62))/2=0,"",(MAX(AM53:AM62)-MIN(AM53:AM62))/2)</f>
        <v>0.29667835000000009</v>
      </c>
      <c r="AJ7" s="7">
        <f>IF((MAX(AN53:AN62)-MIN(AN53:AN62))/2=0,"",(MAX(AN53:AN62)-MIN(AN53:AN62))/2)</f>
        <v>0.39445100000000011</v>
      </c>
      <c r="AK7" s="7">
        <f>IF((MAX(AO53:AO62)-MIN(AO53:AO62))/2=0,"",(MAX(AO53:AO62)-MIN(AO53:AO62))/2)</f>
        <v>0.37600849999999975</v>
      </c>
      <c r="AL7" s="8">
        <f>IF((MAX(AP53:AP62)-MIN(AP53:AP62))/2=0,"",(MAX(AP53:AP62)-MIN(AP53:AP62))/2)</f>
        <v>0.41931499999999966</v>
      </c>
      <c r="AR7" s="5">
        <v>5</v>
      </c>
      <c r="AS7" s="6">
        <f>IF((MAX(AW53:AW62)-MIN(AW53:AW62))/2=0,"",(MAX(AW53:AW62)-MIN(AW53:AW62))/2)</f>
        <v>0.40263100000000129</v>
      </c>
      <c r="AT7" s="7">
        <f>IF((MAX(AX53:AX62)-MIN(AX53:AX62))/2=0,"",(MAX(AX53:AX62)-MIN(AX53:AX62))/2)</f>
        <v>0.13705049999999908</v>
      </c>
      <c r="AU7" s="7">
        <f>IF((MAX(AY53:AY62)-MIN(AY53:AY62))/2=0,"",(MAX(AY53:AY62)-MIN(AY53:AY62))/2)</f>
        <v>0.49175149999999945</v>
      </c>
      <c r="AV7" s="8">
        <f>IF((MAX(AZ53:AZ62)-MIN(AZ53:AZ62))/2=0,"",(MAX(AZ53:AZ62)-MIN(AZ53:AZ62))/2)</f>
        <v>0.48499950000000069</v>
      </c>
      <c r="BB7" s="5">
        <v>5</v>
      </c>
      <c r="BC7" s="6">
        <f>IF((MAX(BG53:BG62)-MIN(BG53:BG62))/2=0,"",(MAX(BG53:BG62)-MIN(BG53:BG62))/2)</f>
        <v>0.71443605000000021</v>
      </c>
      <c r="BD7" s="7">
        <f>IF((MAX(BH53:BH62)-MIN(BH53:BH62))/2=0,"",(MAX(BH53:BH62)-MIN(BH53:BH62))/2)</f>
        <v>0.13390995000000006</v>
      </c>
      <c r="BE7" s="7">
        <f>IF((MAX(BI53:BI62)-MIN(BI53:BI62))/2=0,"",(MAX(BI53:BI62)-MIN(BI53:BI62))/2)</f>
        <v>0.87715399999999999</v>
      </c>
      <c r="BF7" s="8">
        <f>IF((MAX(BJ53:BJ62)-MIN(BJ53:BJ62))/2=0,"",(MAX(BJ53:BJ62)-MIN(BJ53:BJ62))/2)</f>
        <v>0.21313120000000008</v>
      </c>
      <c r="BL7" s="5">
        <v>5</v>
      </c>
      <c r="BM7" s="6">
        <f>IF((MAX(BQ53:BQ62)-MIN(BQ53:BQ62))/2=0,"",(MAX(BQ53:BQ62)-MIN(BQ53:BQ62))/2)</f>
        <v>4.9002148499999993</v>
      </c>
      <c r="BN7" s="7">
        <f>IF((MAX(BR53:BR62)-MIN(BR53:BR62))/2=0,"",(MAX(BR53:BR62)-MIN(BR53:BR62))/2)</f>
        <v>3.3838749999999997</v>
      </c>
      <c r="BO7" s="7">
        <f>IF((MAX(BS53:BS62)-MIN(BS53:BS62))/2=0,"",(MAX(BS53:BS62)-MIN(BS53:BS62))/2)</f>
        <v>7.6784720999999996</v>
      </c>
      <c r="BP7" s="8">
        <f>IF((MAX(BT53:BT62)-MIN(BT53:BT62))/2=0,"",(MAX(BT53:BT62)-MIN(BT53:BT62))/2)</f>
        <v>2.04364715</v>
      </c>
      <c r="BV7" s="5">
        <v>5</v>
      </c>
      <c r="BW7" s="6">
        <f>IF((MAX(CA53:CA62)-MIN(CA53:CA62))/2=0,"",(MAX(CA53:CA62)-MIN(CA53:CA62))/2)</f>
        <v>0.26738365000000019</v>
      </c>
      <c r="BX7" s="7">
        <f>IF((MAX(CB53:CB62)-MIN(CB53:CB62))/2=0,"",(MAX(CB53:CB62)-MIN(CB53:CB62))/2)</f>
        <v>0.12379974999999988</v>
      </c>
      <c r="BY7" s="7">
        <f>IF((MAX(CC53:CC62)-MIN(CC53:CC62))/2=0,"",(MAX(CC53:CC62)-MIN(CC53:CC62))/2)</f>
        <v>0.24348150000000013</v>
      </c>
      <c r="BZ7" s="8">
        <f>IF((MAX(CD53:CD62)-MIN(CD53:CD62))/2=0,"",(MAX(CD53:CD62)-MIN(CD53:CD62))/2)</f>
        <v>0.33428669999999983</v>
      </c>
    </row>
    <row r="8" spans="1:92" x14ac:dyDescent="0.25">
      <c r="D8" s="1" t="s">
        <v>10</v>
      </c>
      <c r="E8" s="34">
        <f>AVERAGE(E3:E7)</f>
        <v>0.50201899999999999</v>
      </c>
      <c r="F8" s="34">
        <f>AVERAGE(F3:F7)</f>
        <v>9.0246644367675799</v>
      </c>
      <c r="G8" s="34">
        <f>AVERAGE(G3:G7)</f>
        <v>9.0844267262597675</v>
      </c>
      <c r="H8" s="34">
        <f>AVERAGE(H3:H7)</f>
        <v>9.5583424842285147</v>
      </c>
      <c r="N8" s="1" t="s">
        <v>10</v>
      </c>
      <c r="O8" s="34">
        <f>AVERAGE(O3:O7)</f>
        <v>1.6341986000000006</v>
      </c>
      <c r="P8" s="34">
        <f>AVERAGE(P3:P7)</f>
        <v>8.2955278925878897</v>
      </c>
      <c r="Q8" s="34">
        <f>AVERAGE(Q3:Q7)</f>
        <v>8.769960663515624</v>
      </c>
      <c r="R8" s="34">
        <f>AVERAGE(R3:R7)</f>
        <v>8.7042256668847671</v>
      </c>
      <c r="X8" s="1" t="s">
        <v>10</v>
      </c>
      <c r="Y8" s="34">
        <f>AVERAGE(Y3:Y7)</f>
        <v>1.1261126999999995</v>
      </c>
      <c r="Z8" s="34">
        <f>AVERAGE(Z3:Z7)</f>
        <v>1.6393141217712404</v>
      </c>
      <c r="AA8" s="34">
        <f>AVERAGE(AA3:AA7)</f>
        <v>3.5853582109863273</v>
      </c>
      <c r="AB8" s="34">
        <f>AVERAGE(AB3:AB7)</f>
        <v>4.1034383205737299</v>
      </c>
      <c r="AH8" s="1" t="s">
        <v>10</v>
      </c>
      <c r="AI8" s="34">
        <f>AVERAGE(AI3:AI7)</f>
        <v>0.39206513000000004</v>
      </c>
      <c r="AJ8" s="34">
        <f>AVERAGE(AJ3:AJ7)</f>
        <v>0.88883051897717313</v>
      </c>
      <c r="AK8" s="34">
        <f>AVERAGE(AK3:AK7)</f>
        <v>1.1161387508023679</v>
      </c>
      <c r="AL8" s="34">
        <f>AVERAGE(AL3:AL7)</f>
        <v>1.1385247751032714</v>
      </c>
      <c r="AR8" s="1" t="s">
        <v>10</v>
      </c>
      <c r="AS8" s="34">
        <f>AVERAGE(AS3:AS7)</f>
        <v>1.2777845000000005</v>
      </c>
      <c r="AT8" s="34">
        <f>AVERAGE(AT3:AT7)</f>
        <v>2.0420211597424318</v>
      </c>
      <c r="AU8" s="34">
        <f>AVERAGE(AU3:AU7)</f>
        <v>2.5107729315393064</v>
      </c>
      <c r="AV8" s="34">
        <f>AVERAGE(AV3:AV7)</f>
        <v>2.0126795532885753</v>
      </c>
      <c r="BB8" s="1" t="s">
        <v>10</v>
      </c>
      <c r="BC8" s="34">
        <f>AVERAGE(BC3:BC7)</f>
        <v>0.28910326000000008</v>
      </c>
      <c r="BD8" s="34">
        <f>AVERAGE(BD3:BD7)</f>
        <v>0.30464022721032707</v>
      </c>
      <c r="BE8" s="34">
        <f>AVERAGE(BE3:BE7)</f>
        <v>0.69612438464428705</v>
      </c>
      <c r="BF8" s="34">
        <f>AVERAGE(BF3:BF7)</f>
        <v>0.65938491031396484</v>
      </c>
      <c r="BL8" s="1" t="s">
        <v>10</v>
      </c>
      <c r="BM8" s="34">
        <f>AVERAGE(BM3:BM7)</f>
        <v>1.9212780499999997</v>
      </c>
      <c r="BN8" s="34">
        <f>AVERAGE(BN3:BN7)</f>
        <v>1.5815653198097532</v>
      </c>
      <c r="BO8" s="34">
        <f>AVERAGE(BO3:BO7)</f>
        <v>3.4823116968581544</v>
      </c>
      <c r="BP8" s="34">
        <f>AVERAGE(BP3:BP7)</f>
        <v>3.0741803205980225</v>
      </c>
      <c r="BV8" s="1" t="s">
        <v>10</v>
      </c>
      <c r="BW8" s="34">
        <f>AVERAGE(BW3:BW7)</f>
        <v>0.29528525000000005</v>
      </c>
      <c r="BX8" s="34">
        <f>AVERAGE(BX3:BX7)</f>
        <v>0.35478159928399655</v>
      </c>
      <c r="BY8" s="34">
        <f>AVERAGE(BY3:BY7)</f>
        <v>0.46686583151232924</v>
      </c>
      <c r="BZ8" s="34">
        <f>AVERAGE(BZ3:BZ7)</f>
        <v>0.52641604442205792</v>
      </c>
    </row>
    <row r="9" spans="1:92" x14ac:dyDescent="0.25">
      <c r="B9" s="9" t="s">
        <v>11</v>
      </c>
      <c r="C9" s="9">
        <v>0.4</v>
      </c>
    </row>
    <row r="11" spans="1:92" x14ac:dyDescent="0.25">
      <c r="A11" s="43" t="s">
        <v>12</v>
      </c>
      <c r="B11" s="43" t="s">
        <v>13</v>
      </c>
      <c r="C11" s="47" t="s">
        <v>14</v>
      </c>
      <c r="E11" s="40" t="s">
        <v>15</v>
      </c>
      <c r="F11" s="41"/>
      <c r="G11" s="41"/>
      <c r="H11" s="42"/>
      <c r="I11" s="35" t="s">
        <v>16</v>
      </c>
      <c r="J11" s="36"/>
      <c r="K11" s="36"/>
      <c r="L11" s="36"/>
      <c r="O11" s="40" t="s">
        <v>15</v>
      </c>
      <c r="P11" s="41"/>
      <c r="Q11" s="41"/>
      <c r="R11" s="42"/>
      <c r="S11" s="35" t="s">
        <v>16</v>
      </c>
      <c r="T11" s="36"/>
      <c r="U11" s="36"/>
      <c r="V11" s="36"/>
      <c r="Y11" s="40" t="s">
        <v>15</v>
      </c>
      <c r="Z11" s="41"/>
      <c r="AA11" s="41"/>
      <c r="AB11" s="42"/>
      <c r="AC11" s="35" t="s">
        <v>16</v>
      </c>
      <c r="AD11" s="36"/>
      <c r="AE11" s="36"/>
      <c r="AF11" s="36"/>
      <c r="AI11" s="40" t="s">
        <v>15</v>
      </c>
      <c r="AJ11" s="41"/>
      <c r="AK11" s="41"/>
      <c r="AL11" s="42"/>
      <c r="AM11" s="35" t="s">
        <v>16</v>
      </c>
      <c r="AN11" s="36"/>
      <c r="AO11" s="36"/>
      <c r="AP11" s="36"/>
      <c r="AS11" s="40" t="s">
        <v>15</v>
      </c>
      <c r="AT11" s="41"/>
      <c r="AU11" s="41"/>
      <c r="AV11" s="42"/>
      <c r="AW11" s="35" t="s">
        <v>16</v>
      </c>
      <c r="AX11" s="36"/>
      <c r="AY11" s="36"/>
      <c r="AZ11" s="36"/>
      <c r="BC11" s="40" t="s">
        <v>15</v>
      </c>
      <c r="BD11" s="41"/>
      <c r="BE11" s="41"/>
      <c r="BF11" s="42"/>
      <c r="BG11" s="35" t="s">
        <v>16</v>
      </c>
      <c r="BH11" s="36"/>
      <c r="BI11" s="36"/>
      <c r="BJ11" s="36"/>
      <c r="BM11" s="40" t="s">
        <v>15</v>
      </c>
      <c r="BN11" s="41"/>
      <c r="BO11" s="41"/>
      <c r="BP11" s="42"/>
      <c r="BQ11" s="35" t="s">
        <v>16</v>
      </c>
      <c r="BR11" s="36"/>
      <c r="BS11" s="36"/>
      <c r="BT11" s="36"/>
      <c r="BW11" s="40" t="s">
        <v>15</v>
      </c>
      <c r="BX11" s="41"/>
      <c r="BY11" s="41"/>
      <c r="BZ11" s="42"/>
      <c r="CA11" s="35" t="s">
        <v>16</v>
      </c>
      <c r="CB11" s="36"/>
      <c r="CC11" s="36"/>
      <c r="CD11" s="36"/>
    </row>
    <row r="12" spans="1:92" x14ac:dyDescent="0.25">
      <c r="A12" s="36"/>
      <c r="B12" s="36"/>
      <c r="C12" s="36"/>
      <c r="E12" s="2" t="s">
        <v>9</v>
      </c>
      <c r="F12" s="3">
        <v>249063</v>
      </c>
      <c r="G12" s="3">
        <v>249062</v>
      </c>
      <c r="H12" s="4">
        <v>249061</v>
      </c>
      <c r="I12" s="2" t="s">
        <v>9</v>
      </c>
      <c r="J12" s="3">
        <v>249063</v>
      </c>
      <c r="K12" s="3">
        <v>249062</v>
      </c>
      <c r="L12" s="4">
        <v>249061</v>
      </c>
      <c r="O12" s="2" t="s">
        <v>9</v>
      </c>
      <c r="P12" s="3">
        <v>249063</v>
      </c>
      <c r="Q12" s="3">
        <v>249062</v>
      </c>
      <c r="R12" s="4">
        <v>249061</v>
      </c>
      <c r="S12" s="2" t="s">
        <v>9</v>
      </c>
      <c r="T12" s="3">
        <v>249063</v>
      </c>
      <c r="U12" s="3">
        <v>249062</v>
      </c>
      <c r="V12" s="4">
        <v>249061</v>
      </c>
      <c r="Y12" s="2" t="s">
        <v>9</v>
      </c>
      <c r="Z12" s="3">
        <v>249063</v>
      </c>
      <c r="AA12" s="3">
        <v>249062</v>
      </c>
      <c r="AB12" s="4">
        <v>249061</v>
      </c>
      <c r="AC12" s="2" t="s">
        <v>9</v>
      </c>
      <c r="AD12" s="3">
        <v>249063</v>
      </c>
      <c r="AE12" s="3">
        <v>249062</v>
      </c>
      <c r="AF12" s="4">
        <v>249061</v>
      </c>
      <c r="AI12" s="2" t="s">
        <v>9</v>
      </c>
      <c r="AJ12" s="3">
        <v>249063</v>
      </c>
      <c r="AK12" s="3">
        <v>249062</v>
      </c>
      <c r="AL12" s="4">
        <v>249061</v>
      </c>
      <c r="AM12" s="2" t="s">
        <v>9</v>
      </c>
      <c r="AN12" s="3">
        <v>249063</v>
      </c>
      <c r="AO12" s="3">
        <v>249062</v>
      </c>
      <c r="AP12" s="4">
        <v>249061</v>
      </c>
      <c r="AS12" s="2" t="s">
        <v>9</v>
      </c>
      <c r="AT12" s="3">
        <v>249063</v>
      </c>
      <c r="AU12" s="3">
        <v>249062</v>
      </c>
      <c r="AV12" s="4">
        <v>249061</v>
      </c>
      <c r="AW12" s="2" t="s">
        <v>9</v>
      </c>
      <c r="AX12" s="3">
        <v>249063</v>
      </c>
      <c r="AY12" s="3">
        <v>249062</v>
      </c>
      <c r="AZ12" s="4">
        <v>249061</v>
      </c>
      <c r="BC12" s="2" t="s">
        <v>9</v>
      </c>
      <c r="BD12" s="3">
        <v>249063</v>
      </c>
      <c r="BE12" s="3">
        <v>249062</v>
      </c>
      <c r="BF12" s="4">
        <v>249061</v>
      </c>
      <c r="BG12" s="2" t="s">
        <v>9</v>
      </c>
      <c r="BH12" s="3">
        <v>249063</v>
      </c>
      <c r="BI12" s="3">
        <v>249062</v>
      </c>
      <c r="BJ12" s="4">
        <v>249061</v>
      </c>
      <c r="BM12" s="2" t="s">
        <v>9</v>
      </c>
      <c r="BN12" s="3">
        <v>249063</v>
      </c>
      <c r="BO12" s="3">
        <v>249062</v>
      </c>
      <c r="BP12" s="4">
        <v>249061</v>
      </c>
      <c r="BQ12" s="2" t="s">
        <v>9</v>
      </c>
      <c r="BR12" s="3">
        <v>249063</v>
      </c>
      <c r="BS12" s="3">
        <v>249062</v>
      </c>
      <c r="BT12" s="4">
        <v>249061</v>
      </c>
      <c r="BW12" s="2" t="s">
        <v>9</v>
      </c>
      <c r="BX12" s="3">
        <v>249063</v>
      </c>
      <c r="BY12" s="3">
        <v>249062</v>
      </c>
      <c r="BZ12" s="4">
        <v>249061</v>
      </c>
      <c r="CA12" s="2" t="s">
        <v>9</v>
      </c>
      <c r="CB12" s="3">
        <v>249063</v>
      </c>
      <c r="CC12" s="3">
        <v>249062</v>
      </c>
      <c r="CD12" s="4">
        <v>249061</v>
      </c>
    </row>
    <row r="13" spans="1:92" x14ac:dyDescent="0.25">
      <c r="A13" s="37">
        <v>1</v>
      </c>
      <c r="B13" s="12">
        <v>1</v>
      </c>
      <c r="C13" s="13">
        <v>1</v>
      </c>
      <c r="E13" s="14">
        <v>88.410910000000001</v>
      </c>
      <c r="F13" s="15">
        <v>89.427059999999997</v>
      </c>
      <c r="G13" s="15">
        <v>88.853294000000005</v>
      </c>
      <c r="H13" s="16">
        <v>89.437020000000004</v>
      </c>
      <c r="I13" s="12">
        <f t="shared" ref="I13:I22" si="0">IF(OR(E13="",E13="NaN"),"",E13-AVERAGE(E$13:E$22))</f>
        <v>-0.41088210000000913</v>
      </c>
      <c r="J13" s="12">
        <v>86.157539367675781</v>
      </c>
      <c r="K13" s="12">
        <v>85.654579162597656</v>
      </c>
      <c r="L13" s="17">
        <v>76.885757446289063</v>
      </c>
      <c r="M13" s="5"/>
      <c r="N13" s="5"/>
      <c r="O13" s="14">
        <v>54.961917999999997</v>
      </c>
      <c r="P13" s="15">
        <v>55.784520000000001</v>
      </c>
      <c r="Q13" s="15">
        <v>55.200684000000003</v>
      </c>
      <c r="R13" s="16">
        <v>55.348891999999999</v>
      </c>
      <c r="S13" s="12">
        <f t="shared" ref="S13:S22" si="1">IF(OR(O13="",O13="NaN"),"",O13-AVERAGE(O$13:O$22))</f>
        <v>0.15583819999999804</v>
      </c>
      <c r="T13" s="12">
        <v>70.141777038574219</v>
      </c>
      <c r="U13" s="12">
        <v>73.38287353515625</v>
      </c>
      <c r="V13" s="17">
        <v>67.840179443359375</v>
      </c>
      <c r="W13" s="5"/>
      <c r="X13" s="5"/>
      <c r="Y13" s="14">
        <v>10.035682</v>
      </c>
      <c r="Z13" s="15">
        <v>9.8900600000000001</v>
      </c>
      <c r="AA13" s="15">
        <v>10.133984999999999</v>
      </c>
      <c r="AB13" s="16">
        <v>9.843064</v>
      </c>
      <c r="AC13" s="12">
        <f t="shared" ref="AC13:AC22" si="2">IF(OR(Y13="",Y13="NaN"),"",Y13-AVERAGE(Y$13:Y$22))</f>
        <v>0.2530380000000001</v>
      </c>
      <c r="AD13" s="12">
        <v>10.540224075317379</v>
      </c>
      <c r="AE13" s="12">
        <v>9.6793708801269513</v>
      </c>
      <c r="AF13" s="17">
        <v>10.991037368774411</v>
      </c>
      <c r="AG13" s="5"/>
      <c r="AH13" s="5"/>
      <c r="AI13" s="14">
        <v>7.5675319999999999</v>
      </c>
      <c r="AJ13" s="15">
        <v>7.0858563999999999</v>
      </c>
      <c r="AK13" s="15">
        <v>6.9160943000000001</v>
      </c>
      <c r="AL13" s="16">
        <v>7.1463789999999996</v>
      </c>
      <c r="AM13" s="12">
        <f t="shared" ref="AM13:AM22" si="3">IF(OR(AI13="",AI13="NaN"),"",AI13-AVERAGE(AI$13:AI$22))</f>
        <v>0.39248403000000032</v>
      </c>
      <c r="AN13" s="12">
        <v>5.2891230583190918</v>
      </c>
      <c r="AO13" s="12">
        <v>5.4476017951965332</v>
      </c>
      <c r="AP13" s="17">
        <v>7.1491756439208984</v>
      </c>
      <c r="AR13" s="5"/>
      <c r="AS13" s="14">
        <v>14.363257000000001</v>
      </c>
      <c r="AT13" s="15">
        <v>13.853502000000001</v>
      </c>
      <c r="AU13" s="15">
        <v>15.132535000000001</v>
      </c>
      <c r="AV13" s="16">
        <v>14.513424000000001</v>
      </c>
      <c r="AW13" s="12">
        <f t="shared" ref="AW13:AW22" si="4">IF(OR(AS13="",AS13="NaN"),"",AS13-AVERAGE(AS$13:AS$22))</f>
        <v>-1.9851254999999988</v>
      </c>
      <c r="AX13" s="12">
        <v>12.37188625335693</v>
      </c>
      <c r="AY13" s="12">
        <v>10.4577693939209</v>
      </c>
      <c r="AZ13" s="17">
        <v>11.876858711242679</v>
      </c>
      <c r="BB13" s="5"/>
      <c r="BC13" s="14">
        <v>2.8478115000000002</v>
      </c>
      <c r="BD13" s="15">
        <v>2.8015308000000001</v>
      </c>
      <c r="BE13" s="15">
        <v>2.8608555999999998</v>
      </c>
      <c r="BF13" s="16">
        <v>2.8181417</v>
      </c>
      <c r="BG13" s="12">
        <f t="shared" ref="BG13:BG22" si="5">IF(OR(BC13="",BC13="NaN"),"",BC13-AVERAGE(BC$13:BC$22))</f>
        <v>-7.2994799999999138E-3</v>
      </c>
      <c r="BH13" s="12">
        <v>2.1626827716827401</v>
      </c>
      <c r="BI13" s="12">
        <v>1.628739595413208</v>
      </c>
      <c r="BJ13" s="17">
        <v>2.20456862449646</v>
      </c>
      <c r="BL13" s="5"/>
      <c r="BM13" s="14">
        <v>2.8017875999999999</v>
      </c>
      <c r="BN13" s="15">
        <v>2.4313376</v>
      </c>
      <c r="BO13" s="15">
        <v>2.7882685999999999</v>
      </c>
      <c r="BP13" s="16">
        <v>2.2724384999999998</v>
      </c>
      <c r="BQ13" s="12">
        <f t="shared" ref="BQ13:BQ22" si="6">IF(OR(BM13="",BM13="NaN"),"",BM13-AVERAGE(BM$13:BM$22))</f>
        <v>0.37657859999999976</v>
      </c>
      <c r="BR13" s="12">
        <v>2.8053100109100342</v>
      </c>
      <c r="BS13" s="12">
        <v>2.9714004993438721</v>
      </c>
      <c r="BT13" s="17">
        <v>6.2907190322875977</v>
      </c>
      <c r="BV13" s="5"/>
      <c r="BW13" s="14">
        <v>4.8749557000000001</v>
      </c>
      <c r="BX13" s="15">
        <v>5.0907903000000001</v>
      </c>
      <c r="BY13" s="15">
        <v>5.58371</v>
      </c>
      <c r="BZ13" s="16">
        <v>5.1223745000000003</v>
      </c>
      <c r="CA13" s="12">
        <f t="shared" ref="CA13:CA22" si="7">IF(OR(BW13="",BW13="NaN"),"",BW13-AVERAGE(BW$13:BW$22))</f>
        <v>-0.3190963</v>
      </c>
      <c r="CB13" s="12">
        <v>1.5456880331039431</v>
      </c>
      <c r="CC13" s="12">
        <v>1.1272463798522949</v>
      </c>
      <c r="CD13" s="17">
        <v>1.6671115159988401</v>
      </c>
      <c r="CG13">
        <v>1.4198756217956541</v>
      </c>
      <c r="CH13">
        <v>1.1851052045822139</v>
      </c>
      <c r="CI13">
        <v>1.769859194755554</v>
      </c>
      <c r="CL13">
        <v>2.7179539203643799</v>
      </c>
      <c r="CM13">
        <v>1.3048169612884519</v>
      </c>
      <c r="CN13">
        <v>1.8382880687713621</v>
      </c>
    </row>
    <row r="14" spans="1:92" x14ac:dyDescent="0.25">
      <c r="A14" s="38"/>
      <c r="B14" s="5">
        <v>2</v>
      </c>
      <c r="C14" s="18">
        <v>6</v>
      </c>
      <c r="E14" s="19">
        <v>88.710915</v>
      </c>
      <c r="F14" s="20">
        <v>89.181595000000002</v>
      </c>
      <c r="G14" s="20">
        <v>88.682220000000001</v>
      </c>
      <c r="H14" s="21">
        <v>88.689070000000001</v>
      </c>
      <c r="I14" s="5">
        <f t="shared" si="0"/>
        <v>-0.11087710000001039</v>
      </c>
      <c r="J14" s="5">
        <v>85.882797241210938</v>
      </c>
      <c r="K14" s="5">
        <v>85.616592407226563</v>
      </c>
      <c r="L14" s="22">
        <v>76.832786560058594</v>
      </c>
      <c r="M14" s="5"/>
      <c r="N14" s="5"/>
      <c r="O14" s="19">
        <v>54.099069999999998</v>
      </c>
      <c r="P14" s="20">
        <v>55.315693000000003</v>
      </c>
      <c r="Q14" s="20">
        <v>54.304099999999998</v>
      </c>
      <c r="R14" s="21">
        <v>53.56456</v>
      </c>
      <c r="S14" s="5">
        <f t="shared" si="1"/>
        <v>-0.70700980000000158</v>
      </c>
      <c r="T14" s="5">
        <v>70.600028991699219</v>
      </c>
      <c r="U14" s="5">
        <v>72.407333374023438</v>
      </c>
      <c r="V14" s="22">
        <v>68.298202514648438</v>
      </c>
      <c r="W14" s="5"/>
      <c r="X14" s="5"/>
      <c r="Y14" s="19">
        <v>9.7099049999999991</v>
      </c>
      <c r="Z14" s="20">
        <v>9.8606549999999995</v>
      </c>
      <c r="AA14" s="20">
        <v>9.9861959999999996</v>
      </c>
      <c r="AB14" s="21">
        <v>9.8198509999999999</v>
      </c>
      <c r="AC14" s="5">
        <f t="shared" si="2"/>
        <v>-7.2739000000000331E-2</v>
      </c>
      <c r="AD14" s="5">
        <v>11.459280967712401</v>
      </c>
      <c r="AE14" s="5">
        <v>11.529487609863279</v>
      </c>
      <c r="AF14" s="22">
        <v>10.26969146728516</v>
      </c>
      <c r="AG14" s="5"/>
      <c r="AH14" s="5"/>
      <c r="AI14" s="19">
        <v>7.0656330000000001</v>
      </c>
      <c r="AJ14" s="20">
        <v>6.9035516000000001</v>
      </c>
      <c r="AK14" s="20">
        <v>7.0061483000000004</v>
      </c>
      <c r="AL14" s="21">
        <v>6.9816669999999998</v>
      </c>
      <c r="AM14" s="5">
        <f t="shared" si="3"/>
        <v>-0.10941496999999956</v>
      </c>
      <c r="AN14" s="5">
        <v>6.7235832214355469</v>
      </c>
      <c r="AO14" s="5">
        <v>6.2548770904541016</v>
      </c>
      <c r="AP14" s="22">
        <v>6.9997000694274902</v>
      </c>
      <c r="AR14" s="5"/>
      <c r="AS14" s="19">
        <v>18.44857</v>
      </c>
      <c r="AT14" s="20">
        <v>18.110247000000001</v>
      </c>
      <c r="AU14" s="20">
        <v>18.323557000000001</v>
      </c>
      <c r="AV14" s="21">
        <v>18.414231999999998</v>
      </c>
      <c r="AW14" s="5">
        <f t="shared" si="4"/>
        <v>2.1001875000000005</v>
      </c>
      <c r="AX14" s="5">
        <v>11.76105785369873</v>
      </c>
      <c r="AY14" s="5">
        <v>11.88934421539307</v>
      </c>
      <c r="AZ14" s="22">
        <v>11.717287063598629</v>
      </c>
      <c r="BB14" s="5"/>
      <c r="BC14" s="19">
        <v>2.8664960000000002</v>
      </c>
      <c r="BD14" s="20">
        <v>2.8336754000000002</v>
      </c>
      <c r="BE14" s="20">
        <v>2.8573491999999998</v>
      </c>
      <c r="BF14" s="21">
        <v>2.8577118000000001</v>
      </c>
      <c r="BG14" s="5">
        <f t="shared" si="5"/>
        <v>1.1385020000000079E-2</v>
      </c>
      <c r="BH14" s="5">
        <v>2.417005062103271</v>
      </c>
      <c r="BI14" s="5">
        <v>2.2593221664428711</v>
      </c>
      <c r="BJ14" s="22">
        <v>2.2051544189453121</v>
      </c>
      <c r="BL14" s="5"/>
      <c r="BM14" s="19">
        <v>2.1398136999999999</v>
      </c>
      <c r="BN14" s="20">
        <v>2.1962234999999999</v>
      </c>
      <c r="BO14" s="20">
        <v>2.2032419999999999</v>
      </c>
      <c r="BP14" s="21">
        <v>1.8629636999999999</v>
      </c>
      <c r="BQ14" s="5">
        <f t="shared" si="6"/>
        <v>-0.28539530000000024</v>
      </c>
      <c r="BR14" s="5">
        <v>3.3159618377685551</v>
      </c>
      <c r="BS14" s="5">
        <v>2.8580024242401119</v>
      </c>
      <c r="BT14" s="22">
        <v>6.7219338417053223</v>
      </c>
      <c r="BV14" s="5"/>
      <c r="BW14" s="19">
        <v>5.6961737000000001</v>
      </c>
      <c r="BX14" s="20">
        <v>4.8177640000000004</v>
      </c>
      <c r="BY14" s="20">
        <v>5.6032557000000001</v>
      </c>
      <c r="BZ14" s="21">
        <v>5.4078683999999999</v>
      </c>
      <c r="CA14" s="5">
        <f t="shared" si="7"/>
        <v>0.5021217</v>
      </c>
      <c r="CB14" s="5">
        <v>1.774279832839966</v>
      </c>
      <c r="CC14" s="5">
        <v>1.468517541885376</v>
      </c>
      <c r="CD14" s="22">
        <v>1.699282765388489</v>
      </c>
      <c r="CG14">
        <v>1.504804253578186</v>
      </c>
      <c r="CH14">
        <v>1.716229915618896</v>
      </c>
      <c r="CI14">
        <v>1.7517333030700679</v>
      </c>
      <c r="CL14">
        <v>2.984552145004272</v>
      </c>
      <c r="CM14">
        <v>1.6254105567932129</v>
      </c>
      <c r="CN14">
        <v>1.8410770893096919</v>
      </c>
    </row>
    <row r="15" spans="1:92" x14ac:dyDescent="0.25">
      <c r="A15" s="38"/>
      <c r="B15" s="5">
        <v>3</v>
      </c>
      <c r="C15" s="18">
        <v>11</v>
      </c>
      <c r="E15" s="19">
        <v>88.493454</v>
      </c>
      <c r="F15" s="20">
        <v>89.702515000000005</v>
      </c>
      <c r="G15" s="20">
        <v>88.958010000000002</v>
      </c>
      <c r="H15" s="21">
        <v>89.458119999999994</v>
      </c>
      <c r="I15" s="5">
        <f t="shared" si="0"/>
        <v>-0.32833810000001051</v>
      </c>
      <c r="J15" s="5">
        <v>85.478401184082031</v>
      </c>
      <c r="K15" s="5">
        <v>85.560775756835938</v>
      </c>
      <c r="L15" s="22">
        <v>76.837791442871094</v>
      </c>
      <c r="M15" s="5"/>
      <c r="N15" s="5"/>
      <c r="O15" s="19">
        <v>55.557827000000003</v>
      </c>
      <c r="P15" s="20">
        <v>56.018917000000002</v>
      </c>
      <c r="Q15" s="20">
        <v>54.902653000000001</v>
      </c>
      <c r="R15" s="21">
        <v>55.594906000000002</v>
      </c>
      <c r="S15" s="5">
        <f t="shared" si="1"/>
        <v>0.75174720000000406</v>
      </c>
      <c r="T15" s="5">
        <v>72.471107482910156</v>
      </c>
      <c r="U15" s="5">
        <v>73.13702392578125</v>
      </c>
      <c r="V15" s="22">
        <v>67.862464904785156</v>
      </c>
      <c r="W15" s="5"/>
      <c r="X15" s="5"/>
      <c r="Y15" s="19">
        <v>9.8718219999999999</v>
      </c>
      <c r="Z15" s="20">
        <v>9.9088390000000004</v>
      </c>
      <c r="AA15" s="20">
        <v>10.3971815</v>
      </c>
      <c r="AB15" s="21">
        <v>9.9304469999999991</v>
      </c>
      <c r="AC15" s="5">
        <f t="shared" si="2"/>
        <v>8.9178000000000424E-2</v>
      </c>
      <c r="AD15" s="5">
        <v>10.58552360534668</v>
      </c>
      <c r="AE15" s="5">
        <v>9.2864246368408203</v>
      </c>
      <c r="AF15" s="22">
        <v>13.534989356994631</v>
      </c>
      <c r="AG15" s="5"/>
      <c r="AH15" s="5"/>
      <c r="AI15" s="19">
        <v>7.4822110000000004</v>
      </c>
      <c r="AJ15" s="20">
        <v>7.0161889999999998</v>
      </c>
      <c r="AK15" s="20">
        <v>7.1455019999999996</v>
      </c>
      <c r="AL15" s="21">
        <v>7.0069013</v>
      </c>
      <c r="AM15" s="5">
        <f t="shared" si="3"/>
        <v>0.30716303000000078</v>
      </c>
      <c r="AN15" s="5">
        <v>5.5452547073364258</v>
      </c>
      <c r="AO15" s="5">
        <v>6.5532321929931641</v>
      </c>
      <c r="AP15" s="22">
        <v>7.330751895904541</v>
      </c>
      <c r="AR15" s="5"/>
      <c r="AS15" s="19">
        <v>14.147338</v>
      </c>
      <c r="AT15" s="20">
        <v>14.117901</v>
      </c>
      <c r="AU15" s="20">
        <v>14.988733</v>
      </c>
      <c r="AV15" s="21">
        <v>14.407190999999999</v>
      </c>
      <c r="AW15" s="5">
        <f t="shared" si="4"/>
        <v>-2.2010445000000001</v>
      </c>
      <c r="AX15" s="5">
        <v>12.35551834106445</v>
      </c>
      <c r="AY15" s="5">
        <v>10.744802474975589</v>
      </c>
      <c r="AZ15" s="22">
        <v>12.06489372253418</v>
      </c>
      <c r="BB15" s="5"/>
      <c r="BC15" s="19">
        <v>2.8558867000000001</v>
      </c>
      <c r="BD15" s="20">
        <v>2.7785186999999998</v>
      </c>
      <c r="BE15" s="20">
        <v>2.8611494999999998</v>
      </c>
      <c r="BF15" s="21">
        <v>2.8181417</v>
      </c>
      <c r="BG15" s="5">
        <f t="shared" si="5"/>
        <v>7.7572000000003527E-4</v>
      </c>
      <c r="BH15" s="5">
        <v>2.1633379459381099</v>
      </c>
      <c r="BI15" s="5">
        <v>1.7455639839172361</v>
      </c>
      <c r="BJ15" s="22">
        <v>2.1029112339019771</v>
      </c>
      <c r="BL15" s="5"/>
      <c r="BM15" s="19">
        <v>2.761447</v>
      </c>
      <c r="BN15" s="20">
        <v>2.8388822</v>
      </c>
      <c r="BO15" s="20">
        <v>2.9818118</v>
      </c>
      <c r="BP15" s="21">
        <v>2.9236537999999999</v>
      </c>
      <c r="BQ15" s="5">
        <f t="shared" si="6"/>
        <v>0.33623799999999981</v>
      </c>
      <c r="BR15" s="5">
        <v>2.557440042495728</v>
      </c>
      <c r="BS15" s="5">
        <v>2.6948893070220952</v>
      </c>
      <c r="BT15" s="22">
        <v>6.9005365371704102</v>
      </c>
      <c r="BV15" s="5"/>
      <c r="BW15" s="19">
        <v>5.0114869999999998</v>
      </c>
      <c r="BX15" s="20">
        <v>4.9363865999999996</v>
      </c>
      <c r="BY15" s="20">
        <v>5.9747167000000001</v>
      </c>
      <c r="BZ15" s="21">
        <v>5.1782265000000001</v>
      </c>
      <c r="CA15" s="5">
        <f t="shared" si="7"/>
        <v>-0.18256500000000031</v>
      </c>
      <c r="CB15" s="5">
        <v>1.3648034334182739</v>
      </c>
      <c r="CC15" s="5">
        <v>1.419122099876404</v>
      </c>
      <c r="CD15" s="22">
        <v>1.6751842498779299</v>
      </c>
      <c r="CG15">
        <v>1.3343075513839719</v>
      </c>
      <c r="CH15">
        <v>1.6091035604476931</v>
      </c>
      <c r="CI15">
        <v>2.9519848823547359</v>
      </c>
      <c r="CL15">
        <v>1.6388863325119021</v>
      </c>
      <c r="CM15">
        <v>1.534342408180237</v>
      </c>
      <c r="CN15">
        <v>3.044421911239624</v>
      </c>
    </row>
    <row r="16" spans="1:92" x14ac:dyDescent="0.25">
      <c r="A16" s="38"/>
      <c r="B16" s="5">
        <v>4</v>
      </c>
      <c r="C16" s="18">
        <v>16</v>
      </c>
      <c r="E16" s="19">
        <v>89.241429999999994</v>
      </c>
      <c r="F16" s="20">
        <v>89.558840000000004</v>
      </c>
      <c r="G16" s="20">
        <v>89.205826000000002</v>
      </c>
      <c r="H16" s="21">
        <v>88.951009999999997</v>
      </c>
      <c r="I16" s="5">
        <f t="shared" si="0"/>
        <v>0.41963789999998369</v>
      </c>
      <c r="J16" s="5">
        <v>85.797592163085938</v>
      </c>
      <c r="K16" s="5">
        <v>76.628639221191406</v>
      </c>
      <c r="L16" s="22">
        <v>76.623939514160156</v>
      </c>
      <c r="M16" s="5"/>
      <c r="N16" s="5"/>
      <c r="O16" s="19">
        <v>54.309497999999998</v>
      </c>
      <c r="P16" s="20">
        <v>54.640265999999997</v>
      </c>
      <c r="Q16" s="20">
        <v>53.902329999999999</v>
      </c>
      <c r="R16" s="21">
        <v>53.716084000000002</v>
      </c>
      <c r="S16" s="5">
        <f t="shared" si="1"/>
        <v>-0.49658180000000129</v>
      </c>
      <c r="T16" s="5">
        <v>73.181251525878906</v>
      </c>
      <c r="U16" s="5">
        <v>69.206466674804688</v>
      </c>
      <c r="V16" s="22">
        <v>67.938987731933594</v>
      </c>
      <c r="W16" s="5"/>
      <c r="X16" s="5"/>
      <c r="Y16" s="19">
        <v>9.7550260000000009</v>
      </c>
      <c r="Z16" s="20">
        <v>9.7754019999999997</v>
      </c>
      <c r="AA16" s="20">
        <v>9.7892685000000004</v>
      </c>
      <c r="AB16" s="21">
        <v>9.7877030000000005</v>
      </c>
      <c r="AC16" s="5">
        <f t="shared" si="2"/>
        <v>-2.7617999999998588E-2</v>
      </c>
      <c r="AD16" s="5">
        <v>9.4607000350952166</v>
      </c>
      <c r="AE16" s="5">
        <v>9.7195119857788086</v>
      </c>
      <c r="AF16" s="22">
        <v>11.269044876098629</v>
      </c>
      <c r="AG16" s="5"/>
      <c r="AH16" s="5"/>
      <c r="AI16" s="19">
        <v>6.9294580000000003</v>
      </c>
      <c r="AJ16" s="20">
        <v>6.8892426000000002</v>
      </c>
      <c r="AK16" s="20">
        <v>7.2683315000000004</v>
      </c>
      <c r="AL16" s="21">
        <v>6.9408409999999998</v>
      </c>
      <c r="AM16" s="5">
        <f t="shared" si="3"/>
        <v>-0.24558996999999927</v>
      </c>
      <c r="AN16" s="5">
        <v>6.2627711296081543</v>
      </c>
      <c r="AO16" s="5">
        <v>5.2024407386779794</v>
      </c>
      <c r="AP16" s="22">
        <v>7.2610197067260742</v>
      </c>
      <c r="AR16" s="5"/>
      <c r="AS16" s="19">
        <v>18.395057999999999</v>
      </c>
      <c r="AT16" s="20">
        <v>18.2135</v>
      </c>
      <c r="AU16" s="20">
        <v>18.629007000000001</v>
      </c>
      <c r="AV16" s="21">
        <v>18.236864000000001</v>
      </c>
      <c r="AW16" s="5">
        <f t="shared" si="4"/>
        <v>2.0466754999999992</v>
      </c>
      <c r="AX16" s="5">
        <v>10.223239898681641</v>
      </c>
      <c r="AY16" s="5">
        <v>10.752469062805179</v>
      </c>
      <c r="AZ16" s="22">
        <v>12.07362747192383</v>
      </c>
      <c r="BB16" s="5"/>
      <c r="BC16" s="19">
        <v>2.8651822</v>
      </c>
      <c r="BD16" s="20">
        <v>2.8685584</v>
      </c>
      <c r="BE16" s="20">
        <v>2.8620695999999999</v>
      </c>
      <c r="BF16" s="21">
        <v>2.8577118000000001</v>
      </c>
      <c r="BG16" s="5">
        <f t="shared" si="5"/>
        <v>1.0071219999999936E-2</v>
      </c>
      <c r="BH16" s="5">
        <v>1.5908467769622801</v>
      </c>
      <c r="BI16" s="5">
        <v>2.0649821758270259</v>
      </c>
      <c r="BJ16" s="22">
        <v>2.222215890884399</v>
      </c>
      <c r="BL16" s="5"/>
      <c r="BM16" s="19">
        <v>2.1132084999999998</v>
      </c>
      <c r="BN16" s="20">
        <v>2.095675</v>
      </c>
      <c r="BO16" s="20">
        <v>2.1372368000000002</v>
      </c>
      <c r="BP16" s="21">
        <v>1.9018303999999999</v>
      </c>
      <c r="BQ16" s="5">
        <f t="shared" si="6"/>
        <v>-0.31200050000000035</v>
      </c>
      <c r="BR16" s="5">
        <v>3.3237426280975342</v>
      </c>
      <c r="BS16" s="5">
        <v>4.8014249801635742</v>
      </c>
      <c r="BT16" s="22">
        <v>6.4529714584350586</v>
      </c>
      <c r="BV16" s="5"/>
      <c r="BW16" s="19">
        <v>5.5415754000000002</v>
      </c>
      <c r="BX16" s="20">
        <v>5.1536163999999998</v>
      </c>
      <c r="BY16" s="20">
        <v>5.8352940000000002</v>
      </c>
      <c r="BZ16" s="21">
        <v>5.3374968000000003</v>
      </c>
      <c r="CA16" s="5">
        <f t="shared" si="7"/>
        <v>0.34752340000000004</v>
      </c>
      <c r="CB16" s="5">
        <v>1.1922733783721919</v>
      </c>
      <c r="CC16" s="5">
        <v>1.208857655525208</v>
      </c>
      <c r="CD16" s="22">
        <v>1.6871604919433589</v>
      </c>
      <c r="CG16">
        <v>1.248870968818665</v>
      </c>
      <c r="CH16">
        <v>1.493543386459351</v>
      </c>
      <c r="CI16">
        <v>2.939773321151733</v>
      </c>
      <c r="CL16">
        <v>1.3210569620132451</v>
      </c>
      <c r="CM16">
        <v>1.693461656570435</v>
      </c>
      <c r="CN16">
        <v>1.9021259546279909</v>
      </c>
    </row>
    <row r="17" spans="1:92" x14ac:dyDescent="0.25">
      <c r="A17" s="38"/>
      <c r="B17" s="5">
        <v>5</v>
      </c>
      <c r="C17" s="18">
        <v>21</v>
      </c>
      <c r="E17" s="19">
        <v>88.575423999999998</v>
      </c>
      <c r="F17" s="20">
        <v>89.574614999999994</v>
      </c>
      <c r="G17" s="20">
        <v>88.889210000000006</v>
      </c>
      <c r="H17" s="21">
        <v>89.336079999999995</v>
      </c>
      <c r="I17" s="5">
        <f t="shared" si="0"/>
        <v>-0.24636810000001219</v>
      </c>
      <c r="J17" s="5">
        <v>85.823745727539063</v>
      </c>
      <c r="K17" s="5">
        <v>76.239288330078125</v>
      </c>
      <c r="L17" s="22">
        <v>77.041709899902344</v>
      </c>
      <c r="M17" s="5"/>
      <c r="N17" s="5"/>
      <c r="O17" s="19">
        <v>55.39011</v>
      </c>
      <c r="P17" s="20">
        <v>55.973640000000003</v>
      </c>
      <c r="Q17" s="20">
        <v>54.480975999999998</v>
      </c>
      <c r="R17" s="21">
        <v>55.400734</v>
      </c>
      <c r="S17" s="5">
        <f t="shared" si="1"/>
        <v>0.58403020000000083</v>
      </c>
      <c r="T17" s="5">
        <v>72.33935546875</v>
      </c>
      <c r="U17" s="5">
        <v>69.3397216796875</v>
      </c>
      <c r="V17" s="22">
        <v>66.06201171875</v>
      </c>
      <c r="W17" s="5"/>
      <c r="X17" s="5"/>
      <c r="Y17" s="19">
        <v>9.8828549999999993</v>
      </c>
      <c r="Z17" s="20">
        <v>9.9744620000000008</v>
      </c>
      <c r="AA17" s="20">
        <v>11.432603</v>
      </c>
      <c r="AB17" s="21">
        <v>9.904655</v>
      </c>
      <c r="AC17" s="5">
        <f t="shared" si="2"/>
        <v>0.10021099999999983</v>
      </c>
      <c r="AD17" s="5">
        <v>10.836556434631349</v>
      </c>
      <c r="AE17" s="5">
        <v>11.49359703063965</v>
      </c>
      <c r="AF17" s="22">
        <v>12.2893009185791</v>
      </c>
      <c r="AG17" s="5"/>
      <c r="AH17" s="5"/>
      <c r="AI17" s="19">
        <v>7.3745560000000001</v>
      </c>
      <c r="AJ17" s="20">
        <v>6.7929377999999998</v>
      </c>
      <c r="AK17" s="20">
        <v>7.1658879999999998</v>
      </c>
      <c r="AL17" s="21">
        <v>7.1166830000000001</v>
      </c>
      <c r="AM17" s="5">
        <f t="shared" si="3"/>
        <v>0.1995080300000005</v>
      </c>
      <c r="AN17" s="5">
        <v>5.5406999588012704</v>
      </c>
      <c r="AO17" s="5">
        <v>5.260683536529541</v>
      </c>
      <c r="AP17" s="22">
        <v>7.1254849433898926</v>
      </c>
      <c r="AR17" s="5"/>
      <c r="AS17" s="19">
        <v>14.365943</v>
      </c>
      <c r="AT17" s="20">
        <v>14.698563</v>
      </c>
      <c r="AU17" s="20">
        <v>14.745004</v>
      </c>
      <c r="AV17" s="21">
        <v>14.69994</v>
      </c>
      <c r="AW17" s="5">
        <f t="shared" si="4"/>
        <v>-1.9824394999999999</v>
      </c>
      <c r="AX17" s="5">
        <v>11.76652145385742</v>
      </c>
      <c r="AY17" s="5">
        <v>10.836184501647949</v>
      </c>
      <c r="AZ17" s="22">
        <v>11.75839328765869</v>
      </c>
      <c r="BB17" s="5"/>
      <c r="BC17" s="19">
        <v>2.8430909999999998</v>
      </c>
      <c r="BD17" s="20">
        <v>2.7863820000000001</v>
      </c>
      <c r="BE17" s="20">
        <v>2.8514602</v>
      </c>
      <c r="BF17" s="21">
        <v>2.816503</v>
      </c>
      <c r="BG17" s="5">
        <f t="shared" si="5"/>
        <v>-1.2019980000000263E-2</v>
      </c>
      <c r="BH17" s="5">
        <v>1.814655065536499</v>
      </c>
      <c r="BI17" s="5">
        <v>2.0703125</v>
      </c>
      <c r="BJ17" s="22">
        <v>2.235723495483398</v>
      </c>
      <c r="BL17" s="5"/>
      <c r="BM17" s="19">
        <v>2.7341503999999999</v>
      </c>
      <c r="BN17" s="20">
        <v>2.9582183</v>
      </c>
      <c r="BO17" s="20">
        <v>3.176914</v>
      </c>
      <c r="BP17" s="21">
        <v>2.9554257000000002</v>
      </c>
      <c r="BQ17" s="5">
        <f t="shared" si="6"/>
        <v>0.3089413999999997</v>
      </c>
      <c r="BR17" s="5">
        <v>3.154163122177124</v>
      </c>
      <c r="BS17" s="5">
        <v>6.427025318145752</v>
      </c>
      <c r="BT17" s="22">
        <v>8.0698165893554688</v>
      </c>
      <c r="BV17" s="5"/>
      <c r="BW17" s="19">
        <v>4.8986206000000001</v>
      </c>
      <c r="BX17" s="20">
        <v>4.9477773000000003</v>
      </c>
      <c r="BY17" s="20">
        <v>6.1350354999999999</v>
      </c>
      <c r="BZ17" s="21">
        <v>5.2304440000000003</v>
      </c>
      <c r="CA17" s="5">
        <f t="shared" si="7"/>
        <v>-0.29543140000000001</v>
      </c>
      <c r="CB17" s="5">
        <v>1.257309198379517</v>
      </c>
      <c r="CC17" s="5">
        <v>1.1727244853973391</v>
      </c>
      <c r="CD17" s="22">
        <v>1.7393186092376709</v>
      </c>
      <c r="CG17">
        <v>1.5253933668136599</v>
      </c>
      <c r="CH17">
        <v>1.312539935112</v>
      </c>
      <c r="CI17">
        <v>2.2101678848266602</v>
      </c>
      <c r="CL17">
        <v>1.669580340385437</v>
      </c>
      <c r="CM17">
        <v>1.600125908851624</v>
      </c>
      <c r="CN17">
        <v>1.905581474304199</v>
      </c>
    </row>
    <row r="18" spans="1:92" x14ac:dyDescent="0.25">
      <c r="A18" s="38"/>
      <c r="B18" s="5">
        <v>6</v>
      </c>
      <c r="C18" s="18">
        <v>26</v>
      </c>
      <c r="E18" s="19">
        <v>89.277054000000007</v>
      </c>
      <c r="F18" s="20">
        <v>89.290329999999997</v>
      </c>
      <c r="G18" s="20">
        <v>89.087549999999993</v>
      </c>
      <c r="H18" s="21">
        <v>88.979339999999993</v>
      </c>
      <c r="I18" s="5">
        <f t="shared" si="0"/>
        <v>0.45526189999999644</v>
      </c>
      <c r="J18" s="5">
        <v>85.460250854492188</v>
      </c>
      <c r="K18" s="5">
        <v>76.919151306152344</v>
      </c>
      <c r="L18" s="22">
        <v>77.206230163574219</v>
      </c>
      <c r="M18" s="5"/>
      <c r="N18" s="5"/>
      <c r="O18" s="19">
        <v>54.06176</v>
      </c>
      <c r="P18" s="20">
        <v>55.059165999999998</v>
      </c>
      <c r="Q18" s="20">
        <v>54.191288</v>
      </c>
      <c r="R18" s="21">
        <v>53.421570000000003</v>
      </c>
      <c r="S18" s="5">
        <f t="shared" si="1"/>
        <v>-0.74431979999999953</v>
      </c>
      <c r="T18" s="5">
        <v>72.988296508789063</v>
      </c>
      <c r="U18" s="5">
        <v>65.186622619628906</v>
      </c>
      <c r="V18" s="22">
        <v>68.323944091796875</v>
      </c>
      <c r="W18" s="5"/>
      <c r="X18" s="5"/>
      <c r="Y18" s="19">
        <v>9.2975180000000002</v>
      </c>
      <c r="Z18" s="20">
        <v>9.736872</v>
      </c>
      <c r="AA18" s="20">
        <v>9.8262339999999995</v>
      </c>
      <c r="AB18" s="21">
        <v>9.7612400000000008</v>
      </c>
      <c r="AC18" s="5">
        <f t="shared" si="2"/>
        <v>-0.48512599999999928</v>
      </c>
      <c r="AD18" s="5">
        <v>9.7031917572021484</v>
      </c>
      <c r="AE18" s="5">
        <v>9.2447090148925781</v>
      </c>
      <c r="AF18" s="22">
        <v>11.57972621917725</v>
      </c>
      <c r="AG18" s="5"/>
      <c r="AH18" s="5"/>
      <c r="AI18" s="19">
        <v>6.8034986999999996</v>
      </c>
      <c r="AJ18" s="20">
        <v>6.7046422999999997</v>
      </c>
      <c r="AK18" s="20">
        <v>7.2286279999999996</v>
      </c>
      <c r="AL18" s="21">
        <v>6.9868980000000001</v>
      </c>
      <c r="AM18" s="5">
        <f t="shared" si="3"/>
        <v>-0.37154927000000004</v>
      </c>
      <c r="AN18" s="5">
        <v>6.2990174293518066</v>
      </c>
      <c r="AO18" s="5">
        <v>7.1490845680236816</v>
      </c>
      <c r="AP18" s="22">
        <v>7.0671591758728027</v>
      </c>
      <c r="AR18" s="5"/>
      <c r="AS18" s="19">
        <v>18.344799999999999</v>
      </c>
      <c r="AT18" s="20">
        <v>18.043977999999999</v>
      </c>
      <c r="AU18" s="20">
        <v>18.610030999999999</v>
      </c>
      <c r="AV18" s="21">
        <v>18.190472</v>
      </c>
      <c r="AW18" s="5">
        <f t="shared" si="4"/>
        <v>1.9964174999999997</v>
      </c>
      <c r="AX18" s="5">
        <v>12.39209079742432</v>
      </c>
      <c r="AY18" s="5">
        <v>11.826395034790041</v>
      </c>
      <c r="AZ18" s="22">
        <v>11.739432334899901</v>
      </c>
      <c r="BB18" s="5"/>
      <c r="BC18" s="19">
        <v>2.8584602000000001</v>
      </c>
      <c r="BD18" s="20">
        <v>2.8584602000000001</v>
      </c>
      <c r="BE18" s="20">
        <v>2.8700055999999998</v>
      </c>
      <c r="BF18" s="21">
        <v>2.8584602000000001</v>
      </c>
      <c r="BG18" s="5">
        <f t="shared" si="5"/>
        <v>3.3492200000000416E-3</v>
      </c>
      <c r="BH18" s="5">
        <v>1.7860927581787109</v>
      </c>
      <c r="BI18" s="5">
        <v>2.2172188758850102</v>
      </c>
      <c r="BJ18" s="22">
        <v>2.2051544189453121</v>
      </c>
      <c r="BL18" s="5"/>
      <c r="BM18" s="19">
        <v>2.1183724000000002</v>
      </c>
      <c r="BN18" s="20">
        <v>1.999949</v>
      </c>
      <c r="BO18" s="20">
        <v>2.0949483</v>
      </c>
      <c r="BP18" s="21">
        <v>1.8871055000000001</v>
      </c>
      <c r="BQ18" s="5">
        <f t="shared" si="6"/>
        <v>-0.30683660000000001</v>
      </c>
      <c r="BR18" s="5">
        <v>2.7400681972503662</v>
      </c>
      <c r="BS18" s="5">
        <v>6.2878646850585938</v>
      </c>
      <c r="BT18" s="22">
        <v>6.9156107902526864</v>
      </c>
      <c r="BV18" s="5"/>
      <c r="BW18" s="19">
        <v>5.4107757000000003</v>
      </c>
      <c r="BX18" s="20">
        <v>5.0059050000000003</v>
      </c>
      <c r="BY18" s="20">
        <v>5.8068619999999997</v>
      </c>
      <c r="BZ18" s="21">
        <v>5.4572915999999996</v>
      </c>
      <c r="CA18" s="5">
        <f t="shared" si="7"/>
        <v>0.21672370000000019</v>
      </c>
      <c r="CB18" s="5">
        <v>1.4355818033218379</v>
      </c>
      <c r="CC18" s="5">
        <v>1.5706913471221919</v>
      </c>
      <c r="CD18" s="22">
        <v>1.6917794942855831</v>
      </c>
      <c r="CG18">
        <v>1.2060133218765261</v>
      </c>
      <c r="CH18">
        <v>1.6209557056427</v>
      </c>
      <c r="CI18">
        <v>2.2319395542144771</v>
      </c>
      <c r="CL18">
        <v>1.4060806035995479</v>
      </c>
      <c r="CM18">
        <v>1.720643281936646</v>
      </c>
      <c r="CN18">
        <v>1.9645624160766599</v>
      </c>
    </row>
    <row r="19" spans="1:92" x14ac:dyDescent="0.25">
      <c r="A19" s="38"/>
      <c r="B19" s="5">
        <v>7</v>
      </c>
      <c r="C19" s="18">
        <v>31</v>
      </c>
      <c r="E19" s="19">
        <v>88.616560000000007</v>
      </c>
      <c r="F19" s="20">
        <v>89.443470000000005</v>
      </c>
      <c r="G19" s="20">
        <v>88.874306000000004</v>
      </c>
      <c r="H19" s="21">
        <v>89.298064999999994</v>
      </c>
      <c r="I19" s="5">
        <f t="shared" si="0"/>
        <v>-0.20523210000000347</v>
      </c>
      <c r="J19" s="5">
        <v>85.585945129394531</v>
      </c>
      <c r="K19" s="5">
        <v>76.531532287597656</v>
      </c>
      <c r="L19" s="22">
        <v>84.5263671875</v>
      </c>
      <c r="M19" s="5"/>
      <c r="N19" s="5"/>
      <c r="O19" s="19">
        <v>55.288159999999998</v>
      </c>
      <c r="P19" s="20">
        <v>56.37124</v>
      </c>
      <c r="Q19" s="20">
        <v>54.998524000000003</v>
      </c>
      <c r="R19" s="21">
        <v>55.280087000000002</v>
      </c>
      <c r="S19" s="5">
        <f t="shared" si="1"/>
        <v>0.48208019999999863</v>
      </c>
      <c r="T19" s="5">
        <v>73.132026672363281</v>
      </c>
      <c r="U19" s="5">
        <v>67.79974365234375</v>
      </c>
      <c r="V19" s="22">
        <v>72.435111999511719</v>
      </c>
      <c r="W19" s="5"/>
      <c r="X19" s="5"/>
      <c r="Y19" s="19">
        <v>9.9048250000000007</v>
      </c>
      <c r="Z19" s="20">
        <v>9.9331530000000008</v>
      </c>
      <c r="AA19" s="20">
        <v>11.163342999999999</v>
      </c>
      <c r="AB19" s="21">
        <v>9.9051600000000004</v>
      </c>
      <c r="AC19" s="5">
        <f t="shared" si="2"/>
        <v>0.12218100000000121</v>
      </c>
      <c r="AD19" s="5">
        <v>9.3765563964843768</v>
      </c>
      <c r="AE19" s="5">
        <v>11.490945816040041</v>
      </c>
      <c r="AF19" s="22">
        <v>9.0076255798339844</v>
      </c>
      <c r="AG19" s="5"/>
      <c r="AH19" s="5"/>
      <c r="AI19" s="19">
        <v>7.3745560000000001</v>
      </c>
      <c r="AJ19" s="20">
        <v>6.8763360000000002</v>
      </c>
      <c r="AK19" s="20">
        <v>7.1612206</v>
      </c>
      <c r="AL19" s="21">
        <v>7.1398580000000003</v>
      </c>
      <c r="AM19" s="5">
        <f t="shared" si="3"/>
        <v>0.1995080300000005</v>
      </c>
      <c r="AN19" s="5">
        <v>6.7243523597717294</v>
      </c>
      <c r="AO19" s="5">
        <v>6.5081243515014648</v>
      </c>
      <c r="AP19" s="22">
        <v>6.496403694152832</v>
      </c>
      <c r="AR19" s="5"/>
      <c r="AS19" s="19">
        <v>14.346692000000001</v>
      </c>
      <c r="AT19" s="20">
        <v>14.292946000000001</v>
      </c>
      <c r="AU19" s="20">
        <v>14.767726</v>
      </c>
      <c r="AV19" s="21">
        <v>14.611193</v>
      </c>
      <c r="AW19" s="5">
        <f t="shared" si="4"/>
        <v>-2.0016904999999987</v>
      </c>
      <c r="AX19" s="5">
        <v>11.90676689147949</v>
      </c>
      <c r="AY19" s="5">
        <v>11.838894844055179</v>
      </c>
      <c r="AZ19" s="22">
        <v>10.355598449707029</v>
      </c>
      <c r="BB19" s="5"/>
      <c r="BC19" s="19">
        <v>2.8430909999999998</v>
      </c>
      <c r="BD19" s="20">
        <v>2.7863820000000001</v>
      </c>
      <c r="BE19" s="20">
        <v>2.8514602</v>
      </c>
      <c r="BF19" s="21">
        <v>2.816503</v>
      </c>
      <c r="BG19" s="5">
        <f t="shared" si="5"/>
        <v>-1.2019980000000263E-2</v>
      </c>
      <c r="BH19" s="5">
        <v>1.724635004997253</v>
      </c>
      <c r="BI19" s="5">
        <v>2.1212871074676518</v>
      </c>
      <c r="BJ19" s="22">
        <v>1.534243226051331</v>
      </c>
      <c r="BL19" s="5"/>
      <c r="BM19" s="19">
        <v>2.7158617999999999</v>
      </c>
      <c r="BN19" s="20">
        <v>2.9865637</v>
      </c>
      <c r="BO19" s="20">
        <v>3.176914</v>
      </c>
      <c r="BP19" s="21">
        <v>2.9402363</v>
      </c>
      <c r="BQ19" s="5">
        <f t="shared" si="6"/>
        <v>0.29065279999999971</v>
      </c>
      <c r="BR19" s="5">
        <v>2.6822226047515869</v>
      </c>
      <c r="BS19" s="5">
        <v>6.499781608581543</v>
      </c>
      <c r="BT19" s="22">
        <v>3.6755771636962891</v>
      </c>
      <c r="BV19" s="5"/>
      <c r="BW19" s="19">
        <v>4.8783573999999996</v>
      </c>
      <c r="BX19" s="20">
        <v>4.976394</v>
      </c>
      <c r="BY19" s="20">
        <v>6.0113554000000002</v>
      </c>
      <c r="BZ19" s="21">
        <v>5.1003356000000002</v>
      </c>
      <c r="CA19" s="5">
        <f t="shared" si="7"/>
        <v>-0.31569460000000049</v>
      </c>
      <c r="CB19" s="5">
        <v>1.366233348846436</v>
      </c>
      <c r="CC19" s="5">
        <v>1.598024845123291</v>
      </c>
      <c r="CD19" s="22">
        <v>1.1205699443817141</v>
      </c>
      <c r="CG19">
        <v>1.509201765060425</v>
      </c>
      <c r="CH19">
        <v>1.556315541267395</v>
      </c>
      <c r="CI19">
        <v>1.48686158657074</v>
      </c>
      <c r="CL19">
        <v>1.619891881942749</v>
      </c>
      <c r="CM19">
        <v>1.800543069839478</v>
      </c>
      <c r="CN19">
        <v>1.123385548591614</v>
      </c>
    </row>
    <row r="20" spans="1:92" x14ac:dyDescent="0.25">
      <c r="A20" s="38"/>
      <c r="B20" s="5">
        <v>8</v>
      </c>
      <c r="C20" s="18">
        <v>36</v>
      </c>
      <c r="E20" s="19">
        <v>89.291510000000002</v>
      </c>
      <c r="F20" s="20">
        <v>89.445400000000006</v>
      </c>
      <c r="G20" s="20">
        <v>89.196520000000007</v>
      </c>
      <c r="H20" s="21">
        <v>88.811499999999995</v>
      </c>
      <c r="I20" s="5">
        <f t="shared" si="0"/>
        <v>0.46971789999999203</v>
      </c>
      <c r="J20" s="5">
        <f t="shared" ref="J20:K22" si="8">IF(OR(F20="",F20="NaN"),"",F20-AVERAGE(F$13:F$22))</f>
        <v>4.6980999999988171E-2</v>
      </c>
      <c r="K20" s="5">
        <f t="shared" si="8"/>
        <v>0.24168790000000229</v>
      </c>
      <c r="L20" s="22">
        <v>84.413139343261719</v>
      </c>
      <c r="M20" s="5"/>
      <c r="N20" s="5"/>
      <c r="O20" s="19">
        <v>54.460647999999999</v>
      </c>
      <c r="P20" s="20">
        <v>54.625003999999997</v>
      </c>
      <c r="Q20" s="20">
        <v>54.165509999999998</v>
      </c>
      <c r="R20" s="21">
        <v>53.767879999999998</v>
      </c>
      <c r="S20" s="5">
        <f t="shared" si="1"/>
        <v>-0.34543180000000007</v>
      </c>
      <c r="T20" s="5">
        <f t="shared" ref="T20:U22" si="9">IF(OR(P20="",P20="NaN"),"",P20-AVERAGE(P$13:P$22))</f>
        <v>-0.84347939999999255</v>
      </c>
      <c r="U20" s="5">
        <f t="shared" si="9"/>
        <v>-0.37668609999999347</v>
      </c>
      <c r="V20" s="22">
        <v>72.402732849121094</v>
      </c>
      <c r="W20" s="5"/>
      <c r="X20" s="5"/>
      <c r="Y20" s="19">
        <v>9.6680709999999994</v>
      </c>
      <c r="Z20" s="20">
        <v>9.7340975000000007</v>
      </c>
      <c r="AA20" s="20">
        <v>9.7906669999999991</v>
      </c>
      <c r="AB20" s="21">
        <v>9.9389889999999994</v>
      </c>
      <c r="AC20" s="5">
        <f t="shared" si="2"/>
        <v>-0.11457300000000004</v>
      </c>
      <c r="AD20" s="5">
        <f t="shared" ref="AD20:AE22" si="10">IF(OR(Z20="",Z20="NaN"),"",Z20-AVERAGE(Z$13:Z$22))</f>
        <v>-0.13839275000000129</v>
      </c>
      <c r="AE20" s="5">
        <f t="shared" si="10"/>
        <v>-0.57346149999999874</v>
      </c>
      <c r="AF20" s="22">
        <v>10.220132827758791</v>
      </c>
      <c r="AG20" s="5"/>
      <c r="AH20" s="5"/>
      <c r="AI20" s="19">
        <v>6.9346969999999999</v>
      </c>
      <c r="AJ20" s="20">
        <v>6.8979340000000002</v>
      </c>
      <c r="AK20" s="20">
        <v>7.0322433000000002</v>
      </c>
      <c r="AL20" s="21">
        <v>7.0014624999999997</v>
      </c>
      <c r="AM20" s="5">
        <f t="shared" si="3"/>
        <v>-0.24035096999999972</v>
      </c>
      <c r="AN20" s="5">
        <f t="shared" ref="AN20:AO22" si="11">IF(OR(AJ20="",AJ20="NaN"),"",AJ20-AVERAGE(AJ$13:AJ$22))</f>
        <v>-1.3325030000000737E-2</v>
      </c>
      <c r="AO20" s="5">
        <f t="shared" si="11"/>
        <v>-7.9901040000000201E-2</v>
      </c>
      <c r="AP20" s="22">
        <v>6.5714364051818848</v>
      </c>
      <c r="AR20" s="5"/>
      <c r="AS20" s="19">
        <v>18.447141999999999</v>
      </c>
      <c r="AT20" s="20">
        <v>18.330475</v>
      </c>
      <c r="AU20" s="20">
        <v>18.527432999999998</v>
      </c>
      <c r="AV20" s="21">
        <v>18.259094000000001</v>
      </c>
      <c r="AW20" s="5">
        <f t="shared" si="4"/>
        <v>2.0987594999999999</v>
      </c>
      <c r="AX20" s="5">
        <f t="shared" ref="AX20:AY22" si="12">IF(OR(AT20="",AT20="NaN"),"",AT20-AVERAGE(AT$13:AT$22))</f>
        <v>2.1032657000000015</v>
      </c>
      <c r="AY20" s="5">
        <f t="shared" si="12"/>
        <v>1.7670919000000005</v>
      </c>
      <c r="AZ20" s="22">
        <v>9.7523403167724592</v>
      </c>
      <c r="BB20" s="5"/>
      <c r="BC20" s="19">
        <v>2.8651822</v>
      </c>
      <c r="BD20" s="20">
        <v>2.8566191000000001</v>
      </c>
      <c r="BE20" s="20">
        <v>2.8577118000000001</v>
      </c>
      <c r="BF20" s="21">
        <v>2.8651822</v>
      </c>
      <c r="BG20" s="5">
        <f t="shared" si="5"/>
        <v>1.0071219999999936E-2</v>
      </c>
      <c r="BH20" s="5">
        <f t="shared" ref="BH20:BI22" si="13">IF(OR(BD20="",BD20="NaN"),"",BD20-AVERAGE(BD$13:BD$22))</f>
        <v>3.4288690000000344E-2</v>
      </c>
      <c r="BI20" s="5">
        <f t="shared" si="13"/>
        <v>-6.1353799999994685E-3</v>
      </c>
      <c r="BJ20" s="22">
        <v>1.534243226051331</v>
      </c>
      <c r="BL20" s="5"/>
      <c r="BM20" s="19">
        <v>2.1100091999999999</v>
      </c>
      <c r="BN20" s="20">
        <v>2.0655714999999999</v>
      </c>
      <c r="BO20" s="20">
        <v>2.2167431999999998</v>
      </c>
      <c r="BP20" s="21">
        <v>1.9098474999999999</v>
      </c>
      <c r="BQ20" s="5">
        <f t="shared" si="6"/>
        <v>-0.31519980000000025</v>
      </c>
      <c r="BR20" s="5">
        <f t="shared" ref="BR20:BS22" si="14">IF(OR(BN20="",BN20="NaN"),"",BN20-AVERAGE(BN$13:BN$22))</f>
        <v>-0.39252087000000024</v>
      </c>
      <c r="BS20" s="5">
        <f t="shared" si="14"/>
        <v>-0.45893326000000023</v>
      </c>
      <c r="BT20" s="22">
        <v>5.3310890197753906</v>
      </c>
      <c r="BV20" s="5"/>
      <c r="BW20" s="19">
        <v>5.5586019999999996</v>
      </c>
      <c r="BX20" s="20">
        <v>5.1184900000000004</v>
      </c>
      <c r="BY20" s="20">
        <v>5.8748465000000003</v>
      </c>
      <c r="BZ20" s="21">
        <v>5.4585657000000003</v>
      </c>
      <c r="CA20" s="5">
        <f t="shared" si="7"/>
        <v>0.36454999999999949</v>
      </c>
      <c r="CB20" s="5">
        <f t="shared" ref="CB20:CC22" si="15">IF(OR(BX20="",BX20="NaN"),"",BX20-AVERAGE(BX$13:BX$22))</f>
        <v>0.11456484000000078</v>
      </c>
      <c r="CC20" s="5">
        <f t="shared" si="15"/>
        <v>5.7228829999998787E-2</v>
      </c>
      <c r="CD20" s="22">
        <v>1.241000652313232</v>
      </c>
      <c r="CI20">
        <v>1.433537364006042</v>
      </c>
      <c r="CN20">
        <v>1.2841030359268191</v>
      </c>
    </row>
    <row r="21" spans="1:92" x14ac:dyDescent="0.25">
      <c r="A21" s="38"/>
      <c r="B21" s="5">
        <v>9</v>
      </c>
      <c r="C21" s="18">
        <v>41</v>
      </c>
      <c r="E21" s="19">
        <v>88.480890000000002</v>
      </c>
      <c r="F21" s="20">
        <v>89.363470000000007</v>
      </c>
      <c r="G21" s="20">
        <v>89.009704999999997</v>
      </c>
      <c r="H21" s="21">
        <v>89.48066</v>
      </c>
      <c r="I21" s="5">
        <f t="shared" si="0"/>
        <v>-0.34090210000000809</v>
      </c>
      <c r="J21" s="5">
        <f t="shared" si="8"/>
        <v>-3.4949000000011665E-2</v>
      </c>
      <c r="K21" s="5">
        <f t="shared" si="8"/>
        <v>5.4872899999992342E-2</v>
      </c>
      <c r="L21" s="22">
        <v>83.84271240234375</v>
      </c>
      <c r="M21" s="5"/>
      <c r="N21" s="5"/>
      <c r="O21" s="19">
        <v>55.450429999999997</v>
      </c>
      <c r="P21" s="20">
        <v>56.338818000000003</v>
      </c>
      <c r="Q21" s="20">
        <v>55.345806000000003</v>
      </c>
      <c r="R21" s="21">
        <v>55.242899999999999</v>
      </c>
      <c r="S21" s="5">
        <f t="shared" si="1"/>
        <v>0.6443501999999981</v>
      </c>
      <c r="T21" s="5">
        <f t="shared" si="9"/>
        <v>0.87033460000001384</v>
      </c>
      <c r="U21" s="5">
        <f t="shared" si="9"/>
        <v>0.80360990000001209</v>
      </c>
      <c r="V21" s="22">
        <v>72.330459594726563</v>
      </c>
      <c r="W21" s="5"/>
      <c r="X21" s="5"/>
      <c r="Y21" s="19">
        <v>9.9613259999999997</v>
      </c>
      <c r="Z21" s="20">
        <v>9.9934919999999998</v>
      </c>
      <c r="AA21" s="20">
        <v>11.202057999999999</v>
      </c>
      <c r="AB21" s="21">
        <v>10.065733</v>
      </c>
      <c r="AC21" s="5">
        <f t="shared" si="2"/>
        <v>0.17868200000000023</v>
      </c>
      <c r="AD21" s="5">
        <f t="shared" si="10"/>
        <v>0.1210017499999978</v>
      </c>
      <c r="AE21" s="5">
        <f t="shared" si="10"/>
        <v>0.83792950000000133</v>
      </c>
      <c r="AF21" s="22">
        <v>9.6805706024169922</v>
      </c>
      <c r="AG21" s="5"/>
      <c r="AH21" s="5"/>
      <c r="AI21" s="19">
        <v>7.3213480000000004</v>
      </c>
      <c r="AJ21" s="20">
        <v>7.0341395999999996</v>
      </c>
      <c r="AK21" s="20">
        <v>7.0908493999999997</v>
      </c>
      <c r="AL21" s="21">
        <v>7.1300296999999997</v>
      </c>
      <c r="AM21" s="5">
        <f t="shared" si="3"/>
        <v>0.1463000300000008</v>
      </c>
      <c r="AN21" s="5">
        <f t="shared" si="11"/>
        <v>0.12288056999999863</v>
      </c>
      <c r="AO21" s="5">
        <f t="shared" si="11"/>
        <v>-2.1294940000000651E-2</v>
      </c>
      <c r="AP21" s="22">
        <v>6.4893760681152344</v>
      </c>
      <c r="AR21" s="5"/>
      <c r="AS21" s="19">
        <v>14.323214999999999</v>
      </c>
      <c r="AT21" s="20">
        <v>14.429913000000001</v>
      </c>
      <c r="AU21" s="20">
        <v>15.246073000000001</v>
      </c>
      <c r="AV21" s="21">
        <v>14.561256</v>
      </c>
      <c r="AW21" s="5">
        <f t="shared" si="4"/>
        <v>-2.0251675000000002</v>
      </c>
      <c r="AX21" s="5">
        <f t="shared" si="12"/>
        <v>-1.7972962999999975</v>
      </c>
      <c r="AY21" s="5">
        <f t="shared" si="12"/>
        <v>-1.5142680999999971</v>
      </c>
      <c r="AZ21" s="22">
        <v>10.234462738037109</v>
      </c>
      <c r="BB21" s="5"/>
      <c r="BC21" s="19">
        <v>2.8430909999999998</v>
      </c>
      <c r="BD21" s="20">
        <v>2.7863820000000001</v>
      </c>
      <c r="BE21" s="20">
        <v>2.9012587000000001</v>
      </c>
      <c r="BF21" s="21">
        <v>2.8397925000000002</v>
      </c>
      <c r="BG21" s="5">
        <f t="shared" si="5"/>
        <v>-1.2019980000000263E-2</v>
      </c>
      <c r="BH21" s="5">
        <f t="shared" si="13"/>
        <v>-3.5948409999999598E-2</v>
      </c>
      <c r="BI21" s="5">
        <f t="shared" si="13"/>
        <v>3.7411520000000476E-2</v>
      </c>
      <c r="BJ21" s="22">
        <v>1.5404659509658809</v>
      </c>
      <c r="BL21" s="5"/>
      <c r="BM21" s="19">
        <v>2.7000896999999999</v>
      </c>
      <c r="BN21" s="20">
        <v>2.9722726000000002</v>
      </c>
      <c r="BO21" s="20">
        <v>3.2371411000000001</v>
      </c>
      <c r="BP21" s="21">
        <v>2.9119866000000001</v>
      </c>
      <c r="BQ21" s="5">
        <f t="shared" si="6"/>
        <v>0.27488069999999976</v>
      </c>
      <c r="BR21" s="5">
        <f t="shared" si="14"/>
        <v>0.51418023000000002</v>
      </c>
      <c r="BS21" s="5">
        <f t="shared" si="14"/>
        <v>0.56146464000000007</v>
      </c>
      <c r="BT21" s="22">
        <v>4.1098618507385254</v>
      </c>
      <c r="BV21" s="5"/>
      <c r="BW21" s="19">
        <v>4.8558434999999998</v>
      </c>
      <c r="BX21" s="20">
        <v>4.8461879999999997</v>
      </c>
      <c r="BY21" s="20">
        <v>5.7896694999999996</v>
      </c>
      <c r="BZ21" s="21">
        <v>5.2891529999999998</v>
      </c>
      <c r="CA21" s="5">
        <f t="shared" si="7"/>
        <v>-0.33820850000000036</v>
      </c>
      <c r="CB21" s="5">
        <f t="shared" si="15"/>
        <v>-0.15773715999999993</v>
      </c>
      <c r="CC21" s="5">
        <f t="shared" si="15"/>
        <v>-2.7948170000001937E-2</v>
      </c>
      <c r="CD21" s="22">
        <v>1.2159533500671389</v>
      </c>
      <c r="CI21">
        <v>1.3437720537185669</v>
      </c>
      <c r="CN21">
        <v>1.1671692132949829</v>
      </c>
    </row>
    <row r="22" spans="1:92" x14ac:dyDescent="0.25">
      <c r="A22" s="39"/>
      <c r="B22" s="23">
        <v>10</v>
      </c>
      <c r="C22" s="24">
        <v>46</v>
      </c>
      <c r="E22" s="25">
        <v>89.119774000000007</v>
      </c>
      <c r="F22" s="26">
        <v>88.996894999999995</v>
      </c>
      <c r="G22" s="26">
        <v>88.791679999999999</v>
      </c>
      <c r="H22" s="27">
        <v>88.947159999999997</v>
      </c>
      <c r="I22" s="23">
        <f t="shared" si="0"/>
        <v>0.29798189999999636</v>
      </c>
      <c r="J22" s="23">
        <f t="shared" si="8"/>
        <v>-0.40152400000002331</v>
      </c>
      <c r="K22" s="23">
        <f t="shared" si="8"/>
        <v>-0.16315210000000491</v>
      </c>
      <c r="L22" s="28">
        <v>84.094032287597656</v>
      </c>
      <c r="M22" s="5"/>
      <c r="N22" s="5"/>
      <c r="O22" s="25">
        <v>54.481377000000002</v>
      </c>
      <c r="P22" s="26">
        <v>54.557569999999998</v>
      </c>
      <c r="Q22" s="26">
        <v>53.93009</v>
      </c>
      <c r="R22" s="27">
        <v>53.823166000000001</v>
      </c>
      <c r="S22" s="23">
        <f t="shared" si="1"/>
        <v>-0.32470279999999718</v>
      </c>
      <c r="T22" s="23">
        <f t="shared" si="9"/>
        <v>-0.91091339999999121</v>
      </c>
      <c r="U22" s="23">
        <f t="shared" si="9"/>
        <v>-0.61210609999999122</v>
      </c>
      <c r="V22" s="28">
        <v>72.294036865234375</v>
      </c>
      <c r="W22" s="5"/>
      <c r="X22" s="5"/>
      <c r="Y22" s="25">
        <v>9.7394099999999995</v>
      </c>
      <c r="Z22" s="26">
        <v>9.9178700000000006</v>
      </c>
      <c r="AA22" s="26">
        <v>9.9197489999999995</v>
      </c>
      <c r="AB22" s="27">
        <v>9.7068150000000006</v>
      </c>
      <c r="AC22" s="23">
        <f t="shared" si="2"/>
        <v>-4.3233999999999995E-2</v>
      </c>
      <c r="AD22" s="23">
        <f t="shared" si="10"/>
        <v>4.5379749999998609E-2</v>
      </c>
      <c r="AE22" s="23">
        <f t="shared" si="10"/>
        <v>-0.44437949999999837</v>
      </c>
      <c r="AF22" s="28">
        <v>10.746468544006349</v>
      </c>
      <c r="AG22" s="5"/>
      <c r="AH22" s="5"/>
      <c r="AI22" s="25">
        <v>6.8969899999999997</v>
      </c>
      <c r="AJ22" s="26">
        <v>6.9117610000000003</v>
      </c>
      <c r="AK22" s="26">
        <v>7.1065379999999996</v>
      </c>
      <c r="AL22" s="27">
        <v>6.8905554000000002</v>
      </c>
      <c r="AM22" s="23">
        <f t="shared" si="3"/>
        <v>-0.27805796999999988</v>
      </c>
      <c r="AN22" s="23">
        <f t="shared" si="11"/>
        <v>5.0196999999929659E-4</v>
      </c>
      <c r="AO22" s="23">
        <f t="shared" si="11"/>
        <v>-5.6063400000008201E-3</v>
      </c>
      <c r="AP22" s="28">
        <v>6.7489418983459473</v>
      </c>
      <c r="AR22" s="5"/>
      <c r="AS22" s="25">
        <v>18.30181</v>
      </c>
      <c r="AT22" s="26">
        <v>18.181068</v>
      </c>
      <c r="AU22" s="26">
        <v>18.633312</v>
      </c>
      <c r="AV22" s="27">
        <v>18.298752</v>
      </c>
      <c r="AW22" s="23">
        <f t="shared" si="4"/>
        <v>1.9534275000000001</v>
      </c>
      <c r="AX22" s="23">
        <f t="shared" si="12"/>
        <v>1.9538587000000014</v>
      </c>
      <c r="AY22" s="23">
        <f t="shared" si="12"/>
        <v>1.8729709000000021</v>
      </c>
      <c r="AZ22" s="28">
        <v>9.6568489074707031</v>
      </c>
      <c r="BB22" s="5"/>
      <c r="BC22" s="25">
        <v>2.8628179999999999</v>
      </c>
      <c r="BD22" s="26">
        <v>2.8667954999999998</v>
      </c>
      <c r="BE22" s="26">
        <v>2.8651513999999998</v>
      </c>
      <c r="BF22" s="27">
        <v>2.8597739999999998</v>
      </c>
      <c r="BG22" s="23">
        <f t="shared" si="5"/>
        <v>7.7070199999997868E-3</v>
      </c>
      <c r="BH22" s="23">
        <f t="shared" si="13"/>
        <v>4.4465090000000096E-2</v>
      </c>
      <c r="BI22" s="23">
        <f t="shared" si="13"/>
        <v>1.3042200000001891E-3</v>
      </c>
      <c r="BJ22" s="28">
        <v>1.547007083892822</v>
      </c>
      <c r="BL22" s="5"/>
      <c r="BM22" s="25">
        <v>2.0573497000000001</v>
      </c>
      <c r="BN22" s="26">
        <v>2.0362303000000002</v>
      </c>
      <c r="BO22" s="26">
        <v>2.7435448</v>
      </c>
      <c r="BP22" s="27">
        <v>1.9288026</v>
      </c>
      <c r="BQ22" s="23">
        <f t="shared" si="6"/>
        <v>-0.36785930000000011</v>
      </c>
      <c r="BR22" s="23">
        <f t="shared" si="14"/>
        <v>-0.42186206999999998</v>
      </c>
      <c r="BS22" s="23">
        <f t="shared" si="14"/>
        <v>6.7868339999999971E-2</v>
      </c>
      <c r="BT22" s="28">
        <v>5.0623183250427246</v>
      </c>
      <c r="BV22" s="5"/>
      <c r="BW22" s="25">
        <v>5.2141289999999998</v>
      </c>
      <c r="BX22" s="26">
        <v>5.1459400000000004</v>
      </c>
      <c r="BY22" s="26">
        <v>5.5614314</v>
      </c>
      <c r="BZ22" s="27">
        <v>5.4032216000000002</v>
      </c>
      <c r="CA22" s="23">
        <f t="shared" si="7"/>
        <v>2.0076999999999678E-2</v>
      </c>
      <c r="CB22" s="23">
        <f t="shared" si="15"/>
        <v>0.14201484000000075</v>
      </c>
      <c r="CC22" s="23">
        <f t="shared" si="15"/>
        <v>-0.25618627000000149</v>
      </c>
      <c r="CD22" s="28">
        <v>1.315123558044434</v>
      </c>
      <c r="CI22">
        <v>1.411273241043091</v>
      </c>
      <c r="CN22">
        <v>1.393185496330261</v>
      </c>
    </row>
    <row r="23" spans="1:92" x14ac:dyDescent="0.25">
      <c r="A23" s="37">
        <v>2</v>
      </c>
      <c r="B23" s="12">
        <v>1</v>
      </c>
      <c r="C23" s="13">
        <v>2</v>
      </c>
      <c r="E23" s="14">
        <v>86.621979999999994</v>
      </c>
      <c r="F23" s="15">
        <v>86.937126000000006</v>
      </c>
      <c r="G23" s="15">
        <v>86.186809999999994</v>
      </c>
      <c r="H23" s="16">
        <v>87.392949999999999</v>
      </c>
      <c r="I23" s="12">
        <f t="shared" ref="I23:I32" si="16">IF(OR(E23="",E23="NaN"),"",E23-AVERAGE(E$23:E$32))</f>
        <v>-0.41139200000002063</v>
      </c>
      <c r="J23" s="12">
        <f t="shared" ref="J23:J32" si="17">IF(OR(F23="",F23="NaN"),"",F23-AVERAGE(F$23:F$32))</f>
        <v>-0.68789569999998434</v>
      </c>
      <c r="K23" s="12">
        <f t="shared" ref="K23:K32" si="18">IF(OR(G23="",G23="NaN"),"",G23-AVERAGE(G$23:G$32))</f>
        <v>-1.0886818999999974</v>
      </c>
      <c r="L23" s="17">
        <v>83.877418518066406</v>
      </c>
      <c r="M23" s="5"/>
      <c r="N23" s="5"/>
      <c r="O23" s="14">
        <v>50.402630000000002</v>
      </c>
      <c r="P23" s="15">
        <v>50.607329999999997</v>
      </c>
      <c r="Q23" s="15">
        <v>51.932340000000003</v>
      </c>
      <c r="R23" s="16">
        <v>50.024918</v>
      </c>
      <c r="S23" s="12">
        <f t="shared" ref="S23:S32" si="19">IF(OR(O23="",O23="NaN"),"",O23-AVERAGE(O$23:O$32))</f>
        <v>-1.1383222999999987</v>
      </c>
      <c r="T23" s="12">
        <f t="shared" ref="T23:T32" si="20">IF(OR(P23="",P23="NaN"),"",P23-AVERAGE(P$23:P$32))</f>
        <v>-0.31000850000000924</v>
      </c>
      <c r="U23" s="12">
        <f t="shared" ref="U23:U32" si="21">IF(OR(Q23="",Q23="NaN"),"",Q23-AVERAGE(Q$23:Q$32))</f>
        <v>-0.13269669999998968</v>
      </c>
      <c r="V23" s="17">
        <v>72.096611022949219</v>
      </c>
      <c r="W23" s="5"/>
      <c r="X23" s="5"/>
      <c r="Y23" s="14">
        <v>13.99034</v>
      </c>
      <c r="Z23" s="15">
        <v>15.122821999999999</v>
      </c>
      <c r="AA23" s="15">
        <v>15.229457</v>
      </c>
      <c r="AB23" s="16">
        <v>14.647233</v>
      </c>
      <c r="AC23" s="12">
        <f t="shared" ref="AC23:AC32" si="22">IF(OR(Y23="",Y23="NaN"),"",Y23-AVERAGE(Y$23:Y$32))</f>
        <v>-1.3109067999999979</v>
      </c>
      <c r="AD23" s="12">
        <f t="shared" ref="AD23:AD32" si="23">IF(OR(Z23="",Z23="NaN"),"",Z23-AVERAGE(Z$23:Z$32))</f>
        <v>0.35199990000000092</v>
      </c>
      <c r="AE23" s="12">
        <f t="shared" ref="AE23:AE32" si="24">IF(OR(AA23="",AA23="NaN"),"",AA23-AVERAGE(AA$23:AA$32))</f>
        <v>-0.76239920000000083</v>
      </c>
      <c r="AF23" s="17">
        <v>9.5764408111572283</v>
      </c>
      <c r="AG23" s="5"/>
      <c r="AH23" s="5"/>
      <c r="AI23" s="14">
        <v>6.5174989999999999</v>
      </c>
      <c r="AJ23" s="15">
        <v>6.6213829999999998</v>
      </c>
      <c r="AK23" s="15">
        <v>6.4214276999999997</v>
      </c>
      <c r="AL23" s="16">
        <v>6.5689845</v>
      </c>
      <c r="AM23" s="12">
        <f t="shared" ref="AM23:AM32" si="25">IF(OR(AI23="",AI23="NaN"),"",AI23-AVERAGE(AI$23:AI$32))</f>
        <v>0.14408054999999909</v>
      </c>
      <c r="AN23" s="12">
        <f t="shared" ref="AN23:AN32" si="26">IF(OR(AJ23="",AJ23="NaN"),"",AJ23-AVERAGE(AJ$23:AJ$32))</f>
        <v>-0.12605739999999965</v>
      </c>
      <c r="AO23" s="12">
        <f t="shared" ref="AO23:AO32" si="27">IF(OR(AK23="",AK23="NaN"),"",AK23-AVERAGE(AK$23:AK$32))</f>
        <v>-0.23307817000000153</v>
      </c>
      <c r="AP23" s="17">
        <v>6.950617790222168</v>
      </c>
      <c r="AR23" s="5"/>
      <c r="AS23" s="14">
        <v>20.026160000000001</v>
      </c>
      <c r="AT23" s="15">
        <v>19.947351000000001</v>
      </c>
      <c r="AU23" s="15">
        <v>20.334323999999999</v>
      </c>
      <c r="AV23" s="16">
        <v>19.983702000000001</v>
      </c>
      <c r="AW23" s="12">
        <f t="shared" ref="AW23:AW32" si="28">IF(OR(AS23="",AS23="NaN"),"",AS23-AVERAGE(AS$23:AS$32))</f>
        <v>-5.2678700000004852E-2</v>
      </c>
      <c r="AX23" s="12">
        <f t="shared" ref="AX23:AX32" si="29">IF(OR(AT23="",AT23="NaN"),"",AT23-AVERAGE(AT$23:AT$32))</f>
        <v>0.1232135999999997</v>
      </c>
      <c r="AY23" s="12">
        <f t="shared" ref="AY23:AY32" si="30">IF(OR(AU23="",AU23="NaN"),"",AU23-AVERAGE(AU$23:AU$32))</f>
        <v>0.68772569999999789</v>
      </c>
      <c r="AZ23" s="17">
        <v>9.1681613922119141</v>
      </c>
      <c r="BB23" s="5"/>
      <c r="BC23" s="14">
        <v>3.3383093000000001</v>
      </c>
      <c r="BD23" s="15">
        <v>3.2796940000000001</v>
      </c>
      <c r="BE23" s="15">
        <v>3.3304695999999998</v>
      </c>
      <c r="BF23" s="16">
        <v>3.3477929999999998</v>
      </c>
      <c r="BG23" s="12">
        <f t="shared" ref="BG23:BG32" si="31">IF(OR(BC23="",BC23="NaN"),"",BC23-AVERAGE(BC$23:BC$32))</f>
        <v>-0.80256605999999975</v>
      </c>
      <c r="BH23" s="12">
        <f t="shared" ref="BH23:BH32" si="32">IF(OR(BD23="",BD23="NaN"),"",BD23-AVERAGE(BD$23:BD$32))</f>
        <v>-0.10236259000000025</v>
      </c>
      <c r="BI23" s="12">
        <f t="shared" ref="BI23:BI32" si="33">IF(OR(BE23="",BE23="NaN"),"",BE23-AVERAGE(BE$23:BE$32))</f>
        <v>-0.57780531999999951</v>
      </c>
      <c r="BJ23" s="17">
        <v>1.5534571409225459</v>
      </c>
      <c r="BL23" s="5"/>
      <c r="BM23" s="14">
        <v>2.5985035999999999</v>
      </c>
      <c r="BN23" s="15">
        <v>3.8814137</v>
      </c>
      <c r="BO23" s="15">
        <v>3.1014688000000001</v>
      </c>
      <c r="BP23" s="16">
        <v>3.6510055000000001</v>
      </c>
      <c r="BQ23" s="12">
        <f t="shared" ref="BQ23:BQ32" si="34">IF(OR(BM23="",BM23="NaN"),"",BM23-AVERAGE(BM$23:BM$32))</f>
        <v>-5.3722155600000017</v>
      </c>
      <c r="BR23" s="12">
        <f t="shared" ref="BR23:BR32" si="35">IF(OR(BN23="",BN23="NaN"),"",BN23-AVERAGE(BN$23:BN$32))</f>
        <v>-0.35146483999999978</v>
      </c>
      <c r="BS23" s="12">
        <f t="shared" ref="BS23:BS32" si="36">IF(OR(BO23="",BO23="NaN"),"",BO23-AVERAGE(BO$23:BO$32))</f>
        <v>-4.6644606099999999</v>
      </c>
      <c r="BT23" s="17">
        <v>4.1242623329162598</v>
      </c>
      <c r="BV23" s="5"/>
      <c r="BW23" s="14">
        <v>5.3698015000000003</v>
      </c>
      <c r="BX23" s="15">
        <v>4.9440239999999998</v>
      </c>
      <c r="BY23" s="15">
        <v>5.1145579999999997</v>
      </c>
      <c r="BZ23" s="16">
        <v>4.9196834999999997</v>
      </c>
      <c r="CA23" s="12">
        <f t="shared" ref="CA23:CA32" si="37">IF(OR(BW23="",BW23="NaN"),"",BW23-AVERAGE(BW$23:BW$32))</f>
        <v>1.0059850000000203E-2</v>
      </c>
      <c r="CB23" s="12">
        <f t="shared" ref="CB23:CB32" si="38">IF(OR(BX23="",BX23="NaN"),"",BX23-AVERAGE(BX$23:BX$32))</f>
        <v>0.18703259999999933</v>
      </c>
      <c r="CC23" s="12">
        <f t="shared" ref="CC23:CC32" si="39">IF(OR(BY23="",BY23="NaN"),"",BY23-AVERAGE(BY$23:BY$32))</f>
        <v>3.198843999999923E-2</v>
      </c>
      <c r="CD23" s="17">
        <v>1.1910765171051021</v>
      </c>
      <c r="CI23">
        <v>1.898577928543091</v>
      </c>
      <c r="CN23">
        <v>1.5140019655227659</v>
      </c>
    </row>
    <row r="24" spans="1:92" x14ac:dyDescent="0.25">
      <c r="A24" s="38"/>
      <c r="B24" s="5">
        <v>2</v>
      </c>
      <c r="C24" s="18">
        <v>7</v>
      </c>
      <c r="E24" s="19">
        <v>86.840670000000003</v>
      </c>
      <c r="F24" s="20">
        <v>87.384674000000004</v>
      </c>
      <c r="G24" s="20">
        <v>86.387375000000006</v>
      </c>
      <c r="H24" s="21">
        <v>88.117000000000004</v>
      </c>
      <c r="I24" s="5">
        <f t="shared" si="16"/>
        <v>-0.19270200000001125</v>
      </c>
      <c r="J24" s="5">
        <f t="shared" si="17"/>
        <v>-0.24034769999998673</v>
      </c>
      <c r="K24" s="5">
        <f t="shared" si="18"/>
        <v>-0.88811689999998578</v>
      </c>
      <c r="L24" s="22">
        <v>83.612510681152344</v>
      </c>
      <c r="M24" s="5"/>
      <c r="N24" s="5"/>
      <c r="O24" s="19">
        <v>51.943049999999999</v>
      </c>
      <c r="P24" s="20">
        <v>52.109940000000002</v>
      </c>
      <c r="Q24" s="20">
        <v>52.063319999999997</v>
      </c>
      <c r="R24" s="21">
        <v>50.671368000000001</v>
      </c>
      <c r="S24" s="5">
        <f t="shared" si="19"/>
        <v>0.40209769999999878</v>
      </c>
      <c r="T24" s="5">
        <f t="shared" si="20"/>
        <v>1.192601499999995</v>
      </c>
      <c r="U24" s="5">
        <f t="shared" si="21"/>
        <v>-1.7166999999957966E-3</v>
      </c>
      <c r="V24" s="22">
        <v>72.5230712890625</v>
      </c>
      <c r="W24" s="5"/>
      <c r="X24" s="5"/>
      <c r="Y24" s="19">
        <v>15.901247</v>
      </c>
      <c r="Z24" s="20">
        <v>15.111954000000001</v>
      </c>
      <c r="AA24" s="20">
        <v>17.331903000000001</v>
      </c>
      <c r="AB24" s="21">
        <v>14.401501</v>
      </c>
      <c r="AC24" s="5">
        <f t="shared" si="22"/>
        <v>0.60000020000000198</v>
      </c>
      <c r="AD24" s="5">
        <f t="shared" si="23"/>
        <v>0.34113190000000237</v>
      </c>
      <c r="AE24" s="5">
        <f t="shared" si="24"/>
        <v>1.3400467999999996</v>
      </c>
      <c r="AF24" s="22">
        <v>9.8516111373901367</v>
      </c>
      <c r="AG24" s="5"/>
      <c r="AH24" s="5"/>
      <c r="AI24" s="19">
        <v>6.2967029999999999</v>
      </c>
      <c r="AJ24" s="20">
        <v>6.6239660000000002</v>
      </c>
      <c r="AK24" s="20">
        <v>6.4318365999999996</v>
      </c>
      <c r="AL24" s="21">
        <v>6.6856384000000002</v>
      </c>
      <c r="AM24" s="5">
        <f t="shared" si="25"/>
        <v>-7.6715450000000907E-2</v>
      </c>
      <c r="AN24" s="5">
        <f t="shared" si="26"/>
        <v>-0.12347439999999921</v>
      </c>
      <c r="AO24" s="5">
        <f t="shared" si="27"/>
        <v>-0.2226692700000017</v>
      </c>
      <c r="AP24" s="22">
        <v>6.4325990676879883</v>
      </c>
      <c r="AR24" s="5"/>
      <c r="AS24" s="19">
        <v>20.323156000000001</v>
      </c>
      <c r="AT24" s="20">
        <v>19.799885</v>
      </c>
      <c r="AU24" s="20">
        <v>20.334323999999999</v>
      </c>
      <c r="AV24" s="21">
        <v>19.983702000000001</v>
      </c>
      <c r="AW24" s="5">
        <f t="shared" si="28"/>
        <v>0.24431729999999519</v>
      </c>
      <c r="AX24" s="5">
        <f t="shared" si="29"/>
        <v>-2.4252400000001728E-2</v>
      </c>
      <c r="AY24" s="5">
        <f t="shared" si="30"/>
        <v>0.68772569999999789</v>
      </c>
      <c r="AZ24" s="22">
        <v>9.8413009643554688</v>
      </c>
      <c r="BB24" s="5"/>
      <c r="BC24" s="19">
        <v>4.4736750000000001</v>
      </c>
      <c r="BD24" s="20">
        <v>3.4257336</v>
      </c>
      <c r="BE24" s="20">
        <v>4.3717984999999997</v>
      </c>
      <c r="BF24" s="21">
        <v>3.3675456000000001</v>
      </c>
      <c r="BG24" s="5">
        <f t="shared" si="31"/>
        <v>0.33279964000000017</v>
      </c>
      <c r="BH24" s="5">
        <f t="shared" si="32"/>
        <v>4.3677009999999683E-2</v>
      </c>
      <c r="BI24" s="5">
        <f t="shared" si="33"/>
        <v>0.46352358000000038</v>
      </c>
      <c r="BJ24" s="22">
        <v>1.530761122703552</v>
      </c>
      <c r="BL24" s="5"/>
      <c r="BM24" s="19">
        <v>9.6457940000000004</v>
      </c>
      <c r="BN24" s="20">
        <v>3.3628490000000002</v>
      </c>
      <c r="BO24" s="20">
        <v>9.52623</v>
      </c>
      <c r="BP24" s="21">
        <v>2.4351585</v>
      </c>
      <c r="BQ24" s="5">
        <f t="shared" si="34"/>
        <v>1.6750748399999988</v>
      </c>
      <c r="BR24" s="5">
        <f t="shared" si="35"/>
        <v>-0.87002953999999955</v>
      </c>
      <c r="BS24" s="5">
        <f t="shared" si="36"/>
        <v>1.7603005899999999</v>
      </c>
      <c r="BT24" s="22">
        <v>3.9358978271484379</v>
      </c>
      <c r="BV24" s="5"/>
      <c r="BW24" s="19">
        <v>5.4034614999999997</v>
      </c>
      <c r="BX24" s="20">
        <v>4.7873080000000003</v>
      </c>
      <c r="BY24" s="20">
        <v>5.1471539999999996</v>
      </c>
      <c r="BZ24" s="21">
        <v>4.7854749999999999</v>
      </c>
      <c r="CA24" s="5">
        <f t="shared" si="37"/>
        <v>4.371984999999956E-2</v>
      </c>
      <c r="CB24" s="5">
        <f t="shared" si="38"/>
        <v>3.0316599999999916E-2</v>
      </c>
      <c r="CC24" s="5">
        <f t="shared" si="39"/>
        <v>6.4584439999999077E-2</v>
      </c>
      <c r="CD24" s="22">
        <v>1.120856046676636</v>
      </c>
      <c r="CI24">
        <v>1.8098682165145881</v>
      </c>
      <c r="CN24">
        <v>1.184213399887085</v>
      </c>
    </row>
    <row r="25" spans="1:92" x14ac:dyDescent="0.25">
      <c r="A25" s="38"/>
      <c r="B25" s="5">
        <v>3</v>
      </c>
      <c r="C25" s="18">
        <v>12</v>
      </c>
      <c r="E25" s="19">
        <v>86.951139999999995</v>
      </c>
      <c r="F25" s="20">
        <v>86.934259999999995</v>
      </c>
      <c r="G25" s="20">
        <v>86.747029999999995</v>
      </c>
      <c r="H25" s="21">
        <v>86.771193999999994</v>
      </c>
      <c r="I25" s="5">
        <f t="shared" si="16"/>
        <v>-8.2232000000018957E-2</v>
      </c>
      <c r="J25" s="5">
        <f t="shared" si="17"/>
        <v>-0.69076169999999593</v>
      </c>
      <c r="K25" s="5">
        <f t="shared" si="18"/>
        <v>-0.52846189999999638</v>
      </c>
      <c r="L25" s="22">
        <v>83.48504638671875</v>
      </c>
      <c r="M25" s="5"/>
      <c r="N25" s="5"/>
      <c r="O25" s="19">
        <v>51.8444</v>
      </c>
      <c r="P25" s="20">
        <v>52.083365999999998</v>
      </c>
      <c r="Q25" s="20">
        <v>52.09413</v>
      </c>
      <c r="R25" s="21">
        <v>50.910072</v>
      </c>
      <c r="S25" s="5">
        <f t="shared" si="19"/>
        <v>0.30344769999999954</v>
      </c>
      <c r="T25" s="5">
        <f t="shared" si="20"/>
        <v>1.1660274999999913</v>
      </c>
      <c r="U25" s="5">
        <f t="shared" si="21"/>
        <v>2.909330000000665E-2</v>
      </c>
      <c r="V25" s="22">
        <v>72.365554809570313</v>
      </c>
      <c r="W25" s="5"/>
      <c r="X25" s="5"/>
      <c r="Y25" s="19">
        <v>16.114070000000002</v>
      </c>
      <c r="Z25" s="20">
        <v>14.274867</v>
      </c>
      <c r="AA25" s="20">
        <v>14.724862999999999</v>
      </c>
      <c r="AB25" s="21">
        <v>14.240850999999999</v>
      </c>
      <c r="AC25" s="5">
        <f t="shared" si="22"/>
        <v>0.81282320000000396</v>
      </c>
      <c r="AD25" s="5">
        <f t="shared" si="23"/>
        <v>-0.49595509999999798</v>
      </c>
      <c r="AE25" s="5">
        <f t="shared" si="24"/>
        <v>-1.2669932000000017</v>
      </c>
      <c r="AF25" s="22">
        <v>9.4408035278320313</v>
      </c>
      <c r="AG25" s="5"/>
      <c r="AH25" s="5"/>
      <c r="AI25" s="19">
        <v>6.5947769999999997</v>
      </c>
      <c r="AJ25" s="20">
        <v>6.5399136999999996</v>
      </c>
      <c r="AK25" s="20">
        <v>6.5234484999999998</v>
      </c>
      <c r="AL25" s="21">
        <v>6.5859585000000003</v>
      </c>
      <c r="AM25" s="5">
        <f t="shared" si="25"/>
        <v>0.22135854999999882</v>
      </c>
      <c r="AN25" s="5">
        <f t="shared" si="26"/>
        <v>-0.20752669999999984</v>
      </c>
      <c r="AO25" s="5">
        <f t="shared" si="27"/>
        <v>-0.13105737000000151</v>
      </c>
      <c r="AP25" s="22">
        <v>6.4983706474304199</v>
      </c>
      <c r="AR25" s="5"/>
      <c r="AS25" s="19">
        <v>20.335940000000001</v>
      </c>
      <c r="AT25" s="20">
        <v>20.245155</v>
      </c>
      <c r="AU25" s="20">
        <v>17.639675</v>
      </c>
      <c r="AV25" s="21">
        <v>20.3203</v>
      </c>
      <c r="AW25" s="5">
        <f t="shared" si="28"/>
        <v>0.25710129999999509</v>
      </c>
      <c r="AX25" s="5">
        <f t="shared" si="29"/>
        <v>0.42101759999999899</v>
      </c>
      <c r="AY25" s="5">
        <f t="shared" si="30"/>
        <v>-2.0069233000000004</v>
      </c>
      <c r="AZ25" s="22">
        <v>10.00447940826416</v>
      </c>
      <c r="BB25" s="5"/>
      <c r="BC25" s="19">
        <v>4.3721456999999999</v>
      </c>
      <c r="BD25" s="20">
        <v>3.3579143999999999</v>
      </c>
      <c r="BE25" s="20">
        <v>3.3571710000000001</v>
      </c>
      <c r="BF25" s="21">
        <v>3.3628821000000002</v>
      </c>
      <c r="BG25" s="5">
        <f t="shared" si="31"/>
        <v>0.23127034000000002</v>
      </c>
      <c r="BH25" s="5">
        <f t="shared" si="32"/>
        <v>-2.4142190000000507E-2</v>
      </c>
      <c r="BI25" s="5">
        <f t="shared" si="33"/>
        <v>-0.55110391999999919</v>
      </c>
      <c r="BJ25" s="22">
        <v>1.543917775154114</v>
      </c>
      <c r="BL25" s="5"/>
      <c r="BM25" s="19">
        <v>6.5816809999999997</v>
      </c>
      <c r="BN25" s="20">
        <v>2.7189622</v>
      </c>
      <c r="BO25" s="20">
        <v>3.0185759999999999</v>
      </c>
      <c r="BP25" s="21">
        <v>2.9841055999999999</v>
      </c>
      <c r="BQ25" s="5">
        <f t="shared" si="34"/>
        <v>-1.3890381600000019</v>
      </c>
      <c r="BR25" s="5">
        <f t="shared" si="35"/>
        <v>-1.5139163399999997</v>
      </c>
      <c r="BS25" s="5">
        <f t="shared" si="36"/>
        <v>-4.7473534100000006</v>
      </c>
      <c r="BT25" s="22">
        <v>4.1139559745788574</v>
      </c>
      <c r="BV25" s="5"/>
      <c r="BW25" s="19">
        <v>5.3653655000000002</v>
      </c>
      <c r="BX25" s="20">
        <v>4.9148126000000003</v>
      </c>
      <c r="BY25" s="20">
        <v>5.0989389999999997</v>
      </c>
      <c r="BZ25" s="21">
        <v>4.9940553000000003</v>
      </c>
      <c r="CA25" s="5">
        <f t="shared" si="37"/>
        <v>5.6238500000000968E-3</v>
      </c>
      <c r="CB25" s="5">
        <f t="shared" si="38"/>
        <v>0.15782119999999988</v>
      </c>
      <c r="CC25" s="5">
        <f t="shared" si="39"/>
        <v>1.636943999999918E-2</v>
      </c>
      <c r="CD25" s="22">
        <v>1.1951556205749509</v>
      </c>
      <c r="CI25">
        <v>1.94743812084198</v>
      </c>
      <c r="CN25">
        <v>1.2195637226104741</v>
      </c>
    </row>
    <row r="26" spans="1:92" x14ac:dyDescent="0.25">
      <c r="A26" s="38"/>
      <c r="B26" s="5">
        <v>4</v>
      </c>
      <c r="C26" s="18">
        <v>17</v>
      </c>
      <c r="E26" s="19">
        <v>86.816400000000002</v>
      </c>
      <c r="F26" s="20">
        <v>87.771500000000003</v>
      </c>
      <c r="G26" s="20">
        <v>87.406459999999996</v>
      </c>
      <c r="H26" s="21">
        <v>87.674064999999999</v>
      </c>
      <c r="I26" s="5">
        <f t="shared" si="16"/>
        <v>-0.2169720000000126</v>
      </c>
      <c r="J26" s="5">
        <f t="shared" si="17"/>
        <v>0.1464783000000125</v>
      </c>
      <c r="K26" s="5">
        <f t="shared" si="18"/>
        <v>0.13096810000000403</v>
      </c>
      <c r="L26" s="22">
        <v>83.985702514648438</v>
      </c>
      <c r="M26" s="5"/>
      <c r="N26" s="5"/>
      <c r="O26" s="19">
        <v>51.877147999999998</v>
      </c>
      <c r="P26" s="20">
        <v>50.459400000000002</v>
      </c>
      <c r="Q26" s="20">
        <v>52.081719999999997</v>
      </c>
      <c r="R26" s="21">
        <v>50.412044999999999</v>
      </c>
      <c r="S26" s="5">
        <f t="shared" si="19"/>
        <v>0.33619569999999754</v>
      </c>
      <c r="T26" s="5">
        <f t="shared" si="20"/>
        <v>-0.45793850000000447</v>
      </c>
      <c r="U26" s="5">
        <f t="shared" si="21"/>
        <v>1.6683300000003953E-2</v>
      </c>
      <c r="V26" s="22">
        <v>72.241020202636719</v>
      </c>
      <c r="W26" s="5"/>
      <c r="X26" s="5"/>
      <c r="Y26" s="19">
        <v>15.883528</v>
      </c>
      <c r="Z26" s="20">
        <v>14.041366</v>
      </c>
      <c r="AA26" s="20">
        <v>16.811178000000002</v>
      </c>
      <c r="AB26" s="21">
        <v>14.647323999999999</v>
      </c>
      <c r="AC26" s="5">
        <f t="shared" si="22"/>
        <v>0.58228120000000239</v>
      </c>
      <c r="AD26" s="5">
        <f t="shared" si="23"/>
        <v>-0.72945609999999839</v>
      </c>
      <c r="AE26" s="5">
        <f t="shared" si="24"/>
        <v>0.81932180000000088</v>
      </c>
      <c r="AF26" s="22">
        <v>9.0462112426757795</v>
      </c>
      <c r="AG26" s="5"/>
      <c r="AH26" s="5"/>
      <c r="AI26" s="19">
        <v>6.1543922000000002</v>
      </c>
      <c r="AJ26" s="20">
        <v>6.9139685999999996</v>
      </c>
      <c r="AK26" s="20">
        <v>6.6346083</v>
      </c>
      <c r="AL26" s="21">
        <v>6.8424469999999999</v>
      </c>
      <c r="AM26" s="5">
        <f t="shared" si="25"/>
        <v>-0.21902625000000064</v>
      </c>
      <c r="AN26" s="5">
        <f t="shared" si="26"/>
        <v>0.16652820000000013</v>
      </c>
      <c r="AO26" s="5">
        <f t="shared" si="27"/>
        <v>-1.9897570000001252E-2</v>
      </c>
      <c r="AP26" s="22">
        <v>6.3125429153442383</v>
      </c>
      <c r="AR26" s="5"/>
      <c r="AS26" s="19">
        <v>20.011654</v>
      </c>
      <c r="AT26" s="20">
        <v>19.683713999999998</v>
      </c>
      <c r="AU26" s="20">
        <v>20.243433</v>
      </c>
      <c r="AV26" s="21">
        <v>19.792411999999999</v>
      </c>
      <c r="AW26" s="5">
        <f t="shared" si="28"/>
        <v>-6.7184700000005648E-2</v>
      </c>
      <c r="AX26" s="5">
        <f t="shared" si="29"/>
        <v>-0.14042340000000308</v>
      </c>
      <c r="AY26" s="5">
        <f t="shared" si="30"/>
        <v>0.59683469999999872</v>
      </c>
      <c r="AZ26" s="22">
        <v>9.6831407546997088</v>
      </c>
      <c r="BB26" s="5"/>
      <c r="BC26" s="19">
        <v>4.4808339999999998</v>
      </c>
      <c r="BD26" s="20">
        <v>3.3814592000000001</v>
      </c>
      <c r="BE26" s="20">
        <v>4.4316409999999999</v>
      </c>
      <c r="BF26" s="21">
        <v>3.3063950000000002</v>
      </c>
      <c r="BG26" s="5">
        <f t="shared" si="31"/>
        <v>0.33995863999999987</v>
      </c>
      <c r="BH26" s="5">
        <f t="shared" si="32"/>
        <v>-5.97390000000253E-4</v>
      </c>
      <c r="BI26" s="5">
        <f t="shared" si="33"/>
        <v>0.52336608000000062</v>
      </c>
      <c r="BJ26" s="22">
        <v>1.638410687446594</v>
      </c>
      <c r="BL26" s="5"/>
      <c r="BM26" s="19">
        <v>9.6780919999999995</v>
      </c>
      <c r="BN26" s="20">
        <v>4.2866035</v>
      </c>
      <c r="BO26" s="20">
        <v>10.099216</v>
      </c>
      <c r="BP26" s="21">
        <v>3.5813887000000002</v>
      </c>
      <c r="BQ26" s="5">
        <f t="shared" si="34"/>
        <v>1.7073728399999979</v>
      </c>
      <c r="BR26" s="5">
        <f t="shared" si="35"/>
        <v>5.3724960000000266E-2</v>
      </c>
      <c r="BS26" s="5">
        <f t="shared" si="36"/>
        <v>2.3332865900000002</v>
      </c>
      <c r="BT26" s="22">
        <v>3.654746294021606</v>
      </c>
      <c r="BV26" s="5"/>
      <c r="BW26" s="19">
        <v>5.455946</v>
      </c>
      <c r="BX26" s="20">
        <v>4.7025129999999997</v>
      </c>
      <c r="BY26" s="20">
        <v>5.0257350000000001</v>
      </c>
      <c r="BZ26" s="21">
        <v>4.637753</v>
      </c>
      <c r="CA26" s="5">
        <f t="shared" si="37"/>
        <v>9.6204349999999828E-2</v>
      </c>
      <c r="CB26" s="5">
        <f t="shared" si="38"/>
        <v>-5.4478400000000704E-2</v>
      </c>
      <c r="CC26" s="5">
        <f t="shared" si="39"/>
        <v>-5.6834560000000423E-2</v>
      </c>
      <c r="CD26" s="22">
        <v>1.157731294631958</v>
      </c>
      <c r="CI26">
        <v>2.0559735298156738</v>
      </c>
      <c r="CN26">
        <v>1.163065552711487</v>
      </c>
    </row>
    <row r="27" spans="1:92" x14ac:dyDescent="0.25">
      <c r="A27" s="38"/>
      <c r="B27" s="5">
        <v>5</v>
      </c>
      <c r="C27" s="18">
        <v>22</v>
      </c>
      <c r="E27" s="19">
        <v>86.883030000000005</v>
      </c>
      <c r="F27" s="20">
        <v>87.881225999999998</v>
      </c>
      <c r="G27" s="20">
        <v>87.229920000000007</v>
      </c>
      <c r="H27" s="21">
        <v>87.419070000000005</v>
      </c>
      <c r="I27" s="5">
        <f t="shared" si="16"/>
        <v>-0.15034200000000908</v>
      </c>
      <c r="J27" s="5">
        <f t="shared" si="17"/>
        <v>0.25620430000000738</v>
      </c>
      <c r="K27" s="5">
        <f t="shared" si="18"/>
        <v>-4.5571899999984566E-2</v>
      </c>
      <c r="L27" s="22">
        <v>83.802452087402344</v>
      </c>
      <c r="M27" s="5"/>
      <c r="N27" s="5"/>
      <c r="O27" s="19">
        <v>51.219673</v>
      </c>
      <c r="P27" s="20">
        <v>50.086914</v>
      </c>
      <c r="Q27" s="20">
        <v>51.910789999999999</v>
      </c>
      <c r="R27" s="21">
        <v>49.824370000000002</v>
      </c>
      <c r="S27" s="5">
        <f t="shared" si="19"/>
        <v>-0.32127930000000049</v>
      </c>
      <c r="T27" s="5">
        <f t="shared" si="20"/>
        <v>-0.83042450000000656</v>
      </c>
      <c r="U27" s="5">
        <f t="shared" si="21"/>
        <v>-0.15424669999999452</v>
      </c>
      <c r="V27" s="22">
        <v>72.175743103027344</v>
      </c>
      <c r="W27" s="5"/>
      <c r="X27" s="5"/>
      <c r="Y27" s="19">
        <v>15.529475</v>
      </c>
      <c r="Z27" s="20">
        <v>14.997745</v>
      </c>
      <c r="AA27" s="20">
        <v>13.595356000000001</v>
      </c>
      <c r="AB27" s="21">
        <v>14.947032999999999</v>
      </c>
      <c r="AC27" s="5">
        <f t="shared" si="22"/>
        <v>0.22822820000000199</v>
      </c>
      <c r="AD27" s="5">
        <f t="shared" si="23"/>
        <v>0.2269229000000017</v>
      </c>
      <c r="AE27" s="5">
        <f t="shared" si="24"/>
        <v>-2.3965002000000002</v>
      </c>
      <c r="AF27" s="22">
        <v>10.69502639770508</v>
      </c>
      <c r="AG27" s="5"/>
      <c r="AH27" s="5"/>
      <c r="AI27" s="19">
        <v>6.3835645000000003</v>
      </c>
      <c r="AJ27" s="20">
        <v>6.6639359999999996</v>
      </c>
      <c r="AK27" s="20">
        <v>6.6820874000000003</v>
      </c>
      <c r="AL27" s="21">
        <v>6.8380413000000004</v>
      </c>
      <c r="AM27" s="5">
        <f t="shared" si="25"/>
        <v>1.0146049999999462E-2</v>
      </c>
      <c r="AN27" s="5">
        <f t="shared" si="26"/>
        <v>-8.3504399999999812E-2</v>
      </c>
      <c r="AO27" s="5">
        <f t="shared" si="27"/>
        <v>2.7581529999999077E-2</v>
      </c>
      <c r="AP27" s="22">
        <v>6.6585006713867188</v>
      </c>
      <c r="AR27" s="5"/>
      <c r="AS27" s="19">
        <v>20.024436999999999</v>
      </c>
      <c r="AT27" s="20">
        <v>19.834612</v>
      </c>
      <c r="AU27" s="20">
        <v>20.332602000000001</v>
      </c>
      <c r="AV27" s="21">
        <v>19.983702000000001</v>
      </c>
      <c r="AW27" s="5">
        <f t="shared" si="28"/>
        <v>-5.440170000000677E-2</v>
      </c>
      <c r="AX27" s="5">
        <f t="shared" si="29"/>
        <v>1.0474599999998446E-2</v>
      </c>
      <c r="AY27" s="5">
        <f t="shared" si="30"/>
        <v>0.68600370000000055</v>
      </c>
      <c r="AZ27" s="22">
        <v>8.8936071395874023</v>
      </c>
      <c r="BB27" s="5"/>
      <c r="BC27" s="19">
        <v>4.3441850000000004</v>
      </c>
      <c r="BD27" s="20">
        <v>3.3063950000000002</v>
      </c>
      <c r="BE27" s="20">
        <v>3.4920773999999999</v>
      </c>
      <c r="BF27" s="21">
        <v>3.3477929999999998</v>
      </c>
      <c r="BG27" s="5">
        <f t="shared" si="31"/>
        <v>0.20330964000000051</v>
      </c>
      <c r="BH27" s="5">
        <f t="shared" si="32"/>
        <v>-7.5661590000000167E-2</v>
      </c>
      <c r="BI27" s="5">
        <f t="shared" si="33"/>
        <v>-0.41619751999999943</v>
      </c>
      <c r="BJ27" s="22">
        <v>1.647276759147644</v>
      </c>
      <c r="BL27" s="5"/>
      <c r="BM27" s="19">
        <v>9.563974</v>
      </c>
      <c r="BN27" s="20">
        <v>4.1274566999999998</v>
      </c>
      <c r="BO27" s="20">
        <v>5.6362348000000004</v>
      </c>
      <c r="BP27" s="21">
        <v>3.1425846000000002</v>
      </c>
      <c r="BQ27" s="5">
        <f t="shared" si="34"/>
        <v>1.5932548399999984</v>
      </c>
      <c r="BR27" s="5">
        <f t="shared" si="35"/>
        <v>-0.10542183999999999</v>
      </c>
      <c r="BS27" s="5">
        <f t="shared" si="36"/>
        <v>-2.1296946099999996</v>
      </c>
      <c r="BT27" s="22">
        <v>4.7411298751831046</v>
      </c>
      <c r="BV27" s="5"/>
      <c r="BW27" s="19">
        <v>5.3017180000000002</v>
      </c>
      <c r="BX27" s="20">
        <v>4.7279625000000003</v>
      </c>
      <c r="BY27" s="20">
        <v>5.1915930000000001</v>
      </c>
      <c r="BZ27" s="21">
        <v>4.9024669999999997</v>
      </c>
      <c r="CA27" s="5">
        <f t="shared" si="37"/>
        <v>-5.8023649999999982E-2</v>
      </c>
      <c r="CB27" s="5">
        <f t="shared" si="38"/>
        <v>-2.9028900000000135E-2</v>
      </c>
      <c r="CC27" s="5">
        <f t="shared" si="39"/>
        <v>0.10902343999999964</v>
      </c>
      <c r="CD27" s="22">
        <v>1.257280826568604</v>
      </c>
      <c r="CI27">
        <v>1.654712915420532</v>
      </c>
      <c r="CN27">
        <v>1.1630899906158449</v>
      </c>
    </row>
    <row r="28" spans="1:92" x14ac:dyDescent="0.25">
      <c r="A28" s="38"/>
      <c r="B28" s="5">
        <v>6</v>
      </c>
      <c r="C28" s="18">
        <v>27</v>
      </c>
      <c r="E28" s="19">
        <v>87.317679999999996</v>
      </c>
      <c r="F28" s="20">
        <v>87.903660000000002</v>
      </c>
      <c r="G28" s="20">
        <v>88.151269999999997</v>
      </c>
      <c r="H28" s="21">
        <v>87.986980000000003</v>
      </c>
      <c r="I28" s="5">
        <f t="shared" si="16"/>
        <v>0.28430799999998158</v>
      </c>
      <c r="J28" s="5">
        <f t="shared" si="17"/>
        <v>0.27863830000001144</v>
      </c>
      <c r="K28" s="5">
        <f t="shared" si="18"/>
        <v>0.87577810000000511</v>
      </c>
      <c r="L28" s="22">
        <v>83.532272338867188</v>
      </c>
      <c r="M28" s="5"/>
      <c r="N28" s="5"/>
      <c r="O28" s="19">
        <v>51.337600000000002</v>
      </c>
      <c r="P28" s="20">
        <v>50.399757000000001</v>
      </c>
      <c r="Q28" s="20">
        <v>52.253970000000002</v>
      </c>
      <c r="R28" s="21">
        <v>50.324359999999999</v>
      </c>
      <c r="S28" s="5">
        <f t="shared" si="19"/>
        <v>-0.20335229999999882</v>
      </c>
      <c r="T28" s="5">
        <f t="shared" si="20"/>
        <v>-0.51758150000000569</v>
      </c>
      <c r="U28" s="5">
        <f t="shared" si="21"/>
        <v>0.1889333000000093</v>
      </c>
      <c r="V28" s="22">
        <v>72.562583923339844</v>
      </c>
      <c r="W28" s="5"/>
      <c r="X28" s="5"/>
      <c r="Y28" s="19">
        <v>16.57443</v>
      </c>
      <c r="Z28" s="20">
        <v>15.030799</v>
      </c>
      <c r="AA28" s="20">
        <v>17.349160999999999</v>
      </c>
      <c r="AB28" s="21">
        <v>14.261708</v>
      </c>
      <c r="AC28" s="5">
        <f t="shared" si="22"/>
        <v>1.2731832000000018</v>
      </c>
      <c r="AD28" s="5">
        <f t="shared" si="23"/>
        <v>0.25997690000000162</v>
      </c>
      <c r="AE28" s="5">
        <f t="shared" si="24"/>
        <v>1.3573047999999979</v>
      </c>
      <c r="AF28" s="22">
        <v>9.7459526062011719</v>
      </c>
      <c r="AG28" s="5"/>
      <c r="AH28" s="5"/>
      <c r="AI28" s="19">
        <v>6.3635893000000001</v>
      </c>
      <c r="AJ28" s="20">
        <v>7.0966525000000003</v>
      </c>
      <c r="AK28" s="20">
        <v>6.8992763000000004</v>
      </c>
      <c r="AL28" s="21">
        <v>7.2972260000000002</v>
      </c>
      <c r="AM28" s="5">
        <f t="shared" si="25"/>
        <v>-9.8291500000007304E-3</v>
      </c>
      <c r="AN28" s="5">
        <f t="shared" si="26"/>
        <v>0.3492121000000008</v>
      </c>
      <c r="AO28" s="5">
        <f t="shared" si="27"/>
        <v>0.2447704299999991</v>
      </c>
      <c r="AP28" s="22">
        <v>6.4853081703186044</v>
      </c>
      <c r="AR28" s="5"/>
      <c r="AS28" s="19">
        <v>19.816438999999999</v>
      </c>
      <c r="AT28" s="20">
        <v>19.498632000000001</v>
      </c>
      <c r="AU28" s="20">
        <v>19.653013000000001</v>
      </c>
      <c r="AV28" s="21">
        <v>19.412320999999999</v>
      </c>
      <c r="AW28" s="5">
        <f t="shared" si="28"/>
        <v>-0.26239970000000667</v>
      </c>
      <c r="AX28" s="5">
        <f t="shared" si="29"/>
        <v>-0.32550540000000083</v>
      </c>
      <c r="AY28" s="5">
        <f t="shared" si="30"/>
        <v>6.4147000000005505E-3</v>
      </c>
      <c r="AZ28" s="22">
        <v>10.022305488586429</v>
      </c>
      <c r="BB28" s="5"/>
      <c r="BC28" s="19">
        <v>4.4309260000000004</v>
      </c>
      <c r="BD28" s="20">
        <v>3.4582663</v>
      </c>
      <c r="BE28" s="20">
        <v>4.4615874</v>
      </c>
      <c r="BF28" s="21">
        <v>3.3600235000000001</v>
      </c>
      <c r="BG28" s="5">
        <f t="shared" si="31"/>
        <v>0.29005064000000047</v>
      </c>
      <c r="BH28" s="5">
        <f t="shared" si="32"/>
        <v>7.6209709999999653E-2</v>
      </c>
      <c r="BI28" s="5">
        <f t="shared" si="33"/>
        <v>0.55331248000000066</v>
      </c>
      <c r="BJ28" s="22">
        <v>1.543917775154114</v>
      </c>
      <c r="BL28" s="5"/>
      <c r="BM28" s="19">
        <v>10.097115000000001</v>
      </c>
      <c r="BN28" s="20">
        <v>5.0200414999999996</v>
      </c>
      <c r="BO28" s="20">
        <v>11.671044</v>
      </c>
      <c r="BP28" s="21">
        <v>3.8296975999999998</v>
      </c>
      <c r="BQ28" s="5">
        <f t="shared" si="34"/>
        <v>2.1263958399999989</v>
      </c>
      <c r="BR28" s="5">
        <f t="shared" si="35"/>
        <v>0.78716295999999986</v>
      </c>
      <c r="BS28" s="5">
        <f t="shared" si="36"/>
        <v>3.9051145900000002</v>
      </c>
      <c r="BT28" s="22">
        <v>4.4458980560302734</v>
      </c>
      <c r="BV28" s="5"/>
      <c r="BW28" s="19">
        <v>5.4149830000000003</v>
      </c>
      <c r="BX28" s="20">
        <v>4.6541829999999997</v>
      </c>
      <c r="BY28" s="20">
        <v>4.9086639999999999</v>
      </c>
      <c r="BZ28" s="21">
        <v>4.6047105999999998</v>
      </c>
      <c r="CA28" s="5">
        <f t="shared" si="37"/>
        <v>5.5241350000000189E-2</v>
      </c>
      <c r="CB28" s="5">
        <f t="shared" si="38"/>
        <v>-0.10280840000000069</v>
      </c>
      <c r="CC28" s="5">
        <f t="shared" si="39"/>
        <v>-0.17390556000000057</v>
      </c>
      <c r="CD28" s="22">
        <v>1.1401717662811279</v>
      </c>
      <c r="CI28">
        <v>1.9006891250610349</v>
      </c>
      <c r="CN28">
        <v>1.75727391242981</v>
      </c>
    </row>
    <row r="29" spans="1:92" x14ac:dyDescent="0.25">
      <c r="A29" s="38"/>
      <c r="B29" s="5">
        <v>7</v>
      </c>
      <c r="C29" s="18">
        <v>32</v>
      </c>
      <c r="E29" s="19">
        <v>87.036519999999996</v>
      </c>
      <c r="F29" s="20">
        <v>87.835629999999995</v>
      </c>
      <c r="G29" s="20">
        <v>87.214950000000002</v>
      </c>
      <c r="H29" s="21">
        <v>87.897329999999997</v>
      </c>
      <c r="I29" s="5">
        <f t="shared" si="16"/>
        <v>3.147999999981721E-3</v>
      </c>
      <c r="J29" s="5">
        <f t="shared" si="17"/>
        <v>0.21060830000000408</v>
      </c>
      <c r="K29" s="5">
        <f t="shared" si="18"/>
        <v>-6.0541899999989823E-2</v>
      </c>
      <c r="L29" s="22">
        <v>85.006271362304688</v>
      </c>
      <c r="M29" s="5"/>
      <c r="N29" s="5"/>
      <c r="O29" s="19">
        <v>51.774292000000003</v>
      </c>
      <c r="P29" s="20">
        <v>50.39067</v>
      </c>
      <c r="Q29" s="20">
        <v>51.951304999999998</v>
      </c>
      <c r="R29" s="21">
        <v>50.140509999999999</v>
      </c>
      <c r="S29" s="5">
        <f t="shared" si="19"/>
        <v>0.23333970000000193</v>
      </c>
      <c r="T29" s="5">
        <f t="shared" si="20"/>
        <v>-0.52666850000000665</v>
      </c>
      <c r="U29" s="5">
        <f t="shared" si="21"/>
        <v>-0.11373169999999533</v>
      </c>
      <c r="V29" s="22">
        <v>72.430953979492188</v>
      </c>
      <c r="W29" s="5"/>
      <c r="X29" s="5"/>
      <c r="Y29" s="19">
        <v>13.420133</v>
      </c>
      <c r="Z29" s="20">
        <v>14.826964</v>
      </c>
      <c r="AA29" s="20">
        <v>14.093495000000001</v>
      </c>
      <c r="AB29" s="21">
        <v>14.880069000000001</v>
      </c>
      <c r="AC29" s="5">
        <f t="shared" si="22"/>
        <v>-1.8811137999999978</v>
      </c>
      <c r="AD29" s="5">
        <f t="shared" si="23"/>
        <v>5.6141900000001854E-2</v>
      </c>
      <c r="AE29" s="5">
        <f t="shared" si="24"/>
        <v>-1.8983612000000001</v>
      </c>
      <c r="AF29" s="22">
        <v>9.7686004638671875</v>
      </c>
      <c r="AG29" s="5"/>
      <c r="AH29" s="5"/>
      <c r="AI29" s="19">
        <v>6.357272</v>
      </c>
      <c r="AJ29" s="20">
        <v>6.6693645000000004</v>
      </c>
      <c r="AK29" s="20">
        <v>6.6739480000000002</v>
      </c>
      <c r="AL29" s="21">
        <v>6.6945385999999996</v>
      </c>
      <c r="AM29" s="5">
        <f t="shared" si="25"/>
        <v>-1.6146450000000812E-2</v>
      </c>
      <c r="AN29" s="5">
        <f t="shared" si="26"/>
        <v>-7.8075899999999088E-2</v>
      </c>
      <c r="AO29" s="5">
        <f t="shared" si="27"/>
        <v>1.9442129999998947E-2</v>
      </c>
      <c r="AP29" s="22">
        <v>6.9649996757507324</v>
      </c>
      <c r="AR29" s="5"/>
      <c r="AS29" s="19">
        <v>20.040194</v>
      </c>
      <c r="AT29" s="20">
        <v>19.834612</v>
      </c>
      <c r="AU29" s="20">
        <v>20.334323999999999</v>
      </c>
      <c r="AV29" s="21">
        <v>20.267479999999999</v>
      </c>
      <c r="AW29" s="5">
        <f t="shared" si="28"/>
        <v>-3.8644700000006083E-2</v>
      </c>
      <c r="AX29" s="5">
        <f t="shared" si="29"/>
        <v>1.0474599999998446E-2</v>
      </c>
      <c r="AY29" s="5">
        <f t="shared" si="30"/>
        <v>0.68772569999999789</v>
      </c>
      <c r="AZ29" s="22">
        <v>10.335701942443849</v>
      </c>
      <c r="BB29" s="5"/>
      <c r="BC29" s="19">
        <v>3.4990258000000001</v>
      </c>
      <c r="BD29" s="20">
        <v>3.3063950000000002</v>
      </c>
      <c r="BE29" s="20">
        <v>3.3304695999999998</v>
      </c>
      <c r="BF29" s="21">
        <v>3.3408446000000001</v>
      </c>
      <c r="BG29" s="5">
        <f t="shared" si="31"/>
        <v>-0.64184955999999982</v>
      </c>
      <c r="BH29" s="5">
        <f t="shared" si="32"/>
        <v>-7.5661590000000167E-2</v>
      </c>
      <c r="BI29" s="5">
        <f t="shared" si="33"/>
        <v>-0.57780531999999951</v>
      </c>
      <c r="BJ29" s="22">
        <v>1.517341613769531</v>
      </c>
      <c r="BL29" s="5"/>
      <c r="BM29" s="19">
        <v>5.4830965999999997</v>
      </c>
      <c r="BN29" s="20">
        <v>4.1143784999999999</v>
      </c>
      <c r="BO29" s="20">
        <v>5.9975405000000004</v>
      </c>
      <c r="BP29" s="21">
        <v>3.3159250999999998</v>
      </c>
      <c r="BQ29" s="5">
        <f t="shared" si="34"/>
        <v>-2.4876225600000019</v>
      </c>
      <c r="BR29" s="5">
        <f t="shared" si="35"/>
        <v>-0.11850003999999981</v>
      </c>
      <c r="BS29" s="5">
        <f t="shared" si="36"/>
        <v>-1.7683889099999996</v>
      </c>
      <c r="BT29" s="22">
        <v>6.5540618896484384</v>
      </c>
      <c r="BV29" s="5"/>
      <c r="BW29" s="19">
        <v>5.243525</v>
      </c>
      <c r="BX29" s="20">
        <v>4.6594353000000002</v>
      </c>
      <c r="BY29" s="20">
        <v>5.1346639999999999</v>
      </c>
      <c r="BZ29" s="21">
        <v>4.8473249999999997</v>
      </c>
      <c r="CA29" s="5">
        <f t="shared" si="37"/>
        <v>-0.11621665000000014</v>
      </c>
      <c r="CB29" s="5">
        <f t="shared" si="38"/>
        <v>-9.7556100000000257E-2</v>
      </c>
      <c r="CC29" s="5">
        <f t="shared" si="39"/>
        <v>5.2094439999999409E-2</v>
      </c>
      <c r="CD29" s="22">
        <v>1.287117123603821</v>
      </c>
      <c r="CI29">
        <v>2.14847731590271</v>
      </c>
      <c r="CN29">
        <v>1.3334993124008181</v>
      </c>
    </row>
    <row r="30" spans="1:92" x14ac:dyDescent="0.25">
      <c r="A30" s="38"/>
      <c r="B30" s="5">
        <v>8</v>
      </c>
      <c r="C30" s="18">
        <v>37</v>
      </c>
      <c r="E30" s="19">
        <v>87.055570000000003</v>
      </c>
      <c r="F30" s="20">
        <v>87.829445000000007</v>
      </c>
      <c r="G30" s="20">
        <v>87.50497</v>
      </c>
      <c r="H30" s="21">
        <v>88.712280000000007</v>
      </c>
      <c r="I30" s="5">
        <f t="shared" si="16"/>
        <v>2.2197999999988838E-2</v>
      </c>
      <c r="J30" s="5">
        <f t="shared" si="17"/>
        <v>0.20442330000001618</v>
      </c>
      <c r="K30" s="5">
        <f t="shared" si="18"/>
        <v>0.22947810000000857</v>
      </c>
      <c r="L30" s="22">
        <v>84.489425659179688</v>
      </c>
      <c r="M30" s="5"/>
      <c r="N30" s="5"/>
      <c r="O30" s="19">
        <v>51.911735999999998</v>
      </c>
      <c r="P30" s="20">
        <v>51.908169999999998</v>
      </c>
      <c r="Q30" s="20">
        <v>52.102449999999997</v>
      </c>
      <c r="R30" s="21">
        <v>51.071311999999999</v>
      </c>
      <c r="S30" s="5">
        <f t="shared" si="19"/>
        <v>0.37078369999999694</v>
      </c>
      <c r="T30" s="5">
        <f t="shared" si="20"/>
        <v>0.99083149999999165</v>
      </c>
      <c r="U30" s="5">
        <f t="shared" si="21"/>
        <v>3.7413300000004313E-2</v>
      </c>
      <c r="V30" s="22">
        <v>72.353988647460938</v>
      </c>
      <c r="W30" s="5"/>
      <c r="X30" s="5"/>
      <c r="Y30" s="19">
        <v>15.860334</v>
      </c>
      <c r="Z30" s="20">
        <v>14.470874</v>
      </c>
      <c r="AA30" s="20">
        <v>16.933584</v>
      </c>
      <c r="AB30" s="21">
        <v>14.433101000000001</v>
      </c>
      <c r="AC30" s="5">
        <f t="shared" si="22"/>
        <v>0.55908720000000223</v>
      </c>
      <c r="AD30" s="5">
        <f t="shared" si="23"/>
        <v>-0.29994809999999816</v>
      </c>
      <c r="AE30" s="5">
        <f t="shared" si="24"/>
        <v>0.94172779999999889</v>
      </c>
      <c r="AF30" s="22">
        <v>9.7417697906494141</v>
      </c>
      <c r="AG30" s="5"/>
      <c r="AH30" s="5"/>
      <c r="AI30" s="19">
        <v>6.2467879999999996</v>
      </c>
      <c r="AJ30" s="20">
        <v>6.9209303999999996</v>
      </c>
      <c r="AK30" s="20">
        <v>6.6699276000000003</v>
      </c>
      <c r="AL30" s="21">
        <v>6.6096525000000002</v>
      </c>
      <c r="AM30" s="5">
        <f t="shared" si="25"/>
        <v>-0.12663045000000128</v>
      </c>
      <c r="AN30" s="5">
        <f t="shared" si="26"/>
        <v>0.17349000000000014</v>
      </c>
      <c r="AO30" s="5">
        <f t="shared" si="27"/>
        <v>1.5421729999999023E-2</v>
      </c>
      <c r="AP30" s="22">
        <v>6.9776592254638672</v>
      </c>
      <c r="AR30" s="5"/>
      <c r="AS30" s="19">
        <v>20.323156000000001</v>
      </c>
      <c r="AT30" s="20">
        <v>19.799885</v>
      </c>
      <c r="AU30" s="20">
        <v>17.637953</v>
      </c>
      <c r="AV30" s="21">
        <v>19.983702000000001</v>
      </c>
      <c r="AW30" s="5">
        <f t="shared" si="28"/>
        <v>0.24431729999999519</v>
      </c>
      <c r="AX30" s="5">
        <f t="shared" si="29"/>
        <v>-2.4252400000001728E-2</v>
      </c>
      <c r="AY30" s="5">
        <f t="shared" si="30"/>
        <v>-2.0086453000000013</v>
      </c>
      <c r="AZ30" s="22">
        <v>9.9864950180053729</v>
      </c>
      <c r="BB30" s="5"/>
      <c r="BC30" s="19">
        <v>4.4736750000000001</v>
      </c>
      <c r="BD30" s="20">
        <v>3.4938104000000001</v>
      </c>
      <c r="BE30" s="20">
        <v>4.5154776999999999</v>
      </c>
      <c r="BF30" s="21">
        <v>3.3779265999999999</v>
      </c>
      <c r="BG30" s="5">
        <f t="shared" si="31"/>
        <v>0.33279964000000017</v>
      </c>
      <c r="BH30" s="5">
        <f t="shared" si="32"/>
        <v>0.11175380999999973</v>
      </c>
      <c r="BI30" s="5">
        <f t="shared" si="33"/>
        <v>0.60720278000000061</v>
      </c>
      <c r="BJ30" s="22">
        <v>1.6349333524703979</v>
      </c>
      <c r="BL30" s="5"/>
      <c r="BM30" s="19">
        <v>9.8157739999999993</v>
      </c>
      <c r="BN30" s="20">
        <v>3.7461674</v>
      </c>
      <c r="BO30" s="20">
        <v>9.6154449999999994</v>
      </c>
      <c r="BP30" s="21">
        <v>3.2013029999999998</v>
      </c>
      <c r="BQ30" s="5">
        <f t="shared" si="34"/>
        <v>1.8450548399999978</v>
      </c>
      <c r="BR30" s="5">
        <f t="shared" si="35"/>
        <v>-0.48671113999999971</v>
      </c>
      <c r="BS30" s="5">
        <f t="shared" si="36"/>
        <v>1.8495155899999993</v>
      </c>
      <c r="BT30" s="22">
        <v>5.9315619468688956</v>
      </c>
      <c r="BV30" s="5"/>
      <c r="BW30" s="19">
        <v>5.3956390000000001</v>
      </c>
      <c r="BX30" s="20">
        <v>4.7337246000000004</v>
      </c>
      <c r="BY30" s="20">
        <v>5.1470060000000002</v>
      </c>
      <c r="BZ30" s="21">
        <v>4.7137064999999998</v>
      </c>
      <c r="CA30" s="5">
        <f t="shared" si="37"/>
        <v>3.5897349999999939E-2</v>
      </c>
      <c r="CB30" s="5">
        <f t="shared" si="38"/>
        <v>-2.3266800000000032E-2</v>
      </c>
      <c r="CC30" s="5">
        <f t="shared" si="39"/>
        <v>6.4436439999999706E-2</v>
      </c>
      <c r="CD30" s="22">
        <v>1.506964445114136</v>
      </c>
      <c r="CI30">
        <v>2.888738632202148</v>
      </c>
      <c r="CN30">
        <v>1.479685425758362</v>
      </c>
    </row>
    <row r="31" spans="1:92" x14ac:dyDescent="0.25">
      <c r="A31" s="38"/>
      <c r="B31" s="5">
        <v>9</v>
      </c>
      <c r="C31" s="18">
        <v>42</v>
      </c>
      <c r="E31" s="19">
        <v>87.036519999999996</v>
      </c>
      <c r="F31" s="20">
        <v>87.382750000000001</v>
      </c>
      <c r="G31" s="20">
        <v>87.536934000000002</v>
      </c>
      <c r="H31" s="21">
        <v>88.063479999999998</v>
      </c>
      <c r="I31" s="5">
        <f t="shared" si="16"/>
        <v>3.147999999981721E-3</v>
      </c>
      <c r="J31" s="5">
        <f t="shared" si="17"/>
        <v>-0.24227169999998921</v>
      </c>
      <c r="K31" s="5">
        <f t="shared" si="18"/>
        <v>0.26144210000001067</v>
      </c>
      <c r="L31" s="22">
        <v>84.825897216796875</v>
      </c>
      <c r="M31" s="5"/>
      <c r="N31" s="5"/>
      <c r="O31" s="19">
        <v>51.756929999999997</v>
      </c>
      <c r="P31" s="20">
        <v>50.706898000000002</v>
      </c>
      <c r="Q31" s="20">
        <v>51.963410000000003</v>
      </c>
      <c r="R31" s="21">
        <v>50.130490000000002</v>
      </c>
      <c r="S31" s="5">
        <f t="shared" si="19"/>
        <v>0.21597769999999628</v>
      </c>
      <c r="T31" s="5">
        <f t="shared" si="20"/>
        <v>-0.21044050000000425</v>
      </c>
      <c r="U31" s="5">
        <f t="shared" si="21"/>
        <v>-0.10162669999998997</v>
      </c>
      <c r="V31" s="22">
        <v>72.003883361816406</v>
      </c>
      <c r="W31" s="5"/>
      <c r="X31" s="5"/>
      <c r="Y31" s="19">
        <v>13.002014000000001</v>
      </c>
      <c r="Z31" s="20">
        <v>15.410529</v>
      </c>
      <c r="AA31" s="20">
        <v>14.518653</v>
      </c>
      <c r="AB31" s="21">
        <v>15.051575</v>
      </c>
      <c r="AC31" s="5">
        <f t="shared" si="22"/>
        <v>-2.2992327999999969</v>
      </c>
      <c r="AD31" s="5">
        <f t="shared" si="23"/>
        <v>0.63970690000000197</v>
      </c>
      <c r="AE31" s="5">
        <f t="shared" si="24"/>
        <v>-1.4732032000000004</v>
      </c>
      <c r="AF31" s="22">
        <v>21.176113128662109</v>
      </c>
      <c r="AG31" s="5"/>
      <c r="AH31" s="5"/>
      <c r="AI31" s="19">
        <v>6.6281505000000003</v>
      </c>
      <c r="AJ31" s="20">
        <v>6.5613622999999999</v>
      </c>
      <c r="AK31" s="20">
        <v>6.6803509999999999</v>
      </c>
      <c r="AL31" s="21">
        <v>6.7069893</v>
      </c>
      <c r="AM31" s="5">
        <f t="shared" si="25"/>
        <v>0.25473204999999943</v>
      </c>
      <c r="AN31" s="5">
        <f t="shared" si="26"/>
        <v>-0.18607809999999958</v>
      </c>
      <c r="AO31" s="5">
        <f t="shared" si="27"/>
        <v>2.5845129999998662E-2</v>
      </c>
      <c r="AP31" s="22">
        <v>7.2650880813598633</v>
      </c>
      <c r="AR31" s="5"/>
      <c r="AS31" s="19">
        <v>20.040194</v>
      </c>
      <c r="AT31" s="20">
        <v>20.06072</v>
      </c>
      <c r="AU31" s="20">
        <v>20.316105</v>
      </c>
      <c r="AV31" s="21">
        <v>20.267479999999999</v>
      </c>
      <c r="AW31" s="5">
        <f t="shared" si="28"/>
        <v>-3.8644700000006083E-2</v>
      </c>
      <c r="AX31" s="5">
        <f t="shared" si="29"/>
        <v>0.23658259999999842</v>
      </c>
      <c r="AY31" s="5">
        <f t="shared" si="30"/>
        <v>0.66950669999999946</v>
      </c>
      <c r="AZ31" s="22">
        <v>9.2742109298706037</v>
      </c>
      <c r="BB31" s="5"/>
      <c r="BC31" s="19">
        <v>3.4990258000000001</v>
      </c>
      <c r="BD31" s="20">
        <v>3.3408446000000001</v>
      </c>
      <c r="BE31" s="20">
        <v>3.3304695999999998</v>
      </c>
      <c r="BF31" s="21">
        <v>3.3408446000000001</v>
      </c>
      <c r="BG31" s="5">
        <f t="shared" si="31"/>
        <v>-0.64184955999999982</v>
      </c>
      <c r="BH31" s="5">
        <f t="shared" si="32"/>
        <v>-4.1211990000000309E-2</v>
      </c>
      <c r="BI31" s="5">
        <f t="shared" si="33"/>
        <v>-0.57780531999999951</v>
      </c>
      <c r="BJ31" s="22">
        <v>1.9860900640487671</v>
      </c>
      <c r="BL31" s="5"/>
      <c r="BM31" s="19">
        <v>5.4084754000000004</v>
      </c>
      <c r="BN31" s="20">
        <v>4.5779734000000003</v>
      </c>
      <c r="BO31" s="20">
        <v>5.9941360000000001</v>
      </c>
      <c r="BP31" s="21">
        <v>3.9874290000000001</v>
      </c>
      <c r="BQ31" s="5">
        <f t="shared" si="34"/>
        <v>-2.5622437600000012</v>
      </c>
      <c r="BR31" s="5">
        <f t="shared" si="35"/>
        <v>0.34509486000000056</v>
      </c>
      <c r="BS31" s="5">
        <f t="shared" si="36"/>
        <v>-1.7717934099999999</v>
      </c>
      <c r="BT31" s="22">
        <v>12.457723617553709</v>
      </c>
      <c r="BV31" s="5"/>
      <c r="BW31" s="19">
        <v>5.2477159999999996</v>
      </c>
      <c r="BX31" s="20">
        <v>4.7908435000000003</v>
      </c>
      <c r="BY31" s="20">
        <v>5.1403046000000003</v>
      </c>
      <c r="BZ31" s="21">
        <v>4.8599259999999997</v>
      </c>
      <c r="CA31" s="5">
        <f t="shared" si="37"/>
        <v>-0.11202565000000053</v>
      </c>
      <c r="CB31" s="5">
        <f t="shared" si="38"/>
        <v>3.385209999999983E-2</v>
      </c>
      <c r="CC31" s="5">
        <f t="shared" si="39"/>
        <v>5.7735039999999849E-2</v>
      </c>
      <c r="CD31" s="22">
        <v>1.628946781158447</v>
      </c>
      <c r="CI31">
        <v>2.9028556346893311</v>
      </c>
      <c r="CN31">
        <v>1.633095264434814</v>
      </c>
    </row>
    <row r="32" spans="1:92" x14ac:dyDescent="0.25">
      <c r="A32" s="39"/>
      <c r="B32" s="23">
        <v>10</v>
      </c>
      <c r="C32" s="24">
        <v>47</v>
      </c>
      <c r="E32" s="25">
        <v>87.774209999999997</v>
      </c>
      <c r="F32" s="26">
        <v>88.389945999999995</v>
      </c>
      <c r="G32" s="26">
        <v>88.389200000000002</v>
      </c>
      <c r="H32" s="27">
        <v>88.605670000000003</v>
      </c>
      <c r="I32" s="23">
        <f t="shared" si="16"/>
        <v>0.74083799999998234</v>
      </c>
      <c r="J32" s="23">
        <f t="shared" si="17"/>
        <v>0.76492430000000411</v>
      </c>
      <c r="K32" s="23">
        <f t="shared" si="18"/>
        <v>1.1137081000000109</v>
      </c>
      <c r="L32" s="28">
        <v>84.064231872558594</v>
      </c>
      <c r="M32" s="5"/>
      <c r="N32" s="5"/>
      <c r="O32" s="25">
        <v>51.342064000000001</v>
      </c>
      <c r="P32" s="26">
        <v>50.420940000000002</v>
      </c>
      <c r="Q32" s="26">
        <v>52.296931999999998</v>
      </c>
      <c r="R32" s="27">
        <v>50.230026000000002</v>
      </c>
      <c r="S32" s="23">
        <f t="shared" si="19"/>
        <v>-0.19888830000000013</v>
      </c>
      <c r="T32" s="23">
        <f t="shared" si="20"/>
        <v>-0.49639850000000507</v>
      </c>
      <c r="U32" s="23">
        <f t="shared" si="21"/>
        <v>0.23189530000000502</v>
      </c>
      <c r="V32" s="28">
        <v>72.511932373046875</v>
      </c>
      <c r="W32" s="5"/>
      <c r="X32" s="5"/>
      <c r="Y32" s="25">
        <v>16.736896999999999</v>
      </c>
      <c r="Z32" s="26">
        <v>14.420301</v>
      </c>
      <c r="AA32" s="26">
        <v>19.330912000000001</v>
      </c>
      <c r="AB32" s="27">
        <v>13.96759</v>
      </c>
      <c r="AC32" s="23">
        <f t="shared" si="22"/>
        <v>1.4356502000000013</v>
      </c>
      <c r="AD32" s="23">
        <f t="shared" si="23"/>
        <v>-0.35052109999999814</v>
      </c>
      <c r="AE32" s="23">
        <f t="shared" si="24"/>
        <v>3.3390558000000006</v>
      </c>
      <c r="AF32" s="28">
        <v>9.4809322357177717</v>
      </c>
      <c r="AG32" s="5"/>
      <c r="AH32" s="5"/>
      <c r="AI32" s="25">
        <v>6.1914490000000004</v>
      </c>
      <c r="AJ32" s="26">
        <v>6.862927</v>
      </c>
      <c r="AK32" s="26">
        <v>6.9281473</v>
      </c>
      <c r="AL32" s="27">
        <v>7.3235349999999997</v>
      </c>
      <c r="AM32" s="23">
        <f t="shared" si="25"/>
        <v>-0.18196945000000042</v>
      </c>
      <c r="AN32" s="23">
        <f t="shared" si="26"/>
        <v>0.11548660000000055</v>
      </c>
      <c r="AO32" s="23">
        <f t="shared" si="27"/>
        <v>0.27364142999999874</v>
      </c>
      <c r="AP32" s="28">
        <v>6.9798011779785156</v>
      </c>
      <c r="AR32" s="5"/>
      <c r="AS32" s="25">
        <v>19.847057</v>
      </c>
      <c r="AT32" s="26">
        <v>19.536808000000001</v>
      </c>
      <c r="AU32" s="26">
        <v>19.640229999999999</v>
      </c>
      <c r="AV32" s="27">
        <v>19.476330000000001</v>
      </c>
      <c r="AW32" s="23">
        <f t="shared" si="28"/>
        <v>-0.2317817000000062</v>
      </c>
      <c r="AX32" s="23">
        <f t="shared" si="29"/>
        <v>-0.28732940000000085</v>
      </c>
      <c r="AY32" s="23">
        <f t="shared" si="30"/>
        <v>-6.3683000000018808E-3</v>
      </c>
      <c r="AZ32" s="28">
        <v>10.019430160522459</v>
      </c>
      <c r="BB32" s="5"/>
      <c r="BC32" s="25">
        <v>4.4969520000000003</v>
      </c>
      <c r="BD32" s="26">
        <v>3.4700533999999998</v>
      </c>
      <c r="BE32" s="26">
        <v>4.4615874</v>
      </c>
      <c r="BF32" s="27">
        <v>3.4269962</v>
      </c>
      <c r="BG32" s="23">
        <f t="shared" si="31"/>
        <v>0.35607664000000039</v>
      </c>
      <c r="BH32" s="23">
        <f t="shared" si="32"/>
        <v>8.7996809999999481E-2</v>
      </c>
      <c r="BI32" s="23">
        <f t="shared" si="33"/>
        <v>0.55331248000000066</v>
      </c>
      <c r="BJ32" s="28">
        <v>1.6349333524703979</v>
      </c>
      <c r="BL32" s="5"/>
      <c r="BM32" s="25">
        <v>10.834686</v>
      </c>
      <c r="BN32" s="26">
        <v>6.4929395000000003</v>
      </c>
      <c r="BO32" s="26">
        <v>12.999402999999999</v>
      </c>
      <c r="BP32" s="27">
        <v>3.9433981999999999</v>
      </c>
      <c r="BQ32" s="23">
        <f t="shared" si="34"/>
        <v>2.863966839999998</v>
      </c>
      <c r="BR32" s="23">
        <f t="shared" si="35"/>
        <v>2.2600609600000006</v>
      </c>
      <c r="BS32" s="23">
        <f t="shared" si="36"/>
        <v>5.2334735899999991</v>
      </c>
      <c r="BT32" s="28">
        <v>6.4761981964111328</v>
      </c>
      <c r="BV32" s="5"/>
      <c r="BW32" s="25">
        <v>5.3992610000000001</v>
      </c>
      <c r="BX32" s="26">
        <v>4.6551074999999997</v>
      </c>
      <c r="BY32" s="26">
        <v>4.9170780000000001</v>
      </c>
      <c r="BZ32" s="27">
        <v>4.5523252000000003</v>
      </c>
      <c r="CA32" s="23">
        <f t="shared" si="37"/>
        <v>3.9519349999999953E-2</v>
      </c>
      <c r="CB32" s="23">
        <f t="shared" si="38"/>
        <v>-0.10188390000000069</v>
      </c>
      <c r="CC32" s="23">
        <f t="shared" si="39"/>
        <v>-0.16549156000000043</v>
      </c>
      <c r="CD32" s="28">
        <v>1.511468648910522</v>
      </c>
      <c r="CI32">
        <v>2.769239187240601</v>
      </c>
      <c r="CN32">
        <v>1.5335977077484131</v>
      </c>
    </row>
    <row r="33" spans="1:92" x14ac:dyDescent="0.25">
      <c r="A33" s="37">
        <v>3</v>
      </c>
      <c r="B33" s="12">
        <v>1</v>
      </c>
      <c r="C33" s="13">
        <v>3</v>
      </c>
      <c r="E33" s="14">
        <v>87.346344000000002</v>
      </c>
      <c r="F33" s="15">
        <v>87.736149999999995</v>
      </c>
      <c r="G33" s="15">
        <v>87.423164</v>
      </c>
      <c r="H33" s="16">
        <v>87.918593999999999</v>
      </c>
      <c r="I33" s="12">
        <f t="shared" ref="I33:I42" si="40">IF(OR(E33="",E33="NaN"),"",E33-AVERAGE(E$33:E$42))</f>
        <v>-0.21266529999999761</v>
      </c>
      <c r="J33" s="12">
        <f t="shared" ref="J33:J42" si="41">IF(OR(F33="",F33="NaN"),"",F33-AVERAGE(F$33:F$42))</f>
        <v>3.0393500000002405E-2</v>
      </c>
      <c r="K33" s="12">
        <f t="shared" ref="K33:K42" si="42">IF(OR(G33="",G33="NaN"),"",G33-AVERAGE(G$33:G$42))</f>
        <v>0.17605270000001383</v>
      </c>
      <c r="L33" s="17">
        <v>84.736312866210938</v>
      </c>
      <c r="M33" s="5"/>
      <c r="N33" s="5"/>
      <c r="O33" s="14">
        <v>54.002814999999998</v>
      </c>
      <c r="P33" s="15">
        <v>54.846145999999997</v>
      </c>
      <c r="Q33" s="15">
        <v>54.112250000000003</v>
      </c>
      <c r="R33" s="16">
        <v>53.791240000000002</v>
      </c>
      <c r="S33" s="12">
        <f t="shared" ref="S33:S42" si="43">IF(OR(O33="",O33="NaN"),"",O33-AVERAGE(O$33:O$42))</f>
        <v>0.12206869999999981</v>
      </c>
      <c r="T33" s="12">
        <f t="shared" ref="T33:T42" si="44">IF(OR(P33="",P33="NaN"),"",P33-AVERAGE(P$33:P$42))</f>
        <v>1.0250469999999936</v>
      </c>
      <c r="U33" s="12">
        <f t="shared" ref="U33:U42" si="45">IF(OR(Q33="",Q33="NaN"),"",Q33-AVERAGE(Q$33:Q$42))</f>
        <v>0.12417020000000178</v>
      </c>
      <c r="V33" s="17">
        <v>72.161567687988281</v>
      </c>
      <c r="W33" s="5"/>
      <c r="X33" s="5"/>
      <c r="Y33" s="14">
        <v>9.7057979999999997</v>
      </c>
      <c r="Z33" s="15">
        <v>9.4746400000000008</v>
      </c>
      <c r="AA33" s="15">
        <v>10.192197</v>
      </c>
      <c r="AB33" s="16">
        <v>9.6148279999999993</v>
      </c>
      <c r="AC33" s="12">
        <f t="shared" ref="AC33:AC42" si="46">IF(OR(Y33="",Y33="NaN"),"",Y33-AVERAGE(Y$33:Y$42))</f>
        <v>4.0100000000009572E-4</v>
      </c>
      <c r="AD33" s="12">
        <f t="shared" ref="AD33:AD42" si="47">IF(OR(Z33="",Z33="NaN"),"",Z33-AVERAGE(Z$33:Z$42))</f>
        <v>-0.21154499999999743</v>
      </c>
      <c r="AE33" s="12">
        <f t="shared" ref="AE33:AE42" si="48">IF(OR(AA33="",AA33="NaN"),"",AA33-AVERAGE(AA$33:AA$42))</f>
        <v>-1.2075244000000005</v>
      </c>
      <c r="AF33" s="17">
        <v>9.6801242828369141</v>
      </c>
      <c r="AG33" s="5"/>
      <c r="AH33" s="5"/>
      <c r="AI33" s="14">
        <v>7.1535510000000002</v>
      </c>
      <c r="AJ33" s="15">
        <v>6.7671270000000003</v>
      </c>
      <c r="AK33" s="15">
        <v>6.7015149999999997</v>
      </c>
      <c r="AL33" s="16">
        <v>6.7612041999999999</v>
      </c>
      <c r="AM33" s="12">
        <f t="shared" ref="AM33:AM42" si="49">IF(OR(AI33="",AI33="NaN"),"",AI33-AVERAGE(AI$33:AI$42))</f>
        <v>5.9316800000000391E-2</v>
      </c>
      <c r="AN33" s="12">
        <f t="shared" ref="AN33:AN42" si="50">IF(OR(AJ33="",AJ33="NaN"),"",AJ33-AVERAGE(AJ$33:AJ$42))</f>
        <v>-0.1271533499999995</v>
      </c>
      <c r="AO33" s="12">
        <f t="shared" ref="AO33:AO42" si="51">IF(OR(AK33="",AK33="NaN"),"",AK33-AVERAGE(AK$33:AK$42))</f>
        <v>-0.33410903000000136</v>
      </c>
      <c r="AP33" s="17">
        <v>6.8252444267272949</v>
      </c>
      <c r="AR33" s="5"/>
      <c r="AS33" s="14">
        <v>18.477636</v>
      </c>
      <c r="AT33" s="15">
        <v>17.977796999999999</v>
      </c>
      <c r="AU33" s="15">
        <v>19.105011000000001</v>
      </c>
      <c r="AV33" s="16">
        <v>18.906808999999999</v>
      </c>
      <c r="AW33" s="12">
        <f t="shared" ref="AW33:AW42" si="52">IF(OR(AS33="",AS33="NaN"),"",AS33-AVERAGE(AS$33:AS$42))</f>
        <v>0.62933920000000398</v>
      </c>
      <c r="AX33" s="12">
        <f t="shared" ref="AX33:AX42" si="53">IF(OR(AT33="",AT33="NaN"),"",AT33-AVERAGE(AT$33:AT$42))</f>
        <v>0.14630874999999932</v>
      </c>
      <c r="AY33" s="12">
        <f t="shared" ref="AY33:AY42" si="54">IF(OR(AU33="",AU33="NaN"),"",AU33-AVERAGE(AU$33:AU$42))</f>
        <v>0.60927170000000075</v>
      </c>
      <c r="AZ33" s="17">
        <v>10.380697250366209</v>
      </c>
      <c r="BB33" s="5"/>
      <c r="BC33" s="14">
        <v>2.8538556000000002</v>
      </c>
      <c r="BD33" s="15">
        <v>2.8600218000000002</v>
      </c>
      <c r="BE33" s="15">
        <v>2.8650693999999999</v>
      </c>
      <c r="BF33" s="16">
        <v>2.8664960000000002</v>
      </c>
      <c r="BG33" s="12">
        <f t="shared" ref="BG33:BG42" si="55">IF(OR(BC33="",BC33="NaN"),"",BC33-AVERAGE(BC$33:BC$42))</f>
        <v>4.9235999999996949E-3</v>
      </c>
      <c r="BH33" s="12">
        <f t="shared" ref="BH33:BH42" si="56">IF(OR(BD33="",BD33="NaN"),"",BD33-AVERAGE(BD$33:BD$42))</f>
        <v>1.2744550000000299E-2</v>
      </c>
      <c r="BI33" s="12">
        <f t="shared" ref="BI33:BI42" si="57">IF(OR(BE33="",BE33="NaN"),"",BE33-AVERAGE(BE$33:BE$42))</f>
        <v>-0.26181885000000049</v>
      </c>
      <c r="BJ33" s="17">
        <v>1.5265417098999019</v>
      </c>
      <c r="BL33" s="5"/>
      <c r="BM33" s="14">
        <v>2.3461590000000001</v>
      </c>
      <c r="BN33" s="15">
        <v>2.2446700000000002</v>
      </c>
      <c r="BO33" s="15">
        <v>3.0036622999999998</v>
      </c>
      <c r="BP33" s="16">
        <v>1.9907687000000001</v>
      </c>
      <c r="BQ33" s="12">
        <f t="shared" ref="BQ33:BQ42" si="58">IF(OR(BM33="",BM33="NaN"),"",BM33-AVERAGE(BM$33:BM$42))</f>
        <v>0.18396793999999961</v>
      </c>
      <c r="BR33" s="12">
        <f t="shared" ref="BR33:BR42" si="59">IF(OR(BN33="",BN33="NaN"),"",BN33-AVERAGE(BN$33:BN$42))</f>
        <v>-0.12960817000000002</v>
      </c>
      <c r="BS33" s="12">
        <f t="shared" ref="BS33:BS42" si="60">IF(OR(BO33="",BO33="NaN"),"",BO33-AVERAGE(BO$33:BO$42))</f>
        <v>0.34973949000000015</v>
      </c>
      <c r="BT33" s="17">
        <v>5.1372261047363281</v>
      </c>
      <c r="BV33" s="5"/>
      <c r="BW33" s="14">
        <v>5.2450275</v>
      </c>
      <c r="BX33" s="15">
        <v>5.5605507000000003</v>
      </c>
      <c r="BY33" s="15">
        <v>5.6670740000000004</v>
      </c>
      <c r="BZ33" s="16">
        <v>5.8479850000000004</v>
      </c>
      <c r="CA33" s="12">
        <f t="shared" ref="CA33:CA42" si="61">IF(OR(BW33="",BW33="NaN"),"",BW33-AVERAGE(BW$33:BW$42))</f>
        <v>-0.12989990999999979</v>
      </c>
      <c r="CB33" s="12">
        <f t="shared" ref="CB33:CB42" si="62">IF(OR(BX33="",BX33="NaN"),"",BX33-AVERAGE(BX$33:BX$42))</f>
        <v>4.1072080000000177E-2</v>
      </c>
      <c r="CC33" s="12">
        <f t="shared" ref="CC33:CC42" si="63">IF(OR(BY33="",BY33="NaN"),"",BY33-AVERAGE(BY$33:BY$42))</f>
        <v>-6.6975509999998906E-2</v>
      </c>
      <c r="CD33" s="17">
        <v>1.16869580745697</v>
      </c>
      <c r="CI33">
        <v>2.927009105682373</v>
      </c>
      <c r="CN33">
        <v>1.340770959854126</v>
      </c>
    </row>
    <row r="34" spans="1:92" x14ac:dyDescent="0.25">
      <c r="A34" s="38"/>
      <c r="B34" s="5">
        <v>2</v>
      </c>
      <c r="C34" s="18">
        <v>8</v>
      </c>
      <c r="E34" s="19">
        <v>87.311109999999999</v>
      </c>
      <c r="F34" s="20">
        <v>87.413579999999996</v>
      </c>
      <c r="G34" s="20">
        <v>87.283164999999997</v>
      </c>
      <c r="H34" s="21">
        <v>86.851569999999995</v>
      </c>
      <c r="I34" s="5">
        <f t="shared" si="40"/>
        <v>-0.24789930000000027</v>
      </c>
      <c r="J34" s="5">
        <f t="shared" si="41"/>
        <v>-0.29217649999999651</v>
      </c>
      <c r="K34" s="5">
        <f t="shared" si="42"/>
        <v>3.6053700000010735E-2</v>
      </c>
      <c r="L34" s="22">
        <v>84.1337890625</v>
      </c>
      <c r="M34" s="5"/>
      <c r="N34" s="5"/>
      <c r="O34" s="19">
        <v>53.438400000000001</v>
      </c>
      <c r="P34" s="20">
        <v>53.378554999999999</v>
      </c>
      <c r="Q34" s="20">
        <v>53.03613</v>
      </c>
      <c r="R34" s="21">
        <v>53.254432999999999</v>
      </c>
      <c r="S34" s="5">
        <f t="shared" si="43"/>
        <v>-0.44234629999999697</v>
      </c>
      <c r="T34" s="5">
        <f t="shared" si="44"/>
        <v>-0.44254400000000516</v>
      </c>
      <c r="U34" s="5">
        <f t="shared" si="45"/>
        <v>-0.95194980000000129</v>
      </c>
      <c r="V34" s="22">
        <v>72.292190551757813</v>
      </c>
      <c r="W34" s="5"/>
      <c r="X34" s="5"/>
      <c r="Y34" s="19">
        <v>9.5655680000000007</v>
      </c>
      <c r="Z34" s="20">
        <v>9.5562339999999999</v>
      </c>
      <c r="AA34" s="20">
        <v>9.5706589999999991</v>
      </c>
      <c r="AB34" s="21">
        <v>9.6019749999999995</v>
      </c>
      <c r="AC34" s="5">
        <f t="shared" si="46"/>
        <v>-0.13982899999999887</v>
      </c>
      <c r="AD34" s="5">
        <f t="shared" si="47"/>
        <v>-0.12995099999999837</v>
      </c>
      <c r="AE34" s="5">
        <f t="shared" si="48"/>
        <v>-1.8290624000000015</v>
      </c>
      <c r="AF34" s="22">
        <v>10.007533073425289</v>
      </c>
      <c r="AG34" s="5"/>
      <c r="AH34" s="5"/>
      <c r="AI34" s="19">
        <v>7.3030825000000004</v>
      </c>
      <c r="AJ34" s="20">
        <v>6.9795126999999999</v>
      </c>
      <c r="AK34" s="20">
        <v>7.3606689999999997</v>
      </c>
      <c r="AL34" s="21">
        <v>7.2921753000000002</v>
      </c>
      <c r="AM34" s="5">
        <f t="shared" si="49"/>
        <v>0.20884830000000054</v>
      </c>
      <c r="AN34" s="5">
        <f t="shared" si="50"/>
        <v>8.5232350000000068E-2</v>
      </c>
      <c r="AO34" s="5">
        <f t="shared" si="51"/>
        <v>0.32504496999999866</v>
      </c>
      <c r="AP34" s="22">
        <v>7.0615639686584473</v>
      </c>
      <c r="AR34" s="5"/>
      <c r="AS34" s="19">
        <v>19.120439999999999</v>
      </c>
      <c r="AT34" s="20">
        <v>19.184788000000001</v>
      </c>
      <c r="AU34" s="20">
        <v>19.195039999999999</v>
      </c>
      <c r="AV34" s="21">
        <v>19.207352</v>
      </c>
      <c r="AW34" s="5">
        <f t="shared" si="52"/>
        <v>1.2721432000000021</v>
      </c>
      <c r="AX34" s="5">
        <f t="shared" si="53"/>
        <v>1.3532997500000015</v>
      </c>
      <c r="AY34" s="5">
        <f t="shared" si="54"/>
        <v>0.69930069999999844</v>
      </c>
      <c r="AZ34" s="22">
        <v>9.2456607818603516</v>
      </c>
      <c r="BB34" s="5"/>
      <c r="BC34" s="19">
        <v>2.8332055</v>
      </c>
      <c r="BD34" s="20">
        <v>2.8335743</v>
      </c>
      <c r="BE34" s="20">
        <v>2.8190808000000001</v>
      </c>
      <c r="BF34" s="21">
        <v>2.8305383000000002</v>
      </c>
      <c r="BG34" s="5">
        <f t="shared" si="55"/>
        <v>-1.5726500000000421E-2</v>
      </c>
      <c r="BH34" s="5">
        <f t="shared" si="56"/>
        <v>-1.3702949999999881E-2</v>
      </c>
      <c r="BI34" s="5">
        <f t="shared" si="57"/>
        <v>-0.30780745000000032</v>
      </c>
      <c r="BJ34" s="22">
        <v>1.534243226051331</v>
      </c>
      <c r="BL34" s="5"/>
      <c r="BM34" s="19">
        <v>2.0584006000000001</v>
      </c>
      <c r="BN34" s="20">
        <v>1.9290351999999999</v>
      </c>
      <c r="BO34" s="20">
        <v>2.0776188000000002</v>
      </c>
      <c r="BP34" s="21">
        <v>1.9553313999999999</v>
      </c>
      <c r="BQ34" s="5">
        <f t="shared" si="58"/>
        <v>-0.10379046000000036</v>
      </c>
      <c r="BR34" s="5">
        <f t="shared" si="59"/>
        <v>-0.44524297000000024</v>
      </c>
      <c r="BS34" s="5">
        <f t="shared" si="60"/>
        <v>-0.57630400999999942</v>
      </c>
      <c r="BT34" s="22">
        <v>5.1587491035461426</v>
      </c>
      <c r="BV34" s="5"/>
      <c r="BW34" s="19">
        <v>5.6219140000000003</v>
      </c>
      <c r="BX34" s="20">
        <v>5.4338319999999998</v>
      </c>
      <c r="BY34" s="20">
        <v>5.6061269999999999</v>
      </c>
      <c r="BZ34" s="21">
        <v>5.3186770000000001</v>
      </c>
      <c r="CA34" s="5">
        <f t="shared" si="61"/>
        <v>0.24698659000000056</v>
      </c>
      <c r="CB34" s="5">
        <f t="shared" si="62"/>
        <v>-8.564662000000034E-2</v>
      </c>
      <c r="CC34" s="5">
        <f t="shared" si="63"/>
        <v>-0.12792250999999943</v>
      </c>
      <c r="CD34" s="22">
        <v>1.1961239576339719</v>
      </c>
      <c r="CI34">
        <v>3.0177488327026372</v>
      </c>
      <c r="CN34">
        <v>1.5104125738143921</v>
      </c>
    </row>
    <row r="35" spans="1:92" x14ac:dyDescent="0.25">
      <c r="A35" s="38"/>
      <c r="B35" s="5">
        <v>3</v>
      </c>
      <c r="C35" s="18">
        <v>13</v>
      </c>
      <c r="E35" s="19">
        <v>87.561904999999996</v>
      </c>
      <c r="F35" s="20">
        <v>88.109539999999996</v>
      </c>
      <c r="G35" s="20">
        <v>87.515420000000006</v>
      </c>
      <c r="H35" s="21">
        <v>87.924319999999994</v>
      </c>
      <c r="I35" s="5">
        <f t="shared" si="40"/>
        <v>2.8956999999962818E-3</v>
      </c>
      <c r="J35" s="5">
        <f t="shared" si="41"/>
        <v>0.40378350000000296</v>
      </c>
      <c r="K35" s="5">
        <f t="shared" si="42"/>
        <v>0.26830870000001994</v>
      </c>
      <c r="L35" s="22">
        <v>83.875389099121094</v>
      </c>
      <c r="M35" s="5"/>
      <c r="N35" s="5"/>
      <c r="O35" s="19">
        <v>54.183369999999996</v>
      </c>
      <c r="P35" s="20">
        <v>53.563915000000001</v>
      </c>
      <c r="Q35" s="20">
        <v>54.46557</v>
      </c>
      <c r="R35" s="21">
        <v>53.651336999999998</v>
      </c>
      <c r="S35" s="5">
        <f t="shared" si="43"/>
        <v>0.30262369999999805</v>
      </c>
      <c r="T35" s="5">
        <f t="shared" si="44"/>
        <v>-0.2571840000000023</v>
      </c>
      <c r="U35" s="5">
        <f t="shared" si="45"/>
        <v>0.47749019999999831</v>
      </c>
      <c r="V35" s="22">
        <v>72.406349182128906</v>
      </c>
      <c r="W35" s="5"/>
      <c r="X35" s="5"/>
      <c r="Y35" s="19">
        <v>9.9275330000000004</v>
      </c>
      <c r="Z35" s="20">
        <v>9.4541009999999996</v>
      </c>
      <c r="AA35" s="20">
        <v>10.931758</v>
      </c>
      <c r="AB35" s="21">
        <v>9.8153310000000005</v>
      </c>
      <c r="AC35" s="5">
        <f t="shared" si="46"/>
        <v>0.22213600000000078</v>
      </c>
      <c r="AD35" s="5">
        <f t="shared" si="47"/>
        <v>-0.23208399999999862</v>
      </c>
      <c r="AE35" s="5">
        <f t="shared" si="48"/>
        <v>-0.46796340000000036</v>
      </c>
      <c r="AF35" s="22">
        <v>9.5538215637207031</v>
      </c>
      <c r="AG35" s="5"/>
      <c r="AH35" s="5"/>
      <c r="AI35" s="19">
        <v>7.1727333</v>
      </c>
      <c r="AJ35" s="20">
        <v>6.9509679999999996</v>
      </c>
      <c r="AK35" s="20">
        <v>7.1323986000000001</v>
      </c>
      <c r="AL35" s="21">
        <v>7.2927685000000002</v>
      </c>
      <c r="AM35" s="5">
        <f t="shared" si="49"/>
        <v>7.8499100000000155E-2</v>
      </c>
      <c r="AN35" s="5">
        <f t="shared" si="50"/>
        <v>5.6687649999999756E-2</v>
      </c>
      <c r="AO35" s="5">
        <f t="shared" si="51"/>
        <v>9.6774569999999116E-2</v>
      </c>
      <c r="AP35" s="22">
        <v>6.684361457824707</v>
      </c>
      <c r="AR35" s="5"/>
      <c r="AS35" s="19">
        <v>16.513770000000001</v>
      </c>
      <c r="AT35" s="20">
        <v>18.119532</v>
      </c>
      <c r="AU35" s="20">
        <v>18.933561000000001</v>
      </c>
      <c r="AV35" s="21">
        <v>14.949733</v>
      </c>
      <c r="AW35" s="5">
        <f t="shared" si="52"/>
        <v>-1.3345267999999955</v>
      </c>
      <c r="AX35" s="5">
        <f t="shared" si="53"/>
        <v>0.28804374999999993</v>
      </c>
      <c r="AY35" s="5">
        <f t="shared" si="54"/>
        <v>0.43782170000000065</v>
      </c>
      <c r="AZ35" s="22">
        <v>9.3862419128417969</v>
      </c>
      <c r="BB35" s="5"/>
      <c r="BC35" s="19">
        <v>2.8559334000000001</v>
      </c>
      <c r="BD35" s="20">
        <v>2.8664529999999999</v>
      </c>
      <c r="BE35" s="20">
        <v>2.8865066000000001</v>
      </c>
      <c r="BF35" s="21">
        <v>2.8541775</v>
      </c>
      <c r="BG35" s="5">
        <f t="shared" si="55"/>
        <v>7.0013999999996024E-3</v>
      </c>
      <c r="BH35" s="5">
        <f t="shared" si="56"/>
        <v>1.9175750000000047E-2</v>
      </c>
      <c r="BI35" s="5">
        <f t="shared" si="57"/>
        <v>-0.24038165000000022</v>
      </c>
      <c r="BJ35" s="22">
        <v>1.543917775154114</v>
      </c>
      <c r="BL35" s="5"/>
      <c r="BM35" s="19">
        <v>2.2568218999999998</v>
      </c>
      <c r="BN35" s="20">
        <v>2.9090134999999999</v>
      </c>
      <c r="BO35" s="20">
        <v>3.0238996</v>
      </c>
      <c r="BP35" s="21">
        <v>2.1885984000000001</v>
      </c>
      <c r="BQ35" s="5">
        <f t="shared" si="58"/>
        <v>9.4630839999999328E-2</v>
      </c>
      <c r="BR35" s="5">
        <f t="shared" si="59"/>
        <v>0.53473532999999973</v>
      </c>
      <c r="BS35" s="5">
        <f t="shared" si="60"/>
        <v>0.36997679000000039</v>
      </c>
      <c r="BT35" s="22">
        <v>3.8219437599182129</v>
      </c>
      <c r="BV35" s="5"/>
      <c r="BW35" s="19">
        <v>5.2027450000000002</v>
      </c>
      <c r="BX35" s="20">
        <v>5.7388370000000002</v>
      </c>
      <c r="BY35" s="20">
        <v>5.9405545999999996</v>
      </c>
      <c r="BZ35" s="21">
        <v>5.8617105</v>
      </c>
      <c r="CA35" s="5">
        <f t="shared" si="61"/>
        <v>-0.17218240999999956</v>
      </c>
      <c r="CB35" s="5">
        <f t="shared" si="62"/>
        <v>0.21935838000000007</v>
      </c>
      <c r="CC35" s="5">
        <f t="shared" si="63"/>
        <v>0.20650509000000028</v>
      </c>
      <c r="CD35" s="22">
        <v>1.1782070398330691</v>
      </c>
      <c r="CI35">
        <v>2.708742618560791</v>
      </c>
      <c r="CN35">
        <v>1.3979810476303101</v>
      </c>
    </row>
    <row r="36" spans="1:92" x14ac:dyDescent="0.25">
      <c r="A36" s="38"/>
      <c r="B36" s="5">
        <v>4</v>
      </c>
      <c r="C36" s="18">
        <v>18</v>
      </c>
      <c r="E36" s="19">
        <v>87.422719999999998</v>
      </c>
      <c r="F36" s="20">
        <v>87.533450000000002</v>
      </c>
      <c r="G36" s="20">
        <v>86.666504000000003</v>
      </c>
      <c r="H36" s="21">
        <v>86.794529999999995</v>
      </c>
      <c r="I36" s="5">
        <f t="shared" si="40"/>
        <v>-0.13628930000000139</v>
      </c>
      <c r="J36" s="5">
        <f t="shared" si="41"/>
        <v>-0.17230649999999059</v>
      </c>
      <c r="K36" s="5">
        <f t="shared" si="42"/>
        <v>-0.58060729999998273</v>
      </c>
      <c r="L36" s="22">
        <v>83.698883056640625</v>
      </c>
      <c r="M36" s="5"/>
      <c r="N36" s="5"/>
      <c r="O36" s="19">
        <v>54.207253000000001</v>
      </c>
      <c r="P36" s="20">
        <v>53.043750000000003</v>
      </c>
      <c r="Q36" s="20">
        <v>53.532176999999997</v>
      </c>
      <c r="R36" s="21">
        <v>53.295036000000003</v>
      </c>
      <c r="S36" s="5">
        <f t="shared" si="43"/>
        <v>0.32650670000000304</v>
      </c>
      <c r="T36" s="5">
        <f t="shared" si="44"/>
        <v>-0.77734900000000096</v>
      </c>
      <c r="U36" s="5">
        <f t="shared" si="45"/>
        <v>-0.45590280000000405</v>
      </c>
      <c r="V36" s="22">
        <v>72.873748779296875</v>
      </c>
      <c r="W36" s="5"/>
      <c r="X36" s="5"/>
      <c r="Y36" s="19">
        <v>9.7483529999999998</v>
      </c>
      <c r="Z36" s="20">
        <v>9.7764050000000005</v>
      </c>
      <c r="AA36" s="20">
        <v>10.021978000000001</v>
      </c>
      <c r="AB36" s="21">
        <v>9.5009789999999992</v>
      </c>
      <c r="AC36" s="5">
        <f t="shared" si="46"/>
        <v>4.2956000000000216E-2</v>
      </c>
      <c r="AD36" s="5">
        <f t="shared" si="47"/>
        <v>9.0220000000002187E-2</v>
      </c>
      <c r="AE36" s="5">
        <f t="shared" si="48"/>
        <v>-1.3777434</v>
      </c>
      <c r="AF36" s="22">
        <v>9.6916913986206037</v>
      </c>
      <c r="AG36" s="5"/>
      <c r="AH36" s="5"/>
      <c r="AI36" s="19">
        <v>6.8885883999999997</v>
      </c>
      <c r="AJ36" s="20">
        <v>6.9113569999999998</v>
      </c>
      <c r="AK36" s="20">
        <v>7.0417522999999997</v>
      </c>
      <c r="AL36" s="21">
        <v>7.1865829999999997</v>
      </c>
      <c r="AM36" s="5">
        <f t="shared" si="49"/>
        <v>-0.2056458000000001</v>
      </c>
      <c r="AN36" s="5">
        <f t="shared" si="50"/>
        <v>1.7076649999999916E-2</v>
      </c>
      <c r="AO36" s="5">
        <f t="shared" si="51"/>
        <v>6.1282699999987145E-3</v>
      </c>
      <c r="AP36" s="22">
        <v>6.9919757843017578</v>
      </c>
      <c r="AR36" s="5"/>
      <c r="AS36" s="19">
        <v>19.009726000000001</v>
      </c>
      <c r="AT36" s="20">
        <v>19.128437000000002</v>
      </c>
      <c r="AU36" s="20">
        <v>19.313255000000002</v>
      </c>
      <c r="AV36" s="21">
        <v>19.198812</v>
      </c>
      <c r="AW36" s="5">
        <f t="shared" si="52"/>
        <v>1.1614292000000042</v>
      </c>
      <c r="AX36" s="5">
        <f t="shared" si="53"/>
        <v>1.2969487500000021</v>
      </c>
      <c r="AY36" s="5">
        <f t="shared" si="54"/>
        <v>0.81751570000000129</v>
      </c>
      <c r="AZ36" s="22">
        <v>9.8444252014160156</v>
      </c>
      <c r="BB36" s="5"/>
      <c r="BC36" s="19">
        <v>2.8436002999999999</v>
      </c>
      <c r="BD36" s="20">
        <v>2.8362994000000001</v>
      </c>
      <c r="BE36" s="20">
        <v>2.7981362000000001</v>
      </c>
      <c r="BF36" s="21">
        <v>2.831842</v>
      </c>
      <c r="BG36" s="5">
        <f t="shared" si="55"/>
        <v>-5.3317000000006054E-3</v>
      </c>
      <c r="BH36" s="5">
        <f t="shared" si="56"/>
        <v>-1.0977849999999734E-2</v>
      </c>
      <c r="BI36" s="5">
        <f t="shared" si="57"/>
        <v>-0.3287520500000003</v>
      </c>
      <c r="BJ36" s="22">
        <v>1.594603538513184</v>
      </c>
      <c r="BL36" s="5"/>
      <c r="BM36" s="19">
        <v>2.1249197</v>
      </c>
      <c r="BN36" s="20">
        <v>2.0375649999999998</v>
      </c>
      <c r="BO36" s="20">
        <v>2.0758128</v>
      </c>
      <c r="BP36" s="21">
        <v>1.8502771</v>
      </c>
      <c r="BQ36" s="5">
        <f t="shared" si="58"/>
        <v>-3.7271360000000531E-2</v>
      </c>
      <c r="BR36" s="5">
        <f t="shared" si="59"/>
        <v>-0.33671317000000034</v>
      </c>
      <c r="BS36" s="5">
        <f t="shared" si="60"/>
        <v>-0.57811000999999962</v>
      </c>
      <c r="BT36" s="22">
        <v>4.5316166877746582</v>
      </c>
      <c r="BV36" s="5"/>
      <c r="BW36" s="19">
        <v>5.5192556000000002</v>
      </c>
      <c r="BX36" s="20">
        <v>5.4217490000000002</v>
      </c>
      <c r="BY36" s="20">
        <v>5.3974399999999996</v>
      </c>
      <c r="BZ36" s="21">
        <v>5.4152617000000003</v>
      </c>
      <c r="CA36" s="5">
        <f t="shared" si="61"/>
        <v>0.14432819000000041</v>
      </c>
      <c r="CB36" s="5">
        <f t="shared" si="62"/>
        <v>-9.7729619999999962E-2</v>
      </c>
      <c r="CC36" s="5">
        <f t="shared" si="63"/>
        <v>-0.33660950999999972</v>
      </c>
      <c r="CD36" s="22">
        <v>1.041257381439209</v>
      </c>
      <c r="CI36">
        <v>2.8680615425109859</v>
      </c>
      <c r="CN36">
        <v>1.523774147033691</v>
      </c>
    </row>
    <row r="37" spans="1:92" x14ac:dyDescent="0.25">
      <c r="A37" s="38"/>
      <c r="B37" s="5">
        <v>5</v>
      </c>
      <c r="C37" s="18">
        <v>23</v>
      </c>
      <c r="E37" s="19">
        <v>87.585723999999999</v>
      </c>
      <c r="F37" s="20">
        <v>88.099784999999997</v>
      </c>
      <c r="G37" s="20">
        <v>87.422150000000002</v>
      </c>
      <c r="H37" s="21">
        <v>87.911580000000001</v>
      </c>
      <c r="I37" s="5">
        <f t="shared" si="40"/>
        <v>2.6714699999999425E-2</v>
      </c>
      <c r="J37" s="5">
        <f t="shared" si="41"/>
        <v>0.39402850000000456</v>
      </c>
      <c r="K37" s="5">
        <f t="shared" si="42"/>
        <v>0.17503870000001598</v>
      </c>
      <c r="L37" s="22">
        <v>84.419105529785156</v>
      </c>
      <c r="M37" s="5"/>
      <c r="N37" s="5"/>
      <c r="O37" s="19">
        <v>53.369441999999999</v>
      </c>
      <c r="P37" s="20">
        <v>54.333469999999998</v>
      </c>
      <c r="Q37" s="20">
        <v>54.566997999999998</v>
      </c>
      <c r="R37" s="21">
        <v>54.713318000000001</v>
      </c>
      <c r="S37" s="5">
        <f t="shared" si="43"/>
        <v>-0.51130429999999905</v>
      </c>
      <c r="T37" s="5">
        <f t="shared" si="44"/>
        <v>0.51237099999999458</v>
      </c>
      <c r="U37" s="5">
        <f t="shared" si="45"/>
        <v>0.57891819999999683</v>
      </c>
      <c r="V37" s="22">
        <v>72.594451904296875</v>
      </c>
      <c r="W37" s="5"/>
      <c r="X37" s="5"/>
      <c r="Y37" s="19">
        <v>9.6241280000000007</v>
      </c>
      <c r="Z37" s="20">
        <v>9.7700800000000001</v>
      </c>
      <c r="AA37" s="20">
        <v>11.268202</v>
      </c>
      <c r="AB37" s="21">
        <v>10.250605999999999</v>
      </c>
      <c r="AC37" s="5">
        <f t="shared" si="46"/>
        <v>-8.1268999999998925E-2</v>
      </c>
      <c r="AD37" s="5">
        <f t="shared" si="47"/>
        <v>8.3895000000001829E-2</v>
      </c>
      <c r="AE37" s="5">
        <f t="shared" si="48"/>
        <v>-0.13151940000000018</v>
      </c>
      <c r="AF37" s="22">
        <v>9.8551273345947283</v>
      </c>
      <c r="AG37" s="5"/>
      <c r="AH37" s="5"/>
      <c r="AI37" s="19">
        <v>7.0758095000000001</v>
      </c>
      <c r="AJ37" s="20">
        <v>6.8230453000000004</v>
      </c>
      <c r="AK37" s="20">
        <v>7.182785</v>
      </c>
      <c r="AL37" s="21">
        <v>6.9666304999999999</v>
      </c>
      <c r="AM37" s="5">
        <f t="shared" si="49"/>
        <v>-1.8424699999999739E-2</v>
      </c>
      <c r="AN37" s="5">
        <f t="shared" si="50"/>
        <v>-7.1235049999999411E-2</v>
      </c>
      <c r="AO37" s="5">
        <f t="shared" si="51"/>
        <v>0.14716096999999895</v>
      </c>
      <c r="AP37" s="22">
        <v>6.9797921180725098</v>
      </c>
      <c r="AR37" s="5"/>
      <c r="AS37" s="19">
        <v>16.712966999999999</v>
      </c>
      <c r="AT37" s="20">
        <v>15.685941</v>
      </c>
      <c r="AU37" s="20">
        <v>17.047857</v>
      </c>
      <c r="AV37" s="21">
        <v>14.473711</v>
      </c>
      <c r="AW37" s="5">
        <f t="shared" si="52"/>
        <v>-1.1353297999999974</v>
      </c>
      <c r="AX37" s="5">
        <f t="shared" si="53"/>
        <v>-2.1455472499999999</v>
      </c>
      <c r="AY37" s="5">
        <f t="shared" si="54"/>
        <v>-1.4478822999999998</v>
      </c>
      <c r="AZ37" s="22">
        <v>9.7194366455078125</v>
      </c>
      <c r="BB37" s="5"/>
      <c r="BC37" s="19">
        <v>2.8636363</v>
      </c>
      <c r="BD37" s="20">
        <v>2.8583777000000001</v>
      </c>
      <c r="BE37" s="20">
        <v>3.5933435</v>
      </c>
      <c r="BF37" s="21">
        <v>2.8299663000000002</v>
      </c>
      <c r="BG37" s="5">
        <f t="shared" si="55"/>
        <v>1.4704299999999559E-2</v>
      </c>
      <c r="BH37" s="5">
        <f t="shared" si="56"/>
        <v>1.1100450000000261E-2</v>
      </c>
      <c r="BI37" s="5">
        <f t="shared" si="57"/>
        <v>0.46645524999999965</v>
      </c>
      <c r="BJ37" s="22">
        <v>1.643211364746094</v>
      </c>
      <c r="BL37" s="5"/>
      <c r="BM37" s="19">
        <v>2.1152350000000002</v>
      </c>
      <c r="BN37" s="20">
        <v>2.8828412999999999</v>
      </c>
      <c r="BO37" s="20">
        <v>3.2410969999999999</v>
      </c>
      <c r="BP37" s="21">
        <v>2.9424120999999999</v>
      </c>
      <c r="BQ37" s="5">
        <f t="shared" si="58"/>
        <v>-4.6956060000000299E-2</v>
      </c>
      <c r="BR37" s="5">
        <f t="shared" si="59"/>
        <v>0.50856312999999975</v>
      </c>
      <c r="BS37" s="5">
        <f t="shared" si="60"/>
        <v>0.58717419000000026</v>
      </c>
      <c r="BT37" s="22">
        <v>6.1585903167724609</v>
      </c>
      <c r="BV37" s="5"/>
      <c r="BW37" s="19">
        <v>5.1490200000000002</v>
      </c>
      <c r="BX37" s="20">
        <v>5.5621843000000002</v>
      </c>
      <c r="BY37" s="20">
        <v>6.0566453999999998</v>
      </c>
      <c r="BZ37" s="21">
        <v>5.2799386999999998</v>
      </c>
      <c r="CA37" s="5">
        <f t="shared" si="61"/>
        <v>-0.22590740999999959</v>
      </c>
      <c r="CB37" s="5">
        <f t="shared" si="62"/>
        <v>4.2705680000000079E-2</v>
      </c>
      <c r="CC37" s="5">
        <f t="shared" si="63"/>
        <v>0.32259589000000055</v>
      </c>
      <c r="CD37" s="22">
        <v>1.5016434192657471</v>
      </c>
      <c r="CI37">
        <v>2.852109432220459</v>
      </c>
      <c r="CN37">
        <v>1.569048404693604</v>
      </c>
    </row>
    <row r="38" spans="1:92" x14ac:dyDescent="0.25">
      <c r="A38" s="38"/>
      <c r="B38" s="5">
        <v>6</v>
      </c>
      <c r="C38" s="18">
        <v>28</v>
      </c>
      <c r="E38" s="19">
        <v>87.772679999999994</v>
      </c>
      <c r="F38" s="20">
        <v>87.190209999999993</v>
      </c>
      <c r="G38" s="20">
        <v>86.796930000000003</v>
      </c>
      <c r="H38" s="21">
        <v>86.895250000000004</v>
      </c>
      <c r="I38" s="5">
        <f t="shared" si="40"/>
        <v>0.21367069999999444</v>
      </c>
      <c r="J38" s="5">
        <f t="shared" si="41"/>
        <v>-0.51554649999999924</v>
      </c>
      <c r="K38" s="5">
        <f t="shared" si="42"/>
        <v>-0.4501812999999828</v>
      </c>
      <c r="L38" s="22">
        <v>84.201805114746094</v>
      </c>
      <c r="M38" s="5"/>
      <c r="N38" s="5"/>
      <c r="O38" s="19">
        <v>53.787616999999997</v>
      </c>
      <c r="P38" s="20">
        <v>53.149104999999999</v>
      </c>
      <c r="Q38" s="20">
        <v>53.378383999999997</v>
      </c>
      <c r="R38" s="21">
        <v>53.605514999999997</v>
      </c>
      <c r="S38" s="5">
        <f t="shared" si="43"/>
        <v>-9.3129300000001081E-2</v>
      </c>
      <c r="T38" s="5">
        <f t="shared" si="44"/>
        <v>-0.67199400000000509</v>
      </c>
      <c r="U38" s="5">
        <f t="shared" si="45"/>
        <v>-0.60969580000000434</v>
      </c>
      <c r="V38" s="22">
        <v>72.004478454589844</v>
      </c>
      <c r="W38" s="5"/>
      <c r="X38" s="5"/>
      <c r="Y38" s="19">
        <v>9.8032529999999998</v>
      </c>
      <c r="Z38" s="20">
        <v>9.7864100000000001</v>
      </c>
      <c r="AA38" s="20">
        <v>10.271459</v>
      </c>
      <c r="AB38" s="21">
        <v>9.6984359999999992</v>
      </c>
      <c r="AC38" s="5">
        <f t="shared" si="46"/>
        <v>9.7856000000000165E-2</v>
      </c>
      <c r="AD38" s="5">
        <f t="shared" si="47"/>
        <v>0.10022500000000178</v>
      </c>
      <c r="AE38" s="5">
        <f t="shared" si="48"/>
        <v>-1.1282624000000006</v>
      </c>
      <c r="AF38" s="22">
        <v>20.31297492980957</v>
      </c>
      <c r="AG38" s="5"/>
      <c r="AH38" s="5"/>
      <c r="AI38" s="19">
        <v>7.0003029999999997</v>
      </c>
      <c r="AJ38" s="20">
        <v>6.9422480000000002</v>
      </c>
      <c r="AK38" s="20">
        <v>6.9956893999999998</v>
      </c>
      <c r="AL38" s="21">
        <v>7.1674179999999996</v>
      </c>
      <c r="AM38" s="5">
        <f t="shared" si="49"/>
        <v>-9.3931200000000104E-2</v>
      </c>
      <c r="AN38" s="5">
        <f t="shared" si="50"/>
        <v>4.7967650000000361E-2</v>
      </c>
      <c r="AO38" s="5">
        <f t="shared" si="51"/>
        <v>-3.9934630000001192E-2</v>
      </c>
      <c r="AP38" s="22">
        <v>7.0902881622314453</v>
      </c>
      <c r="AR38" s="5"/>
      <c r="AS38" s="19">
        <v>19.078036999999998</v>
      </c>
      <c r="AT38" s="20">
        <v>19.3</v>
      </c>
      <c r="AU38" s="20">
        <v>19.346789999999999</v>
      </c>
      <c r="AV38" s="21">
        <v>19.253215999999998</v>
      </c>
      <c r="AW38" s="5">
        <f t="shared" si="52"/>
        <v>1.2297402000000019</v>
      </c>
      <c r="AX38" s="5">
        <f t="shared" si="53"/>
        <v>1.4685117500000011</v>
      </c>
      <c r="AY38" s="5">
        <f t="shared" si="54"/>
        <v>0.85105069999999827</v>
      </c>
      <c r="AZ38" s="22">
        <v>9.1869487762451154</v>
      </c>
      <c r="BB38" s="5"/>
      <c r="BC38" s="19">
        <v>2.852684</v>
      </c>
      <c r="BD38" s="20">
        <v>2.8269321999999999</v>
      </c>
      <c r="BE38" s="20">
        <v>2.7981362000000001</v>
      </c>
      <c r="BF38" s="21">
        <v>2.8299072000000001</v>
      </c>
      <c r="BG38" s="5">
        <f t="shared" si="55"/>
        <v>3.7519999999995335E-3</v>
      </c>
      <c r="BH38" s="5">
        <f t="shared" si="56"/>
        <v>-2.0345049999999976E-2</v>
      </c>
      <c r="BI38" s="5">
        <f t="shared" si="57"/>
        <v>-0.3287520500000003</v>
      </c>
      <c r="BJ38" s="22">
        <v>1.998647212982178</v>
      </c>
      <c r="BL38" s="5"/>
      <c r="BM38" s="19">
        <v>2.1481072999999999</v>
      </c>
      <c r="BN38" s="20">
        <v>2.0185583</v>
      </c>
      <c r="BO38" s="20">
        <v>2.1793406000000002</v>
      </c>
      <c r="BP38" s="21">
        <v>1.929497</v>
      </c>
      <c r="BQ38" s="5">
        <f t="shared" si="58"/>
        <v>-1.4083760000000556E-2</v>
      </c>
      <c r="BR38" s="5">
        <f t="shared" si="59"/>
        <v>-0.35571987000000016</v>
      </c>
      <c r="BS38" s="5">
        <f t="shared" si="60"/>
        <v>-0.47458220999999945</v>
      </c>
      <c r="BT38" s="22">
        <v>12.42718601226807</v>
      </c>
      <c r="BV38" s="5"/>
      <c r="BW38" s="19">
        <v>5.535012</v>
      </c>
      <c r="BX38" s="20">
        <v>5.5298920000000003</v>
      </c>
      <c r="BY38" s="20">
        <v>5.2694855</v>
      </c>
      <c r="BZ38" s="21">
        <v>5.5114926999999998</v>
      </c>
      <c r="CA38" s="5">
        <f t="shared" si="61"/>
        <v>0.1600845900000003</v>
      </c>
      <c r="CB38" s="5">
        <f t="shared" si="62"/>
        <v>1.0413380000000139E-2</v>
      </c>
      <c r="CC38" s="5">
        <f t="shared" si="63"/>
        <v>-0.46456400999999925</v>
      </c>
      <c r="CD38" s="22">
        <v>1.6119647026062009</v>
      </c>
      <c r="CI38">
        <v>2.8993561267852779</v>
      </c>
      <c r="CN38">
        <v>1.7882561683654781</v>
      </c>
    </row>
    <row r="39" spans="1:92" x14ac:dyDescent="0.25">
      <c r="A39" s="38"/>
      <c r="B39" s="5">
        <v>7</v>
      </c>
      <c r="C39" s="18">
        <v>33</v>
      </c>
      <c r="E39" s="19">
        <v>87.573269999999994</v>
      </c>
      <c r="F39" s="20">
        <v>88.150589999999994</v>
      </c>
      <c r="G39" s="20">
        <v>87.592460000000003</v>
      </c>
      <c r="H39" s="21">
        <v>87.696250000000006</v>
      </c>
      <c r="I39" s="5">
        <f t="shared" si="40"/>
        <v>1.4260699999994131E-2</v>
      </c>
      <c r="J39" s="5">
        <f t="shared" si="41"/>
        <v>0.44483350000000144</v>
      </c>
      <c r="K39" s="5">
        <f t="shared" si="42"/>
        <v>0.34534870000001661</v>
      </c>
      <c r="L39" s="22">
        <v>82.838104248046875</v>
      </c>
      <c r="M39" s="5"/>
      <c r="N39" s="5"/>
      <c r="O39" s="19">
        <v>53.920692000000003</v>
      </c>
      <c r="P39" s="20">
        <v>54.346905</v>
      </c>
      <c r="Q39" s="20">
        <v>55.342426000000003</v>
      </c>
      <c r="R39" s="21">
        <v>53.515025999999999</v>
      </c>
      <c r="S39" s="5">
        <f t="shared" si="43"/>
        <v>3.9945700000004081E-2</v>
      </c>
      <c r="T39" s="5">
        <f t="shared" si="44"/>
        <v>0.52580599999999578</v>
      </c>
      <c r="U39" s="5">
        <f t="shared" si="45"/>
        <v>1.3543462000000019</v>
      </c>
      <c r="V39" s="22">
        <v>73.800285339355469</v>
      </c>
      <c r="W39" s="5"/>
      <c r="X39" s="5"/>
      <c r="Y39" s="19">
        <v>9.750318</v>
      </c>
      <c r="Z39" s="20">
        <v>9.6437720000000002</v>
      </c>
      <c r="AA39" s="20">
        <v>15.833429000000001</v>
      </c>
      <c r="AB39" s="21">
        <v>9.9357605000000007</v>
      </c>
      <c r="AC39" s="5">
        <f t="shared" si="46"/>
        <v>4.4921000000000433E-2</v>
      </c>
      <c r="AD39" s="5">
        <f t="shared" si="47"/>
        <v>-4.2412999999998036E-2</v>
      </c>
      <c r="AE39" s="5">
        <f t="shared" si="48"/>
        <v>4.4337076</v>
      </c>
      <c r="AF39" s="22">
        <v>11.357925415039061</v>
      </c>
      <c r="AG39" s="5"/>
      <c r="AH39" s="5"/>
      <c r="AI39" s="19">
        <v>7.252351</v>
      </c>
      <c r="AJ39" s="20">
        <v>6.9112340000000003</v>
      </c>
      <c r="AK39" s="20">
        <v>7.0926847000000004</v>
      </c>
      <c r="AL39" s="21">
        <v>6.9450519999999996</v>
      </c>
      <c r="AM39" s="5">
        <f t="shared" si="49"/>
        <v>0.15811680000000017</v>
      </c>
      <c r="AN39" s="5">
        <f t="shared" si="50"/>
        <v>1.6953650000000486E-2</v>
      </c>
      <c r="AO39" s="5">
        <f t="shared" si="51"/>
        <v>5.7060669999999369E-2</v>
      </c>
      <c r="AP39" s="22">
        <v>5.1677041053771973</v>
      </c>
      <c r="AR39" s="5"/>
      <c r="AS39" s="19">
        <v>16.612486000000001</v>
      </c>
      <c r="AT39" s="20">
        <v>14.439363500000001</v>
      </c>
      <c r="AU39" s="20">
        <v>16.595075999999999</v>
      </c>
      <c r="AV39" s="21">
        <v>14.94558</v>
      </c>
      <c r="AW39" s="5">
        <f t="shared" si="52"/>
        <v>-1.2358107999999959</v>
      </c>
      <c r="AX39" s="5">
        <f t="shared" si="53"/>
        <v>-3.3921247499999989</v>
      </c>
      <c r="AY39" s="5">
        <f t="shared" si="54"/>
        <v>-1.9006633000000015</v>
      </c>
      <c r="AZ39" s="22">
        <v>10.11396503448486</v>
      </c>
      <c r="BB39" s="5"/>
      <c r="BC39" s="19">
        <v>2.8560873999999998</v>
      </c>
      <c r="BD39" s="20">
        <v>2.8437489999999999</v>
      </c>
      <c r="BE39" s="20">
        <v>3.58297</v>
      </c>
      <c r="BF39" s="21">
        <v>2.8349297</v>
      </c>
      <c r="BG39" s="5">
        <f t="shared" si="55"/>
        <v>7.1553999999993678E-3</v>
      </c>
      <c r="BH39" s="5">
        <f t="shared" si="56"/>
        <v>-3.5282500000000105E-3</v>
      </c>
      <c r="BI39" s="5">
        <f t="shared" si="57"/>
        <v>0.45608174999999962</v>
      </c>
      <c r="BJ39" s="22">
        <v>3.143062829971313</v>
      </c>
      <c r="BL39" s="5"/>
      <c r="BM39" s="19">
        <v>2.1488035000000001</v>
      </c>
      <c r="BN39" s="20">
        <v>2.9982215999999999</v>
      </c>
      <c r="BO39" s="20">
        <v>3.2445246999999999</v>
      </c>
      <c r="BP39" s="21">
        <v>2.8413238999999999</v>
      </c>
      <c r="BQ39" s="5">
        <f t="shared" si="58"/>
        <v>-1.3387560000000409E-2</v>
      </c>
      <c r="BR39" s="5">
        <f t="shared" si="59"/>
        <v>0.62394342999999974</v>
      </c>
      <c r="BS39" s="5">
        <f t="shared" si="60"/>
        <v>0.5906018900000003</v>
      </c>
      <c r="BT39" s="22">
        <v>2.7290608882904048</v>
      </c>
      <c r="BV39" s="5"/>
      <c r="BW39" s="19">
        <v>5.1100025000000002</v>
      </c>
      <c r="BX39" s="20">
        <v>5.4443884000000002</v>
      </c>
      <c r="BY39" s="20">
        <v>6.1459679999999999</v>
      </c>
      <c r="BZ39" s="21">
        <v>5.6670980000000002</v>
      </c>
      <c r="CA39" s="5">
        <f t="shared" si="61"/>
        <v>-0.26492490999999951</v>
      </c>
      <c r="CB39" s="5">
        <f t="shared" si="62"/>
        <v>-7.5090219999999874E-2</v>
      </c>
      <c r="CC39" s="5">
        <f t="shared" si="63"/>
        <v>0.41191849000000058</v>
      </c>
      <c r="CD39" s="22">
        <v>1.468977212905884</v>
      </c>
      <c r="CI39">
        <v>1.2869293689727781</v>
      </c>
      <c r="CN39">
        <v>1.5510133504867549</v>
      </c>
    </row>
    <row r="40" spans="1:92" x14ac:dyDescent="0.25">
      <c r="A40" s="38"/>
      <c r="B40" s="5">
        <v>8</v>
      </c>
      <c r="C40" s="18">
        <v>38</v>
      </c>
      <c r="E40" s="19">
        <v>87.681610000000006</v>
      </c>
      <c r="F40" s="20">
        <v>87.574539999999999</v>
      </c>
      <c r="G40" s="20">
        <v>87.150760000000005</v>
      </c>
      <c r="H40" s="21">
        <v>86.738209999999995</v>
      </c>
      <c r="I40" s="5">
        <f t="shared" si="40"/>
        <v>0.12260070000000667</v>
      </c>
      <c r="J40" s="5">
        <f t="shared" si="41"/>
        <v>-0.13121649999999363</v>
      </c>
      <c r="K40" s="5">
        <f t="shared" si="42"/>
        <v>-9.6351299999980711E-2</v>
      </c>
      <c r="L40" s="22">
        <v>82.699607849121094</v>
      </c>
      <c r="M40" s="5"/>
      <c r="N40" s="5"/>
      <c r="O40" s="19">
        <v>54.082329999999999</v>
      </c>
      <c r="P40" s="20">
        <v>54.031779999999998</v>
      </c>
      <c r="Q40" s="20">
        <v>53.501342999999999</v>
      </c>
      <c r="R40" s="21">
        <v>53.605150000000002</v>
      </c>
      <c r="S40" s="5">
        <f t="shared" si="43"/>
        <v>0.20158370000000048</v>
      </c>
      <c r="T40" s="5">
        <f t="shared" si="44"/>
        <v>0.2106809999999939</v>
      </c>
      <c r="U40" s="5">
        <f t="shared" si="45"/>
        <v>-0.48673680000000275</v>
      </c>
      <c r="V40" s="22">
        <v>73.882308959960938</v>
      </c>
      <c r="W40" s="5"/>
      <c r="X40" s="5"/>
      <c r="Y40" s="19">
        <v>9.8200369999999992</v>
      </c>
      <c r="Z40" s="20">
        <v>9.9096679999999999</v>
      </c>
      <c r="AA40" s="20">
        <v>10.42933</v>
      </c>
      <c r="AB40" s="21">
        <v>9.6166979999999995</v>
      </c>
      <c r="AC40" s="5">
        <f t="shared" si="46"/>
        <v>0.11463999999999963</v>
      </c>
      <c r="AD40" s="5">
        <f t="shared" si="47"/>
        <v>0.22348300000000165</v>
      </c>
      <c r="AE40" s="5">
        <f t="shared" si="48"/>
        <v>-0.97039140000000046</v>
      </c>
      <c r="AF40" s="22">
        <v>10.54888439178467</v>
      </c>
      <c r="AG40" s="5"/>
      <c r="AH40" s="5"/>
      <c r="AI40" s="19">
        <v>6.8192477</v>
      </c>
      <c r="AJ40" s="20">
        <v>6.7894734999999997</v>
      </c>
      <c r="AK40" s="20">
        <v>7.0341643999999999</v>
      </c>
      <c r="AL40" s="21">
        <v>7.2159199999999997</v>
      </c>
      <c r="AM40" s="5">
        <f t="shared" si="49"/>
        <v>-0.2749864999999998</v>
      </c>
      <c r="AN40" s="5">
        <f t="shared" si="50"/>
        <v>-0.10480685000000012</v>
      </c>
      <c r="AO40" s="5">
        <f t="shared" si="51"/>
        <v>-1.4596300000011553E-3</v>
      </c>
      <c r="AP40" s="22">
        <v>5.1672801971435547</v>
      </c>
      <c r="AR40" s="5"/>
      <c r="AS40" s="19">
        <v>19.076682999999999</v>
      </c>
      <c r="AT40" s="20">
        <v>18.894783</v>
      </c>
      <c r="AU40" s="20">
        <v>19.238368999999999</v>
      </c>
      <c r="AV40" s="21">
        <v>19.201934999999999</v>
      </c>
      <c r="AW40" s="5">
        <f t="shared" si="52"/>
        <v>1.2283862000000028</v>
      </c>
      <c r="AX40" s="5">
        <f t="shared" si="53"/>
        <v>1.0632947500000007</v>
      </c>
      <c r="AY40" s="5">
        <f t="shared" si="54"/>
        <v>0.74262969999999839</v>
      </c>
      <c r="AZ40" s="22">
        <v>9.8030824661254883</v>
      </c>
      <c r="BB40" s="5"/>
      <c r="BC40" s="19">
        <v>2.8539979999999998</v>
      </c>
      <c r="BD40" s="20">
        <v>2.8563475999999999</v>
      </c>
      <c r="BE40" s="20">
        <v>2.8328497000000001</v>
      </c>
      <c r="BF40" s="21">
        <v>2.8350290999999999</v>
      </c>
      <c r="BG40" s="5">
        <f t="shared" si="55"/>
        <v>5.0659999999993488E-3</v>
      </c>
      <c r="BH40" s="5">
        <f t="shared" si="56"/>
        <v>9.0703500000000048E-3</v>
      </c>
      <c r="BI40" s="5">
        <f t="shared" si="57"/>
        <v>-0.29403855000000023</v>
      </c>
      <c r="BJ40" s="22">
        <v>2.093816995620728</v>
      </c>
      <c r="BL40" s="5"/>
      <c r="BM40" s="19">
        <v>2.1003536999999999</v>
      </c>
      <c r="BN40" s="20">
        <v>2.0294284999999999</v>
      </c>
      <c r="BO40" s="20">
        <v>2.2791983999999998</v>
      </c>
      <c r="BP40" s="21">
        <v>1.896587</v>
      </c>
      <c r="BQ40" s="5">
        <f t="shared" si="58"/>
        <v>-6.1837360000000618E-2</v>
      </c>
      <c r="BR40" s="5">
        <f t="shared" si="59"/>
        <v>-0.34484967000000033</v>
      </c>
      <c r="BS40" s="5">
        <f t="shared" si="60"/>
        <v>-0.37472440999999979</v>
      </c>
      <c r="BT40" s="22">
        <v>2.7039990425109859</v>
      </c>
      <c r="BV40" s="5"/>
      <c r="BW40" s="19">
        <v>5.5857010000000002</v>
      </c>
      <c r="BX40" s="20">
        <v>5.3298889999999997</v>
      </c>
      <c r="BY40" s="20">
        <v>5.5898779999999997</v>
      </c>
      <c r="BZ40" s="21">
        <v>5.6629199999999997</v>
      </c>
      <c r="CA40" s="5">
        <f t="shared" si="61"/>
        <v>0.21077359000000051</v>
      </c>
      <c r="CB40" s="5">
        <f t="shared" si="62"/>
        <v>-0.18958962000000046</v>
      </c>
      <c r="CC40" s="5">
        <f t="shared" si="63"/>
        <v>-0.14417150999999961</v>
      </c>
      <c r="CD40" s="22">
        <v>1.2907813787460329</v>
      </c>
      <c r="CI40">
        <v>1.2760025262832639</v>
      </c>
      <c r="CN40">
        <v>1.5433962345123291</v>
      </c>
    </row>
    <row r="41" spans="1:92" x14ac:dyDescent="0.25">
      <c r="A41" s="38"/>
      <c r="B41" s="5">
        <v>9</v>
      </c>
      <c r="C41" s="18">
        <v>43</v>
      </c>
      <c r="E41" s="19">
        <v>87.46114</v>
      </c>
      <c r="F41" s="20">
        <v>87.976849999999999</v>
      </c>
      <c r="G41" s="20">
        <v>87.361046000000002</v>
      </c>
      <c r="H41" s="21">
        <v>88.148994000000002</v>
      </c>
      <c r="I41" s="5">
        <f t="shared" si="40"/>
        <v>-9.7869299999999271E-2</v>
      </c>
      <c r="J41" s="5">
        <f t="shared" si="41"/>
        <v>0.27109350000000632</v>
      </c>
      <c r="K41" s="5">
        <f t="shared" si="42"/>
        <v>0.11393470000001571</v>
      </c>
      <c r="L41" s="22">
        <v>83.006759643554688</v>
      </c>
      <c r="M41" s="5"/>
      <c r="N41" s="5"/>
      <c r="O41" s="19">
        <v>54.170544</v>
      </c>
      <c r="P41" s="20">
        <v>54.103752</v>
      </c>
      <c r="Q41" s="20">
        <v>54.751570000000001</v>
      </c>
      <c r="R41" s="21">
        <v>55.271030000000003</v>
      </c>
      <c r="S41" s="5">
        <f t="shared" si="43"/>
        <v>0.28979770000000116</v>
      </c>
      <c r="T41" s="5">
        <f t="shared" si="44"/>
        <v>0.28265299999999627</v>
      </c>
      <c r="U41" s="5">
        <f t="shared" si="45"/>
        <v>0.76349019999999967</v>
      </c>
      <c r="V41" s="22">
        <v>73.414314270019531</v>
      </c>
      <c r="W41" s="5"/>
      <c r="X41" s="5"/>
      <c r="Y41" s="19">
        <v>9.5868160000000007</v>
      </c>
      <c r="Z41" s="20">
        <v>9.8835169999999994</v>
      </c>
      <c r="AA41" s="20">
        <v>15.945626000000001</v>
      </c>
      <c r="AB41" s="21">
        <v>10.160824</v>
      </c>
      <c r="AC41" s="5">
        <f t="shared" si="46"/>
        <v>-0.11858099999999894</v>
      </c>
      <c r="AD41" s="5">
        <f t="shared" si="47"/>
        <v>0.19733200000000117</v>
      </c>
      <c r="AE41" s="5">
        <f t="shared" si="48"/>
        <v>4.5459046000000001</v>
      </c>
      <c r="AF41" s="22">
        <v>11.37313842773438</v>
      </c>
      <c r="AG41" s="5"/>
      <c r="AH41" s="5"/>
      <c r="AI41" s="19">
        <v>6.9072876000000001</v>
      </c>
      <c r="AJ41" s="20">
        <v>6.8346280000000004</v>
      </c>
      <c r="AK41" s="20">
        <v>6.7091136000000002</v>
      </c>
      <c r="AL41" s="21">
        <v>6.9119725000000001</v>
      </c>
      <c r="AM41" s="5">
        <f t="shared" si="49"/>
        <v>-0.18694659999999974</v>
      </c>
      <c r="AN41" s="5">
        <f t="shared" si="50"/>
        <v>-5.9652349999999466E-2</v>
      </c>
      <c r="AO41" s="5">
        <f t="shared" si="51"/>
        <v>-0.3265104300000008</v>
      </c>
      <c r="AP41" s="22">
        <v>4.9135746955871582</v>
      </c>
      <c r="AR41" s="5"/>
      <c r="AS41" s="19">
        <v>14.802441999999999</v>
      </c>
      <c r="AT41" s="20">
        <v>16.226068000000001</v>
      </c>
      <c r="AU41" s="20">
        <v>17.13073</v>
      </c>
      <c r="AV41" s="21">
        <v>14.390306000000001</v>
      </c>
      <c r="AW41" s="5">
        <f t="shared" si="52"/>
        <v>-3.0458547999999972</v>
      </c>
      <c r="AX41" s="5">
        <f t="shared" si="53"/>
        <v>-1.6054202499999981</v>
      </c>
      <c r="AY41" s="5">
        <f t="shared" si="54"/>
        <v>-1.3650093000000005</v>
      </c>
      <c r="AZ41" s="22">
        <v>10.72947311401367</v>
      </c>
      <c r="BB41" s="5"/>
      <c r="BC41" s="19">
        <v>2.8351912000000001</v>
      </c>
      <c r="BD41" s="20">
        <v>2.8620264999999998</v>
      </c>
      <c r="BE41" s="20">
        <v>4.2638389999999999</v>
      </c>
      <c r="BF41" s="21">
        <v>2.8299663000000002</v>
      </c>
      <c r="BG41" s="5">
        <f t="shared" si="55"/>
        <v>-1.3740800000000331E-2</v>
      </c>
      <c r="BH41" s="5">
        <f t="shared" si="56"/>
        <v>1.4749249999999936E-2</v>
      </c>
      <c r="BI41" s="5">
        <f t="shared" si="57"/>
        <v>1.1369507499999996</v>
      </c>
      <c r="BJ41" s="22">
        <v>3.195968866348267</v>
      </c>
      <c r="BL41" s="5"/>
      <c r="BM41" s="19">
        <v>2.1732418999999998</v>
      </c>
      <c r="BN41" s="20">
        <v>2.7089690000000002</v>
      </c>
      <c r="BO41" s="20">
        <v>3.3600943000000001</v>
      </c>
      <c r="BP41" s="21">
        <v>2.6361718000000001</v>
      </c>
      <c r="BQ41" s="5">
        <f t="shared" si="58"/>
        <v>1.105083999999934E-2</v>
      </c>
      <c r="BR41" s="5">
        <f t="shared" si="59"/>
        <v>0.33469082999999999</v>
      </c>
      <c r="BS41" s="5">
        <f t="shared" si="60"/>
        <v>0.70617149000000046</v>
      </c>
      <c r="BT41" s="22">
        <v>2.495773077011108</v>
      </c>
      <c r="BV41" s="5"/>
      <c r="BW41" s="19">
        <v>5.1197049999999997</v>
      </c>
      <c r="BX41" s="20">
        <v>5.6102432999999996</v>
      </c>
      <c r="BY41" s="20">
        <v>6.0727352999999997</v>
      </c>
      <c r="BZ41" s="21">
        <v>5.2388782999999997</v>
      </c>
      <c r="CA41" s="5">
        <f t="shared" si="61"/>
        <v>-0.25522241000000001</v>
      </c>
      <c r="CB41" s="5">
        <f t="shared" si="62"/>
        <v>9.0764679999999487E-2</v>
      </c>
      <c r="CC41" s="5">
        <f t="shared" si="63"/>
        <v>0.33868579000000043</v>
      </c>
      <c r="CD41" s="22">
        <v>1.4731065034866331</v>
      </c>
      <c r="CI41">
        <v>1.254568934440613</v>
      </c>
      <c r="CN41">
        <v>1.637948155403137</v>
      </c>
    </row>
    <row r="42" spans="1:92" x14ac:dyDescent="0.25">
      <c r="A42" s="39"/>
      <c r="B42" s="23">
        <v>10</v>
      </c>
      <c r="C42" s="24">
        <v>48</v>
      </c>
      <c r="E42" s="25">
        <v>87.873589999999993</v>
      </c>
      <c r="F42" s="26">
        <v>87.272869999999998</v>
      </c>
      <c r="G42" s="26">
        <v>87.259513999999996</v>
      </c>
      <c r="H42" s="27">
        <v>86.73442</v>
      </c>
      <c r="I42" s="23">
        <f t="shared" si="40"/>
        <v>0.31458069999999339</v>
      </c>
      <c r="J42" s="23">
        <f t="shared" si="41"/>
        <v>-0.43288649999999507</v>
      </c>
      <c r="K42" s="23">
        <f t="shared" si="42"/>
        <v>1.2402700000009759E-2</v>
      </c>
      <c r="L42" s="28">
        <v>82.792449951171875</v>
      </c>
      <c r="M42" s="5"/>
      <c r="N42" s="5"/>
      <c r="O42" s="25">
        <v>53.645000000000003</v>
      </c>
      <c r="P42" s="26">
        <v>53.413612000000001</v>
      </c>
      <c r="Q42" s="26">
        <v>53.193950000000001</v>
      </c>
      <c r="R42" s="27">
        <v>53.550776999999997</v>
      </c>
      <c r="S42" s="23">
        <f t="shared" si="43"/>
        <v>-0.2357462999999953</v>
      </c>
      <c r="T42" s="23">
        <f t="shared" si="44"/>
        <v>-0.40748700000000326</v>
      </c>
      <c r="U42" s="23">
        <f t="shared" si="45"/>
        <v>-0.79412980000000033</v>
      </c>
      <c r="V42" s="28">
        <v>73.086868286132813</v>
      </c>
      <c r="W42" s="5"/>
      <c r="X42" s="5"/>
      <c r="Y42" s="25">
        <v>9.5221660000000004</v>
      </c>
      <c r="Z42" s="26">
        <v>9.6070229999999999</v>
      </c>
      <c r="AA42" s="26">
        <v>9.5325760000000006</v>
      </c>
      <c r="AB42" s="27">
        <v>9.5781989999999997</v>
      </c>
      <c r="AC42" s="23">
        <f t="shared" si="46"/>
        <v>-0.18323099999999926</v>
      </c>
      <c r="AD42" s="23">
        <f t="shared" si="47"/>
        <v>-7.91619999999984E-2</v>
      </c>
      <c r="AE42" s="23">
        <f t="shared" si="48"/>
        <v>-1.8671454000000001</v>
      </c>
      <c r="AF42" s="28">
        <v>11.35883140563965</v>
      </c>
      <c r="AG42" s="5"/>
      <c r="AH42" s="5"/>
      <c r="AI42" s="25">
        <v>7.3693879999999998</v>
      </c>
      <c r="AJ42" s="26">
        <v>7.0332100000000004</v>
      </c>
      <c r="AK42" s="26">
        <v>7.1054683000000001</v>
      </c>
      <c r="AL42" s="27">
        <v>7.2901715999999999</v>
      </c>
      <c r="AM42" s="23">
        <f t="shared" si="49"/>
        <v>0.2751538</v>
      </c>
      <c r="AN42" s="23">
        <f t="shared" si="50"/>
        <v>0.13892965000000057</v>
      </c>
      <c r="AO42" s="23">
        <f t="shared" si="51"/>
        <v>6.9844269999999042E-2</v>
      </c>
      <c r="AP42" s="28">
        <v>5.1187982559204102</v>
      </c>
      <c r="AR42" s="5"/>
      <c r="AS42" s="25">
        <v>19.078780999999999</v>
      </c>
      <c r="AT42" s="26">
        <v>19.358173000000001</v>
      </c>
      <c r="AU42" s="26">
        <v>19.051704000000001</v>
      </c>
      <c r="AV42" s="27">
        <v>19.253305000000001</v>
      </c>
      <c r="AW42" s="23">
        <f t="shared" si="52"/>
        <v>1.2304842000000029</v>
      </c>
      <c r="AX42" s="23">
        <f t="shared" si="53"/>
        <v>1.5266847500000011</v>
      </c>
      <c r="AY42" s="23">
        <f t="shared" si="54"/>
        <v>0.55596470000000053</v>
      </c>
      <c r="AZ42" s="28">
        <v>10.05780124664307</v>
      </c>
      <c r="BB42" s="5"/>
      <c r="BC42" s="25">
        <v>2.8411282999999998</v>
      </c>
      <c r="BD42" s="26">
        <v>2.8289909999999998</v>
      </c>
      <c r="BE42" s="26">
        <v>2.8289510999999998</v>
      </c>
      <c r="BF42" s="27">
        <v>2.8289623000000002</v>
      </c>
      <c r="BG42" s="23">
        <f t="shared" si="55"/>
        <v>-7.8037000000006351E-3</v>
      </c>
      <c r="BH42" s="23">
        <f t="shared" si="56"/>
        <v>-1.8286250000000059E-2</v>
      </c>
      <c r="BI42" s="23">
        <f t="shared" si="57"/>
        <v>-0.29793715000000054</v>
      </c>
      <c r="BJ42" s="28">
        <v>3.1458203792572021</v>
      </c>
      <c r="BL42" s="5"/>
      <c r="BM42" s="25">
        <v>2.1498680000000001</v>
      </c>
      <c r="BN42" s="26">
        <v>1.9844793000000001</v>
      </c>
      <c r="BO42" s="26">
        <v>2.0539795999999999</v>
      </c>
      <c r="BP42" s="27">
        <v>1.9204327999999999</v>
      </c>
      <c r="BQ42" s="23">
        <f t="shared" si="58"/>
        <v>-1.2323060000000385E-2</v>
      </c>
      <c r="BR42" s="23">
        <f t="shared" si="59"/>
        <v>-0.38979887000000013</v>
      </c>
      <c r="BS42" s="23">
        <f t="shared" si="60"/>
        <v>-0.59994320999999973</v>
      </c>
      <c r="BT42" s="28">
        <v>2.401467084884644</v>
      </c>
      <c r="BV42" s="5"/>
      <c r="BW42" s="25">
        <v>5.6608915</v>
      </c>
      <c r="BX42" s="26">
        <v>5.5632204999999999</v>
      </c>
      <c r="BY42" s="26">
        <v>5.5945872999999997</v>
      </c>
      <c r="BZ42" s="27">
        <v>5.5003739999999999</v>
      </c>
      <c r="CA42" s="23">
        <f t="shared" si="61"/>
        <v>0.28596409000000023</v>
      </c>
      <c r="CB42" s="23">
        <f t="shared" si="62"/>
        <v>4.3741879999999789E-2</v>
      </c>
      <c r="CC42" s="23">
        <f t="shared" si="63"/>
        <v>-0.13946220999999959</v>
      </c>
      <c r="CD42" s="28">
        <v>1.2649844884872441</v>
      </c>
      <c r="CI42">
        <v>1.2130511999130249</v>
      </c>
      <c r="CN42">
        <v>1.512855529785156</v>
      </c>
    </row>
    <row r="43" spans="1:92" x14ac:dyDescent="0.25">
      <c r="A43" s="37">
        <v>4</v>
      </c>
      <c r="B43" s="12">
        <v>1</v>
      </c>
      <c r="C43" s="13">
        <v>4</v>
      </c>
      <c r="E43" s="14">
        <v>87.231399999999994</v>
      </c>
      <c r="F43" s="15">
        <v>88.116990000000001</v>
      </c>
      <c r="G43" s="15">
        <v>88.003044000000003</v>
      </c>
      <c r="H43" s="16">
        <v>87.997339999999994</v>
      </c>
      <c r="I43" s="12">
        <f t="shared" ref="I43:I52" si="64">IF(OR(E43="",E43="NaN"),"",E43-AVERAGE(E$43:E$52))</f>
        <v>-0.55225540000000706</v>
      </c>
      <c r="J43" s="12">
        <f t="shared" ref="J43:J52" si="65">IF(OR(F43="",F43="NaN"),"",F43-AVERAGE(F$43:F$52))</f>
        <v>-0.39394459999999754</v>
      </c>
      <c r="K43" s="12">
        <f t="shared" ref="K43:K52" si="66">IF(OR(G43="",G43="NaN"),"",G43-AVERAGE(G$43:G$52))</f>
        <v>0.33874400000000549</v>
      </c>
      <c r="L43" s="17">
        <v>82.609611511230469</v>
      </c>
      <c r="M43" s="5"/>
      <c r="N43" s="5"/>
      <c r="O43" s="14">
        <v>59.224406999999999</v>
      </c>
      <c r="P43" s="15">
        <v>54.281902000000002</v>
      </c>
      <c r="Q43" s="15">
        <v>53.700893000000001</v>
      </c>
      <c r="R43" s="16">
        <v>53.976253999999997</v>
      </c>
      <c r="S43" s="12">
        <f t="shared" ref="S43:S52" si="67">IF(OR(O43="",O43="NaN"),"",O43-AVERAGE(O$43:O$52))</f>
        <v>0.94631090000000739</v>
      </c>
      <c r="T43" s="12">
        <f t="shared" ref="T43:T52" si="68">IF(OR(P43="",P43="NaN"),"",P43-AVERAGE(P$43:P$52))</f>
        <v>0.58753409999999207</v>
      </c>
      <c r="U43" s="12">
        <f t="shared" ref="U43:U52" si="69">IF(OR(Q43="",Q43="NaN"),"",Q43-AVERAGE(Q$43:Q$52))</f>
        <v>-3.5068714999999955</v>
      </c>
      <c r="V43" s="17">
        <v>70.460731506347656</v>
      </c>
      <c r="W43" s="5"/>
      <c r="X43" s="5"/>
      <c r="Y43" s="14">
        <v>9.2544170000000001</v>
      </c>
      <c r="Z43" s="15">
        <v>9.4054490000000008</v>
      </c>
      <c r="AA43" s="15">
        <v>9.4457319999999996</v>
      </c>
      <c r="AB43" s="16">
        <v>9.6452200000000001</v>
      </c>
      <c r="AC43" s="12">
        <f t="shared" ref="AC43:AC52" si="70">IF(OR(Y43="",Y43="NaN"),"",Y43-AVERAGE(Y$43:Y$52))</f>
        <v>-0.25847380000000086</v>
      </c>
      <c r="AD43" s="12">
        <f t="shared" ref="AD43:AD52" si="71">IF(OR(Z43="",Z43="NaN"),"",Z43-AVERAGE(Z$43:Z$52))</f>
        <v>-0.19004654999999815</v>
      </c>
      <c r="AE43" s="12">
        <f t="shared" ref="AE43:AE52" si="72">IF(OR(AA43="",AA43="NaN"),"",AA43-AVERAGE(AA$43:AA$52))</f>
        <v>-0.30152335000000008</v>
      </c>
      <c r="AF43" s="17">
        <v>10.944827079772949</v>
      </c>
      <c r="AG43" s="5"/>
      <c r="AH43" s="5"/>
      <c r="AI43" s="14">
        <v>5.2675752999999998</v>
      </c>
      <c r="AJ43" s="15">
        <v>6.9914649999999998</v>
      </c>
      <c r="AK43" s="15">
        <v>6.9100450000000002</v>
      </c>
      <c r="AL43" s="16">
        <v>6.2967843999999999</v>
      </c>
      <c r="AM43" s="12">
        <f t="shared" ref="AM43:AM52" si="73">IF(OR(AI43="",AI43="NaN"),"",AI43-AVERAGE(AI$43:AI$52))</f>
        <v>-0.83972691000000044</v>
      </c>
      <c r="AN43" s="12">
        <f t="shared" ref="AN43:AN52" si="74">IF(OR(AJ43="",AJ43="NaN"),"",AJ43-AVERAGE(AJ$43:AJ$52))</f>
        <v>-1.4564299999999086E-2</v>
      </c>
      <c r="AO43" s="12">
        <f t="shared" ref="AO43:AO52" si="75">IF(OR(AK43="",AK43="NaN"),"",AK43-AVERAGE(AK$43:AK$52))</f>
        <v>0.24384740999999988</v>
      </c>
      <c r="AP43" s="17">
        <v>5.4340524673461914</v>
      </c>
      <c r="AR43" s="5"/>
      <c r="AS43" s="14">
        <v>15.572602</v>
      </c>
      <c r="AT43" s="15">
        <v>18.321107999999999</v>
      </c>
      <c r="AU43" s="15">
        <v>18.422135999999998</v>
      </c>
      <c r="AV43" s="16">
        <v>18.536642000000001</v>
      </c>
      <c r="AW43" s="12">
        <f t="shared" ref="AW43:AW52" si="76">IF(OR(AS43="",AS43="NaN"),"",AS43-AVERAGE(AS$43:AS$52))</f>
        <v>-1.1036387999999988</v>
      </c>
      <c r="AX43" s="12">
        <f t="shared" ref="AX43:AX52" si="77">IF(OR(AT43="",AT43="NaN"),"",AT43-AVERAGE(AT$43:AT$52))</f>
        <v>-2.8784500000003987E-2</v>
      </c>
      <c r="AY43" s="12">
        <f t="shared" ref="AY43:AY52" si="78">IF(OR(AU43="",AU43="NaN"),"",AU43-AVERAGE(AU$43:AU$52))</f>
        <v>1.5536031999999977</v>
      </c>
      <c r="AZ43" s="17">
        <v>12.01936531066894</v>
      </c>
      <c r="BB43" s="5"/>
      <c r="BC43" s="14">
        <v>2.7245683999999999</v>
      </c>
      <c r="BD43" s="15">
        <v>2.8212012999999998</v>
      </c>
      <c r="BE43" s="15">
        <v>2.8475546999999999</v>
      </c>
      <c r="BF43" s="16">
        <v>2.8513765000000002</v>
      </c>
      <c r="BG43" s="12">
        <f t="shared" ref="BG43:BG52" si="79">IF(OR(BC43="",BC43="NaN"),"",BC43-AVERAGE(BC$43:BC$52))</f>
        <v>2.2752699999997184E-3</v>
      </c>
      <c r="BH43" s="12">
        <f t="shared" ref="BH43:BH52" si="80">IF(OR(BD43="",BD43="NaN"),"",BD43-AVERAGE(BD$43:BD$52))</f>
        <v>-1.7807490000000037E-2</v>
      </c>
      <c r="BI43" s="12">
        <f t="shared" ref="BI43:BI52" si="81">IF(OR(BE43="",BE43="NaN"),"",BE43-AVERAGE(BE$43:BE$52))</f>
        <v>8.2976790000000467E-2</v>
      </c>
      <c r="BJ43" s="17">
        <v>2.4883286952972412</v>
      </c>
      <c r="BL43" s="5"/>
      <c r="BM43" s="14">
        <v>2.0644548</v>
      </c>
      <c r="BN43" s="15">
        <v>2.1967542</v>
      </c>
      <c r="BO43" s="15">
        <v>2.13612</v>
      </c>
      <c r="BP43" s="16">
        <v>2.1411695000000002</v>
      </c>
      <c r="BQ43" s="12">
        <f t="shared" ref="BQ43:BQ52" si="82">IF(OR(BM43="",BM43="NaN"),"",BM43-AVERAGE(BM$43:BM$52))</f>
        <v>2.7613200000000226E-2</v>
      </c>
      <c r="BR43" s="12">
        <f t="shared" ref="BR43:BR52" si="83">IF(OR(BN43="",BN43="NaN"),"",BN43-AVERAGE(BN$43:BN$52))</f>
        <v>-4.5361750000000089E-2</v>
      </c>
      <c r="BS43" s="12">
        <f t="shared" ref="BS43:BS52" si="84">IF(OR(BO43="",BO43="NaN"),"",BO43-AVERAGE(BO$43:BO$52))</f>
        <v>-0.29315467000000028</v>
      </c>
      <c r="BT43" s="17">
        <v>2.4419879913330078</v>
      </c>
      <c r="BV43" s="5"/>
      <c r="BW43" s="14">
        <v>4.9687299999999999</v>
      </c>
      <c r="BX43" s="15">
        <v>5.3701663000000002</v>
      </c>
      <c r="BY43" s="15">
        <v>5.6117834999999996</v>
      </c>
      <c r="BZ43" s="16">
        <v>5.3766521999999997</v>
      </c>
      <c r="CA43" s="12">
        <f t="shared" ref="CA43:CA52" si="85">IF(OR(BW43="",BW43="NaN"),"",BW43-AVERAGE(BW$43:BW$52))</f>
        <v>-8.0416000000000487E-2</v>
      </c>
      <c r="CB43" s="12">
        <f t="shared" ref="CB43:CB52" si="86">IF(OR(BX43="",BX43="NaN"),"",BX43-AVERAGE(BX$43:BX$52))</f>
        <v>-0.31203249999999993</v>
      </c>
      <c r="CC43" s="12">
        <f t="shared" ref="CC43:CC52" si="87">IF(OR(BY43="",BY43="NaN"),"",BY43-AVERAGE(BY$43:BY$52))</f>
        <v>-0.10411916000000065</v>
      </c>
      <c r="CD43" s="17">
        <v>2.2656726837158199</v>
      </c>
      <c r="CI43">
        <v>1.3076015710830691</v>
      </c>
      <c r="CN43">
        <v>1.633973121643066</v>
      </c>
    </row>
    <row r="44" spans="1:92" x14ac:dyDescent="0.25">
      <c r="A44" s="38"/>
      <c r="B44" s="5">
        <v>2</v>
      </c>
      <c r="C44" s="18">
        <v>9</v>
      </c>
      <c r="E44" s="19">
        <v>86.883949999999999</v>
      </c>
      <c r="F44" s="20">
        <v>88.785589999999999</v>
      </c>
      <c r="G44" s="20">
        <v>87.951980000000006</v>
      </c>
      <c r="H44" s="21">
        <v>87.928520000000006</v>
      </c>
      <c r="I44" s="5">
        <f t="shared" si="64"/>
        <v>-0.89970540000000199</v>
      </c>
      <c r="J44" s="5">
        <f t="shared" si="65"/>
        <v>0.27465540000000033</v>
      </c>
      <c r="K44" s="5">
        <f t="shared" si="66"/>
        <v>0.28768000000000882</v>
      </c>
      <c r="L44" s="22">
        <v>81.958152770996094</v>
      </c>
      <c r="M44" s="5"/>
      <c r="N44" s="5"/>
      <c r="O44" s="19">
        <v>63.43638</v>
      </c>
      <c r="P44" s="20">
        <v>54.247826000000003</v>
      </c>
      <c r="Q44" s="20">
        <v>55.609898000000001</v>
      </c>
      <c r="R44" s="21">
        <v>53.064728000000002</v>
      </c>
      <c r="S44" s="5">
        <f t="shared" si="67"/>
        <v>5.1582839000000078</v>
      </c>
      <c r="T44" s="5">
        <f t="shared" si="68"/>
        <v>0.55345809999999318</v>
      </c>
      <c r="U44" s="5">
        <f t="shared" si="69"/>
        <v>-1.597866499999995</v>
      </c>
      <c r="V44" s="22">
        <v>73.496971130371094</v>
      </c>
      <c r="W44" s="5"/>
      <c r="X44" s="5"/>
      <c r="Y44" s="19">
        <v>9.8292769999999994</v>
      </c>
      <c r="Z44" s="20">
        <v>9.9313199999999995</v>
      </c>
      <c r="AA44" s="20">
        <v>10.172276500000001</v>
      </c>
      <c r="AB44" s="21">
        <v>9.877402</v>
      </c>
      <c r="AC44" s="5">
        <f t="shared" si="70"/>
        <v>0.3163861999999984</v>
      </c>
      <c r="AD44" s="5">
        <f t="shared" si="71"/>
        <v>0.3358244500000005</v>
      </c>
      <c r="AE44" s="5">
        <f t="shared" si="72"/>
        <v>0.42502115000000096</v>
      </c>
      <c r="AF44" s="22">
        <v>10.7048282623291</v>
      </c>
      <c r="AG44" s="5"/>
      <c r="AH44" s="5"/>
      <c r="AI44" s="19">
        <v>5.7716503000000001</v>
      </c>
      <c r="AJ44" s="20">
        <v>7.0906269999999996</v>
      </c>
      <c r="AK44" s="20">
        <v>7.1085805999999998</v>
      </c>
      <c r="AL44" s="21">
        <v>6.8818836000000001</v>
      </c>
      <c r="AM44" s="5">
        <f t="shared" si="73"/>
        <v>-0.33565191000000016</v>
      </c>
      <c r="AN44" s="5">
        <f t="shared" si="74"/>
        <v>8.4597700000000664E-2</v>
      </c>
      <c r="AO44" s="5">
        <f t="shared" si="75"/>
        <v>0.44238300999999947</v>
      </c>
      <c r="AP44" s="22">
        <v>4.5832014083862314</v>
      </c>
      <c r="AR44" s="5"/>
      <c r="AS44" s="19">
        <v>15.750755</v>
      </c>
      <c r="AT44" s="20">
        <v>18.356801999999998</v>
      </c>
      <c r="AU44" s="20">
        <v>18.347313</v>
      </c>
      <c r="AV44" s="21">
        <v>18.293074000000001</v>
      </c>
      <c r="AW44" s="5">
        <f t="shared" si="76"/>
        <v>-0.9254857999999988</v>
      </c>
      <c r="AX44" s="5">
        <f t="shared" si="77"/>
        <v>6.9094999999954609E-3</v>
      </c>
      <c r="AY44" s="5">
        <f t="shared" si="78"/>
        <v>1.4787801999999992</v>
      </c>
      <c r="AZ44" s="22">
        <v>9.8017568588256836</v>
      </c>
      <c r="BB44" s="5"/>
      <c r="BC44" s="19">
        <v>2.5937705000000002</v>
      </c>
      <c r="BD44" s="20">
        <v>2.8107077999999999</v>
      </c>
      <c r="BE44" s="20">
        <v>2.7952813999999999</v>
      </c>
      <c r="BF44" s="21">
        <v>2.8462155</v>
      </c>
      <c r="BG44" s="5">
        <f t="shared" si="79"/>
        <v>-0.12852262999999997</v>
      </c>
      <c r="BH44" s="5">
        <f t="shared" si="80"/>
        <v>-2.830098999999997E-2</v>
      </c>
      <c r="BI44" s="5">
        <f t="shared" si="81"/>
        <v>3.07034900000005E-2</v>
      </c>
      <c r="BJ44" s="22">
        <v>2.179030179977417</v>
      </c>
      <c r="BL44" s="5"/>
      <c r="BM44" s="19">
        <v>2.0509805999999999</v>
      </c>
      <c r="BN44" s="20">
        <v>2.1310647</v>
      </c>
      <c r="BO44" s="20">
        <v>2.3797529000000002</v>
      </c>
      <c r="BP44" s="21">
        <v>2.1029089999999999</v>
      </c>
      <c r="BQ44" s="5">
        <f t="shared" si="82"/>
        <v>1.4139000000000124E-2</v>
      </c>
      <c r="BR44" s="5">
        <f t="shared" si="83"/>
        <v>-0.11105125000000005</v>
      </c>
      <c r="BS44" s="5">
        <f t="shared" si="84"/>
        <v>-4.9521770000000132E-2</v>
      </c>
      <c r="BT44" s="22">
        <v>2.837152242660522</v>
      </c>
      <c r="BV44" s="5"/>
      <c r="BW44" s="19">
        <v>4.7631736</v>
      </c>
      <c r="BX44" s="20">
        <v>5.7990449999999996</v>
      </c>
      <c r="BY44" s="20">
        <v>6.0828410000000002</v>
      </c>
      <c r="BZ44" s="21">
        <v>5.7447065999999998</v>
      </c>
      <c r="CA44" s="5">
        <f t="shared" si="85"/>
        <v>-0.28597240000000035</v>
      </c>
      <c r="CB44" s="5">
        <f t="shared" si="86"/>
        <v>0.11684619999999946</v>
      </c>
      <c r="CC44" s="5">
        <f t="shared" si="87"/>
        <v>0.36693833999999992</v>
      </c>
      <c r="CD44" s="22">
        <v>1.258527517318726</v>
      </c>
      <c r="CI44">
        <v>1.2003436088562009</v>
      </c>
      <c r="CN44">
        <v>1.311695337295532</v>
      </c>
    </row>
    <row r="45" spans="1:92" x14ac:dyDescent="0.25">
      <c r="A45" s="38"/>
      <c r="B45" s="5">
        <v>3</v>
      </c>
      <c r="C45" s="18">
        <v>14</v>
      </c>
      <c r="E45" s="19">
        <v>88.274283999999994</v>
      </c>
      <c r="F45" s="20">
        <v>88.141689999999997</v>
      </c>
      <c r="G45" s="20">
        <v>87.554726000000002</v>
      </c>
      <c r="H45" s="21">
        <v>87.842119999999994</v>
      </c>
      <c r="I45" s="5">
        <f t="shared" si="64"/>
        <v>0.49062859999999375</v>
      </c>
      <c r="J45" s="5">
        <f t="shared" si="65"/>
        <v>-0.36924460000000181</v>
      </c>
      <c r="K45" s="5">
        <f t="shared" si="66"/>
        <v>-0.10957399999999495</v>
      </c>
      <c r="L45" s="22">
        <v>82.003921508789063</v>
      </c>
      <c r="M45" s="5"/>
      <c r="N45" s="5"/>
      <c r="O45" s="19">
        <v>55.563144999999999</v>
      </c>
      <c r="P45" s="20">
        <v>53.494624999999999</v>
      </c>
      <c r="Q45" s="20">
        <v>59.176259999999999</v>
      </c>
      <c r="R45" s="21">
        <v>53.498047</v>
      </c>
      <c r="S45" s="5">
        <f t="shared" si="67"/>
        <v>-2.7149510999999933</v>
      </c>
      <c r="T45" s="5">
        <f t="shared" si="68"/>
        <v>-0.19974290000001105</v>
      </c>
      <c r="U45" s="5">
        <f t="shared" si="69"/>
        <v>1.9684955000000031</v>
      </c>
      <c r="V45" s="22">
        <v>72.315940856933594</v>
      </c>
      <c r="W45" s="5"/>
      <c r="X45" s="5"/>
      <c r="Y45" s="19">
        <v>9.1424350000000008</v>
      </c>
      <c r="Z45" s="20">
        <v>9.5002840000000006</v>
      </c>
      <c r="AA45" s="20">
        <v>9.2236010000000004</v>
      </c>
      <c r="AB45" s="21">
        <v>9.66432</v>
      </c>
      <c r="AC45" s="5">
        <f t="shared" si="70"/>
        <v>-0.37045580000000022</v>
      </c>
      <c r="AD45" s="5">
        <f t="shared" si="71"/>
        <v>-9.5211549999998368E-2</v>
      </c>
      <c r="AE45" s="5">
        <f t="shared" si="72"/>
        <v>-0.52365434999999927</v>
      </c>
      <c r="AF45" s="22">
        <v>9.1006507873535156</v>
      </c>
      <c r="AG45" s="5"/>
      <c r="AH45" s="5"/>
      <c r="AI45" s="19">
        <v>6.3102125999999998</v>
      </c>
      <c r="AJ45" s="20">
        <v>7.3297819999999998</v>
      </c>
      <c r="AK45" s="20">
        <v>6.1402530000000004</v>
      </c>
      <c r="AL45" s="21">
        <v>6.2431669999999997</v>
      </c>
      <c r="AM45" s="5">
        <f t="shared" si="73"/>
        <v>0.20291038999999955</v>
      </c>
      <c r="AN45" s="5">
        <f t="shared" si="74"/>
        <v>0.32375270000000089</v>
      </c>
      <c r="AO45" s="5">
        <f t="shared" si="75"/>
        <v>-0.52594458999999993</v>
      </c>
      <c r="AP45" s="22">
        <v>5.5431661605834961</v>
      </c>
      <c r="AR45" s="5"/>
      <c r="AS45" s="19">
        <v>17.927097</v>
      </c>
      <c r="AT45" s="20">
        <v>18.324223</v>
      </c>
      <c r="AU45" s="20">
        <v>16.025663000000002</v>
      </c>
      <c r="AV45" s="21">
        <v>18.265936</v>
      </c>
      <c r="AW45" s="5">
        <f t="shared" si="76"/>
        <v>1.2508562000000012</v>
      </c>
      <c r="AX45" s="5">
        <f t="shared" si="77"/>
        <v>-2.5669500000002898E-2</v>
      </c>
      <c r="AY45" s="5">
        <f t="shared" si="78"/>
        <v>-0.842869799999999</v>
      </c>
      <c r="AZ45" s="22">
        <v>9.8790979385375977</v>
      </c>
      <c r="BB45" s="5"/>
      <c r="BC45" s="19">
        <v>2.8434525000000002</v>
      </c>
      <c r="BD45" s="20">
        <v>2.8606777000000001</v>
      </c>
      <c r="BE45" s="20">
        <v>2.7199833</v>
      </c>
      <c r="BF45" s="21">
        <v>2.8278604000000001</v>
      </c>
      <c r="BG45" s="5">
        <f t="shared" si="79"/>
        <v>0.12115936999999999</v>
      </c>
      <c r="BH45" s="5">
        <f t="shared" si="80"/>
        <v>2.1668910000000263E-2</v>
      </c>
      <c r="BI45" s="5">
        <f t="shared" si="81"/>
        <v>-4.4594609999999424E-2</v>
      </c>
      <c r="BJ45" s="22">
        <v>1.7340444326400759</v>
      </c>
      <c r="BL45" s="5"/>
      <c r="BM45" s="19">
        <v>2.0673275000000002</v>
      </c>
      <c r="BN45" s="20">
        <v>2.1586734999999999</v>
      </c>
      <c r="BO45" s="20">
        <v>2.1108009999999999</v>
      </c>
      <c r="BP45" s="21">
        <v>1.9826946000000001</v>
      </c>
      <c r="BQ45" s="5">
        <f t="shared" si="82"/>
        <v>3.0485900000000399E-2</v>
      </c>
      <c r="BR45" s="5">
        <f t="shared" si="83"/>
        <v>-8.3442450000000168E-2</v>
      </c>
      <c r="BS45" s="5">
        <f t="shared" si="84"/>
        <v>-0.31847367000000038</v>
      </c>
      <c r="BT45" s="22">
        <v>3.370998859405518</v>
      </c>
      <c r="BV45" s="5"/>
      <c r="BW45" s="19">
        <v>5.4445423999999996</v>
      </c>
      <c r="BX45" s="20">
        <v>5.4947577000000001</v>
      </c>
      <c r="BY45" s="20">
        <v>5.4010052999999996</v>
      </c>
      <c r="BZ45" s="21">
        <v>4.9766173</v>
      </c>
      <c r="CA45" s="5">
        <f t="shared" si="85"/>
        <v>0.3953963999999992</v>
      </c>
      <c r="CB45" s="5">
        <f t="shared" si="86"/>
        <v>-0.18744110000000003</v>
      </c>
      <c r="CC45" s="5">
        <f t="shared" si="87"/>
        <v>-0.31489736000000068</v>
      </c>
      <c r="CD45" s="22">
        <v>1.2654737234115601</v>
      </c>
      <c r="CI45">
        <v>1.462233901023865</v>
      </c>
      <c r="CN45">
        <v>1.279629707336426</v>
      </c>
    </row>
    <row r="46" spans="1:92" x14ac:dyDescent="0.25">
      <c r="A46" s="38"/>
      <c r="B46" s="5">
        <v>4</v>
      </c>
      <c r="C46" s="18">
        <v>19</v>
      </c>
      <c r="E46" s="19">
        <v>87.381270000000001</v>
      </c>
      <c r="F46" s="20">
        <v>88.778170000000003</v>
      </c>
      <c r="G46" s="20">
        <v>87.751419999999996</v>
      </c>
      <c r="H46" s="21">
        <v>87.530109999999993</v>
      </c>
      <c r="I46" s="5">
        <f t="shared" si="64"/>
        <v>-0.4023854</v>
      </c>
      <c r="J46" s="5">
        <f t="shared" si="65"/>
        <v>0.26723540000000412</v>
      </c>
      <c r="K46" s="5">
        <f t="shared" si="66"/>
        <v>8.7119999999998754E-2</v>
      </c>
      <c r="L46" s="22">
        <v>82.582359313964844</v>
      </c>
      <c r="M46" s="5"/>
      <c r="N46" s="5"/>
      <c r="O46" s="19">
        <v>61.437275</v>
      </c>
      <c r="P46" s="20">
        <v>54.195273999999998</v>
      </c>
      <c r="Q46" s="20">
        <v>57.826405000000001</v>
      </c>
      <c r="R46" s="21">
        <v>53.55753</v>
      </c>
      <c r="S46" s="5">
        <f t="shared" si="67"/>
        <v>3.1591789000000077</v>
      </c>
      <c r="T46" s="5">
        <f t="shared" si="68"/>
        <v>0.50090609999998748</v>
      </c>
      <c r="U46" s="5">
        <f t="shared" si="69"/>
        <v>0.61864050000000503</v>
      </c>
      <c r="V46" s="22">
        <v>74.261451721191406</v>
      </c>
      <c r="W46" s="5"/>
      <c r="X46" s="5"/>
      <c r="Y46" s="19">
        <v>9.7742529999999999</v>
      </c>
      <c r="Z46" s="20">
        <v>9.7213650000000005</v>
      </c>
      <c r="AA46" s="20">
        <v>10.204468</v>
      </c>
      <c r="AB46" s="21">
        <v>9.8721010000000007</v>
      </c>
      <c r="AC46" s="5">
        <f t="shared" si="70"/>
        <v>0.26136219999999888</v>
      </c>
      <c r="AD46" s="5">
        <f t="shared" si="71"/>
        <v>0.12586945000000149</v>
      </c>
      <c r="AE46" s="5">
        <f t="shared" si="72"/>
        <v>0.45721265000000066</v>
      </c>
      <c r="AF46" s="22">
        <v>11.3830680847168</v>
      </c>
      <c r="AG46" s="5"/>
      <c r="AH46" s="5"/>
      <c r="AI46" s="19">
        <v>6.1892969999999998</v>
      </c>
      <c r="AJ46" s="20">
        <v>6.9206222999999998</v>
      </c>
      <c r="AK46" s="20">
        <v>6.9483724000000002</v>
      </c>
      <c r="AL46" s="21">
        <v>6.5802702999999996</v>
      </c>
      <c r="AM46" s="5">
        <f t="shared" si="73"/>
        <v>8.199478999999954E-2</v>
      </c>
      <c r="AN46" s="5">
        <f t="shared" si="74"/>
        <v>-8.5406999999999123E-2</v>
      </c>
      <c r="AO46" s="5">
        <f t="shared" si="75"/>
        <v>0.28217480999999989</v>
      </c>
      <c r="AP46" s="22">
        <v>4.886075496673584</v>
      </c>
      <c r="AR46" s="5"/>
      <c r="AS46" s="19">
        <v>16.409334000000001</v>
      </c>
      <c r="AT46" s="20">
        <v>18.42456</v>
      </c>
      <c r="AU46" s="20">
        <v>18.402311000000001</v>
      </c>
      <c r="AV46" s="21">
        <v>18.352457000000001</v>
      </c>
      <c r="AW46" s="5">
        <f t="shared" si="76"/>
        <v>-0.26690679999999745</v>
      </c>
      <c r="AX46" s="5">
        <f t="shared" si="77"/>
        <v>7.4667499999996778E-2</v>
      </c>
      <c r="AY46" s="5">
        <f t="shared" si="78"/>
        <v>1.5337782000000004</v>
      </c>
      <c r="AZ46" s="22">
        <v>11.154356002807621</v>
      </c>
      <c r="BB46" s="5"/>
      <c r="BC46" s="19">
        <v>2.6204130000000001</v>
      </c>
      <c r="BD46" s="20">
        <v>2.7980673</v>
      </c>
      <c r="BE46" s="20">
        <v>2.7951223999999999</v>
      </c>
      <c r="BF46" s="21">
        <v>2.8182529999999999</v>
      </c>
      <c r="BG46" s="5">
        <f t="shared" si="79"/>
        <v>-0.10188013000000007</v>
      </c>
      <c r="BH46" s="5">
        <f t="shared" si="80"/>
        <v>-4.0941489999999803E-2</v>
      </c>
      <c r="BI46" s="5">
        <f t="shared" si="81"/>
        <v>3.0544490000000479E-2</v>
      </c>
      <c r="BJ46" s="22">
        <v>3.17444896697998</v>
      </c>
      <c r="BL46" s="5"/>
      <c r="BM46" s="19">
        <v>2.0728133</v>
      </c>
      <c r="BN46" s="20">
        <v>2.5687351</v>
      </c>
      <c r="BO46" s="20">
        <v>2.5245964999999999</v>
      </c>
      <c r="BP46" s="21">
        <v>2.0960789000000002</v>
      </c>
      <c r="BQ46" s="5">
        <f t="shared" si="82"/>
        <v>3.5971700000000162E-2</v>
      </c>
      <c r="BR46" s="5">
        <f t="shared" si="83"/>
        <v>0.32661914999999997</v>
      </c>
      <c r="BS46" s="5">
        <f t="shared" si="84"/>
        <v>9.5321829999999608E-2</v>
      </c>
      <c r="BT46" s="22">
        <v>2.5699350833892818</v>
      </c>
      <c r="BV46" s="5"/>
      <c r="BW46" s="19">
        <v>4.9186350000000001</v>
      </c>
      <c r="BX46" s="20">
        <v>6.0135044999999998</v>
      </c>
      <c r="BY46" s="20">
        <v>6.102792</v>
      </c>
      <c r="BZ46" s="21">
        <v>5.2609572</v>
      </c>
      <c r="CA46" s="5">
        <f t="shared" si="85"/>
        <v>-0.13051100000000027</v>
      </c>
      <c r="CB46" s="5">
        <f t="shared" si="86"/>
        <v>0.3313056999999997</v>
      </c>
      <c r="CC46" s="5">
        <f t="shared" si="87"/>
        <v>0.38688933999999975</v>
      </c>
      <c r="CD46" s="22">
        <v>1.4985823631286621</v>
      </c>
      <c r="CI46">
        <v>1.5833795070648189</v>
      </c>
      <c r="CN46">
        <v>2.1167676448822021</v>
      </c>
    </row>
    <row r="47" spans="1:92" x14ac:dyDescent="0.25">
      <c r="A47" s="38"/>
      <c r="B47" s="5">
        <v>5</v>
      </c>
      <c r="C47" s="18">
        <v>24</v>
      </c>
      <c r="E47" s="19">
        <v>88.032300000000006</v>
      </c>
      <c r="F47" s="20">
        <v>88.253296000000006</v>
      </c>
      <c r="G47" s="20">
        <v>87.114360000000005</v>
      </c>
      <c r="H47" s="21">
        <v>87.21584</v>
      </c>
      <c r="I47" s="5">
        <f t="shared" si="64"/>
        <v>0.24864460000000577</v>
      </c>
      <c r="J47" s="5">
        <f t="shared" si="65"/>
        <v>-0.25763859999999283</v>
      </c>
      <c r="K47" s="5">
        <f t="shared" si="66"/>
        <v>-0.54993999999999232</v>
      </c>
      <c r="L47" s="22">
        <v>82.681610107421875</v>
      </c>
      <c r="M47" s="5"/>
      <c r="N47" s="5"/>
      <c r="O47" s="19">
        <v>60.895313000000002</v>
      </c>
      <c r="P47" s="20">
        <v>53.100025000000002</v>
      </c>
      <c r="Q47" s="20">
        <v>60.760590000000001</v>
      </c>
      <c r="R47" s="21">
        <v>57.230969999999999</v>
      </c>
      <c r="S47" s="5">
        <f t="shared" si="67"/>
        <v>2.6172169000000096</v>
      </c>
      <c r="T47" s="5">
        <f t="shared" si="68"/>
        <v>-0.594342900000008</v>
      </c>
      <c r="U47" s="5">
        <f t="shared" si="69"/>
        <v>3.5528255000000044</v>
      </c>
      <c r="V47" s="22">
        <v>72.625900268554688</v>
      </c>
      <c r="W47" s="5"/>
      <c r="X47" s="5"/>
      <c r="Y47" s="19">
        <v>9.2828029999999995</v>
      </c>
      <c r="Z47" s="20">
        <v>9.1299109999999999</v>
      </c>
      <c r="AA47" s="20">
        <v>9.3905919999999998</v>
      </c>
      <c r="AB47" s="21">
        <v>9.6969580000000004</v>
      </c>
      <c r="AC47" s="5">
        <f t="shared" si="70"/>
        <v>-0.23008780000000151</v>
      </c>
      <c r="AD47" s="5">
        <f t="shared" si="71"/>
        <v>-0.4655845499999991</v>
      </c>
      <c r="AE47" s="5">
        <f t="shared" si="72"/>
        <v>-0.35666334999999982</v>
      </c>
      <c r="AF47" s="22">
        <v>10.94961452484131</v>
      </c>
      <c r="AG47" s="5"/>
      <c r="AH47" s="5"/>
      <c r="AI47" s="19">
        <v>5.5292089999999998</v>
      </c>
      <c r="AJ47" s="20">
        <v>7.0097775000000002</v>
      </c>
      <c r="AK47" s="20">
        <v>5.4753822999999997</v>
      </c>
      <c r="AL47" s="21">
        <v>5.9281600000000001</v>
      </c>
      <c r="AM47" s="5">
        <f t="shared" si="73"/>
        <v>-0.57809321000000047</v>
      </c>
      <c r="AN47" s="5">
        <f t="shared" si="74"/>
        <v>3.7482000000013116E-3</v>
      </c>
      <c r="AO47" s="5">
        <f t="shared" si="75"/>
        <v>-1.1908152900000006</v>
      </c>
      <c r="AP47" s="22">
        <v>4.7604885101318359</v>
      </c>
      <c r="AR47" s="5"/>
      <c r="AS47" s="19">
        <v>16.003954</v>
      </c>
      <c r="AT47" s="20">
        <v>18.245653000000001</v>
      </c>
      <c r="AU47" s="20">
        <v>13.32978</v>
      </c>
      <c r="AV47" s="21">
        <v>16.259270000000001</v>
      </c>
      <c r="AW47" s="5">
        <f t="shared" si="76"/>
        <v>-0.67228679999999841</v>
      </c>
      <c r="AX47" s="5">
        <f t="shared" si="77"/>
        <v>-0.10423950000000204</v>
      </c>
      <c r="AY47" s="5">
        <f t="shared" si="78"/>
        <v>-3.538752800000001</v>
      </c>
      <c r="AZ47" s="22">
        <v>12.250059127807621</v>
      </c>
      <c r="BB47" s="5"/>
      <c r="BC47" s="19">
        <v>2.7521895999999999</v>
      </c>
      <c r="BD47" s="20">
        <v>2.8499433999999999</v>
      </c>
      <c r="BE47" s="20">
        <v>2.6068769000000001</v>
      </c>
      <c r="BF47" s="21">
        <v>2.6273439999999999</v>
      </c>
      <c r="BG47" s="5">
        <f t="shared" si="79"/>
        <v>2.9896469999999731E-2</v>
      </c>
      <c r="BH47" s="5">
        <f t="shared" si="80"/>
        <v>1.0934610000000067E-2</v>
      </c>
      <c r="BI47" s="5">
        <f t="shared" si="81"/>
        <v>-0.15770100999999936</v>
      </c>
      <c r="BJ47" s="22">
        <v>2.3001420497894292</v>
      </c>
      <c r="BL47" s="5"/>
      <c r="BM47" s="19">
        <v>2.0077121</v>
      </c>
      <c r="BN47" s="20">
        <v>2.1096002999999999</v>
      </c>
      <c r="BO47" s="20">
        <v>2.2045602999999998</v>
      </c>
      <c r="BP47" s="21">
        <v>2.1495050999999998</v>
      </c>
      <c r="BQ47" s="5">
        <f t="shared" si="82"/>
        <v>-2.9129499999999808E-2</v>
      </c>
      <c r="BR47" s="5">
        <f t="shared" si="83"/>
        <v>-0.13251565000000021</v>
      </c>
      <c r="BS47" s="5">
        <f t="shared" si="84"/>
        <v>-0.2247143700000005</v>
      </c>
      <c r="BT47" s="22">
        <v>2.4550297260284419</v>
      </c>
      <c r="BV47" s="5"/>
      <c r="BW47" s="19">
        <v>4.9493384000000002</v>
      </c>
      <c r="BX47" s="20">
        <v>5.5395469999999998</v>
      </c>
      <c r="BY47" s="20">
        <v>5.0794699999999997</v>
      </c>
      <c r="BZ47" s="21">
        <v>4.4515595000000001</v>
      </c>
      <c r="CA47" s="5">
        <f t="shared" si="85"/>
        <v>-9.9807600000000107E-2</v>
      </c>
      <c r="CB47" s="5">
        <f t="shared" si="86"/>
        <v>-0.14265180000000033</v>
      </c>
      <c r="CC47" s="5">
        <f t="shared" si="87"/>
        <v>-0.63643266000000054</v>
      </c>
      <c r="CD47" s="22">
        <v>2.2327418327331539</v>
      </c>
      <c r="CI47">
        <v>1.4952917098999019</v>
      </c>
      <c r="CN47">
        <v>2.240687370300293</v>
      </c>
    </row>
    <row r="48" spans="1:92" x14ac:dyDescent="0.25">
      <c r="A48" s="38"/>
      <c r="B48" s="5">
        <v>6</v>
      </c>
      <c r="C48" s="18">
        <v>29</v>
      </c>
      <c r="E48" s="19">
        <v>88.023709999999994</v>
      </c>
      <c r="F48" s="20">
        <v>89.071770000000001</v>
      </c>
      <c r="G48" s="20">
        <v>87.934420000000003</v>
      </c>
      <c r="H48" s="21">
        <v>88.152275000000003</v>
      </c>
      <c r="I48" s="5">
        <f t="shared" si="64"/>
        <v>0.24005459999999346</v>
      </c>
      <c r="J48" s="5">
        <f t="shared" si="65"/>
        <v>0.56083540000000198</v>
      </c>
      <c r="K48" s="5">
        <f t="shared" si="66"/>
        <v>0.27012000000000569</v>
      </c>
      <c r="L48" s="22">
        <v>82.854255676269531</v>
      </c>
      <c r="M48" s="5"/>
      <c r="N48" s="5"/>
      <c r="O48" s="19">
        <v>54.120094000000002</v>
      </c>
      <c r="P48" s="20">
        <v>53.456679999999999</v>
      </c>
      <c r="Q48" s="20">
        <v>55.994779999999999</v>
      </c>
      <c r="R48" s="21">
        <v>53.204033000000003</v>
      </c>
      <c r="S48" s="5">
        <f t="shared" si="67"/>
        <v>-4.1580020999999903</v>
      </c>
      <c r="T48" s="5">
        <f t="shared" si="68"/>
        <v>-0.23768790000001161</v>
      </c>
      <c r="U48" s="5">
        <f t="shared" si="69"/>
        <v>-1.2129844999999975</v>
      </c>
      <c r="V48" s="22">
        <v>73.554855346679688</v>
      </c>
      <c r="W48" s="5"/>
      <c r="X48" s="5"/>
      <c r="Y48" s="19">
        <v>9.7863629999999997</v>
      </c>
      <c r="Z48" s="20">
        <v>9.9314909999999994</v>
      </c>
      <c r="AA48" s="20">
        <v>10.096639</v>
      </c>
      <c r="AB48" s="21">
        <v>10.051081999999999</v>
      </c>
      <c r="AC48" s="5">
        <f t="shared" si="70"/>
        <v>0.27347219999999872</v>
      </c>
      <c r="AD48" s="5">
        <f t="shared" si="71"/>
        <v>0.33599545000000042</v>
      </c>
      <c r="AE48" s="5">
        <f t="shared" si="72"/>
        <v>0.34938365000000005</v>
      </c>
      <c r="AF48" s="22">
        <v>11.48273372650146</v>
      </c>
      <c r="AG48" s="5"/>
      <c r="AH48" s="5"/>
      <c r="AI48" s="19">
        <v>6.8069379999999997</v>
      </c>
      <c r="AJ48" s="20">
        <v>7.0261930000000001</v>
      </c>
      <c r="AK48" s="20">
        <v>7.4682712999999996</v>
      </c>
      <c r="AL48" s="21">
        <v>7.4916049999999998</v>
      </c>
      <c r="AM48" s="5">
        <f t="shared" si="73"/>
        <v>0.69963578999999942</v>
      </c>
      <c r="AN48" s="5">
        <f t="shared" si="74"/>
        <v>2.0163700000001228E-2</v>
      </c>
      <c r="AO48" s="5">
        <f t="shared" si="75"/>
        <v>0.80207370999999927</v>
      </c>
      <c r="AP48" s="22">
        <v>5.1006088256835938</v>
      </c>
      <c r="AR48" s="5"/>
      <c r="AS48" s="19">
        <v>18.406454</v>
      </c>
      <c r="AT48" s="20">
        <v>18.426098</v>
      </c>
      <c r="AU48" s="20">
        <v>18.302527999999999</v>
      </c>
      <c r="AV48" s="21">
        <v>18.388007999999999</v>
      </c>
      <c r="AW48" s="5">
        <f t="shared" si="76"/>
        <v>1.7302132000000015</v>
      </c>
      <c r="AX48" s="5">
        <f t="shared" si="77"/>
        <v>7.6205499999996817E-2</v>
      </c>
      <c r="AY48" s="5">
        <f t="shared" si="78"/>
        <v>1.4339951999999982</v>
      </c>
      <c r="AZ48" s="22">
        <v>11.343202590942379</v>
      </c>
      <c r="BB48" s="5"/>
      <c r="BC48" s="19">
        <v>2.8227924999999998</v>
      </c>
      <c r="BD48" s="20">
        <v>2.8700589999999999</v>
      </c>
      <c r="BE48" s="20">
        <v>2.8541175999999999</v>
      </c>
      <c r="BF48" s="21">
        <v>2.8608346</v>
      </c>
      <c r="BG48" s="5">
        <f t="shared" si="79"/>
        <v>0.10049936999999964</v>
      </c>
      <c r="BH48" s="5">
        <f t="shared" si="80"/>
        <v>3.1050210000000078E-2</v>
      </c>
      <c r="BI48" s="5">
        <f t="shared" si="81"/>
        <v>8.9539690000000505E-2</v>
      </c>
      <c r="BJ48" s="22">
        <v>3.163144588470459</v>
      </c>
      <c r="BL48" s="5"/>
      <c r="BM48" s="19">
        <v>1.9530993000000001</v>
      </c>
      <c r="BN48" s="20">
        <v>2.3973513</v>
      </c>
      <c r="BO48" s="20">
        <v>3.302254</v>
      </c>
      <c r="BP48" s="21">
        <v>2.1213250000000001</v>
      </c>
      <c r="BQ48" s="5">
        <f t="shared" si="82"/>
        <v>-8.3742299999999714E-2</v>
      </c>
      <c r="BR48" s="5">
        <f t="shared" si="83"/>
        <v>0.15523534999999988</v>
      </c>
      <c r="BS48" s="5">
        <f t="shared" si="84"/>
        <v>0.87297932999999972</v>
      </c>
      <c r="BT48" s="22">
        <v>2.503325223922729</v>
      </c>
      <c r="BV48" s="5"/>
      <c r="BW48" s="19">
        <v>5.5776186000000001</v>
      </c>
      <c r="BX48" s="20">
        <v>5.8708615000000002</v>
      </c>
      <c r="BY48" s="20">
        <v>6.2079123999999997</v>
      </c>
      <c r="BZ48" s="21">
        <v>5.9556025999999997</v>
      </c>
      <c r="CA48" s="5">
        <f t="shared" si="85"/>
        <v>0.52847259999999974</v>
      </c>
      <c r="CB48" s="5">
        <f t="shared" si="86"/>
        <v>0.18866270000000007</v>
      </c>
      <c r="CC48" s="5">
        <f t="shared" si="87"/>
        <v>0.49200973999999942</v>
      </c>
      <c r="CD48" s="22">
        <v>1.465081095695496</v>
      </c>
      <c r="CI48">
        <v>1.520667552947998</v>
      </c>
      <c r="CN48">
        <v>1.8622362613677981</v>
      </c>
    </row>
    <row r="49" spans="1:82" x14ac:dyDescent="0.25">
      <c r="A49" s="38"/>
      <c r="B49" s="5">
        <v>7</v>
      </c>
      <c r="C49" s="18">
        <v>34</v>
      </c>
      <c r="E49" s="19">
        <v>88.050933999999998</v>
      </c>
      <c r="F49" s="20">
        <v>88.311170000000004</v>
      </c>
      <c r="G49" s="20">
        <v>86.797210000000007</v>
      </c>
      <c r="H49" s="21">
        <v>87.400800000000004</v>
      </c>
      <c r="I49" s="5">
        <f t="shared" si="64"/>
        <v>0.26727859999999737</v>
      </c>
      <c r="J49" s="5">
        <f t="shared" si="65"/>
        <v>-0.19976459999999463</v>
      </c>
      <c r="K49" s="5">
        <f t="shared" si="66"/>
        <v>-0.86708999999999037</v>
      </c>
      <c r="L49" s="22">
        <f>IF(OR(H49="",H49="NaN"),"",H49-AVERAGE(H$43:H$52))</f>
        <v>-0.33048149999999055</v>
      </c>
      <c r="M49" s="5"/>
      <c r="N49" s="5"/>
      <c r="O49" s="19">
        <v>57.226680000000002</v>
      </c>
      <c r="P49" s="20">
        <v>53.432429999999997</v>
      </c>
      <c r="Q49" s="20">
        <v>60.671897999999999</v>
      </c>
      <c r="R49" s="21">
        <v>60.063763000000002</v>
      </c>
      <c r="S49" s="5">
        <f t="shared" si="67"/>
        <v>-1.0514160999999902</v>
      </c>
      <c r="T49" s="5">
        <f t="shared" si="68"/>
        <v>-0.26193790000001371</v>
      </c>
      <c r="U49" s="5">
        <f t="shared" si="69"/>
        <v>3.4641335000000026</v>
      </c>
      <c r="V49" s="22">
        <f>IF(OR(R49="",R49="NaN"),"",R49-AVERAGE(R$43:R$52))</f>
        <v>5.3378283999999994</v>
      </c>
      <c r="W49" s="5"/>
      <c r="X49" s="5"/>
      <c r="Y49" s="19">
        <v>9.3642669999999999</v>
      </c>
      <c r="Z49" s="20">
        <v>9.0886669999999992</v>
      </c>
      <c r="AA49" s="20">
        <v>9.3690519999999999</v>
      </c>
      <c r="AB49" s="21">
        <v>9.6127099999999999</v>
      </c>
      <c r="AC49" s="5">
        <f t="shared" si="70"/>
        <v>-0.14862380000000108</v>
      </c>
      <c r="AD49" s="5">
        <f t="shared" si="71"/>
        <v>-0.50682854999999982</v>
      </c>
      <c r="AE49" s="5">
        <f t="shared" si="72"/>
        <v>-0.37820334999999972</v>
      </c>
      <c r="AF49" s="22">
        <f>IF(OR(AB49="",AB49="NaN"),"",AB49-AVERAGE(AB$43:AB$52))</f>
        <v>-0.20952594999999974</v>
      </c>
      <c r="AG49" s="5"/>
      <c r="AH49" s="5"/>
      <c r="AI49" s="19">
        <v>6.0489416</v>
      </c>
      <c r="AJ49" s="20">
        <v>7.0435767</v>
      </c>
      <c r="AK49" s="20">
        <v>5.4537599999999999</v>
      </c>
      <c r="AL49" s="21">
        <v>5.4435434000000003</v>
      </c>
      <c r="AM49" s="5">
        <f t="shared" si="73"/>
        <v>-5.8360610000000257E-2</v>
      </c>
      <c r="AN49" s="5">
        <f t="shared" si="74"/>
        <v>3.7547400000001119E-2</v>
      </c>
      <c r="AO49" s="5">
        <f t="shared" si="75"/>
        <v>-1.2124375900000004</v>
      </c>
      <c r="AP49" s="22">
        <f>IF(OR(AL49="",AL49="NaN"),"",AL49-AVERAGE(AL$43:AL$52))</f>
        <v>-1.0328171300000006</v>
      </c>
      <c r="AR49" s="5"/>
      <c r="AS49" s="19">
        <v>15.946215</v>
      </c>
      <c r="AT49" s="20">
        <v>18.176238999999999</v>
      </c>
      <c r="AU49" s="20">
        <v>13.149607</v>
      </c>
      <c r="AV49" s="21">
        <v>16.265896000000001</v>
      </c>
      <c r="AW49" s="5">
        <f t="shared" si="76"/>
        <v>-0.73002579999999817</v>
      </c>
      <c r="AX49" s="5">
        <f t="shared" si="77"/>
        <v>-0.1736535000000039</v>
      </c>
      <c r="AY49" s="5">
        <f t="shared" si="78"/>
        <v>-3.7189258000000009</v>
      </c>
      <c r="AZ49" s="22">
        <f>IF(OR(AV49="",AV49="NaN"),"",AV49-AVERAGE(AV$43:AV$52))</f>
        <v>-1.458752699999998</v>
      </c>
      <c r="BB49" s="5"/>
      <c r="BC49" s="19">
        <v>2.695325</v>
      </c>
      <c r="BD49" s="20">
        <v>2.8305541999999999</v>
      </c>
      <c r="BE49" s="20">
        <v>2.5633501999999999</v>
      </c>
      <c r="BF49" s="21">
        <v>2.6445249999999998</v>
      </c>
      <c r="BG49" s="5">
        <f t="shared" si="79"/>
        <v>-2.6968130000000201E-2</v>
      </c>
      <c r="BH49" s="5">
        <f t="shared" si="80"/>
        <v>-8.4545899999999286E-3</v>
      </c>
      <c r="BI49" s="5">
        <f t="shared" si="81"/>
        <v>-0.2012277099999995</v>
      </c>
      <c r="BJ49" s="22">
        <f>IF(OR(BF49="",BF49="NaN"),"",BF49-AVERAGE(BF$43:BF$52))</f>
        <v>-0.15348186000000075</v>
      </c>
      <c r="BL49" s="5"/>
      <c r="BM49" s="19">
        <v>2.0568863999999998</v>
      </c>
      <c r="BN49" s="20">
        <v>2.2217033000000002</v>
      </c>
      <c r="BO49" s="20">
        <v>2.0817378</v>
      </c>
      <c r="BP49" s="21">
        <v>2.0498029999999998</v>
      </c>
      <c r="BQ49" s="5">
        <f t="shared" si="82"/>
        <v>2.0044799999999974E-2</v>
      </c>
      <c r="BR49" s="5">
        <f t="shared" si="83"/>
        <v>-2.0412649999999921E-2</v>
      </c>
      <c r="BS49" s="5">
        <f t="shared" si="84"/>
        <v>-0.34753687000000033</v>
      </c>
      <c r="BT49" s="22">
        <f>IF(OR(BP49="",BP49="NaN"),"",BP49-AVERAGE(BP$43:BP$52))</f>
        <v>-6.0574370000000322E-2</v>
      </c>
      <c r="BV49" s="5"/>
      <c r="BW49" s="19">
        <v>4.8148866000000003</v>
      </c>
      <c r="BX49" s="20">
        <v>5.3440940000000001</v>
      </c>
      <c r="BY49" s="20">
        <v>5.0398396999999999</v>
      </c>
      <c r="BZ49" s="21">
        <v>4.6345476999999997</v>
      </c>
      <c r="CA49" s="5">
        <f t="shared" si="85"/>
        <v>-0.23425940000000001</v>
      </c>
      <c r="CB49" s="5">
        <f t="shared" si="86"/>
        <v>-0.33810479999999998</v>
      </c>
      <c r="CC49" s="5">
        <f t="shared" si="87"/>
        <v>-0.67606296000000032</v>
      </c>
      <c r="CD49" s="22">
        <f>IF(OR(BZ49="",BZ49="NaN"),"",BZ49-AVERAGE(BZ$43:BZ$52))</f>
        <v>-0.63236763999999912</v>
      </c>
    </row>
    <row r="50" spans="1:82" x14ac:dyDescent="0.25">
      <c r="A50" s="38"/>
      <c r="B50" s="5">
        <v>8</v>
      </c>
      <c r="C50" s="18">
        <v>39</v>
      </c>
      <c r="E50" s="19">
        <v>87.650825999999995</v>
      </c>
      <c r="F50" s="20">
        <v>88.779730000000001</v>
      </c>
      <c r="G50" s="20">
        <v>87.788089999999997</v>
      </c>
      <c r="H50" s="21">
        <v>87.665710000000004</v>
      </c>
      <c r="I50" s="5">
        <f t="shared" si="64"/>
        <v>-0.13282940000000565</v>
      </c>
      <c r="J50" s="5">
        <f t="shared" si="65"/>
        <v>0.26879540000000191</v>
      </c>
      <c r="K50" s="5">
        <f t="shared" si="66"/>
        <v>0.12378999999999962</v>
      </c>
      <c r="L50" s="22">
        <f>IF(OR(H50="",H50="NaN"),"",H50-AVERAGE(H$43:H$52))</f>
        <v>-6.5571499999990124E-2</v>
      </c>
      <c r="M50" s="5"/>
      <c r="N50" s="5"/>
      <c r="O50" s="19">
        <v>57.222602999999999</v>
      </c>
      <c r="P50" s="20">
        <v>53.428519999999999</v>
      </c>
      <c r="Q50" s="20">
        <v>56.342556000000002</v>
      </c>
      <c r="R50" s="21">
        <v>53.549370000000003</v>
      </c>
      <c r="S50" s="5">
        <f t="shared" si="67"/>
        <v>-1.0554930999999925</v>
      </c>
      <c r="T50" s="5">
        <f t="shared" si="68"/>
        <v>-0.26584790000001135</v>
      </c>
      <c r="U50" s="5">
        <f t="shared" si="69"/>
        <v>-0.86520849999999427</v>
      </c>
      <c r="V50" s="22">
        <f>IF(OR(R50="",R50="NaN"),"",R50-AVERAGE(R$43:R$52))</f>
        <v>-1.176564599999999</v>
      </c>
      <c r="W50" s="5"/>
      <c r="X50" s="5"/>
      <c r="Y50" s="19">
        <v>9.7351329999999994</v>
      </c>
      <c r="Z50" s="20">
        <v>9.8898945000000005</v>
      </c>
      <c r="AA50" s="20">
        <v>10.286014</v>
      </c>
      <c r="AB50" s="21">
        <v>10.27524</v>
      </c>
      <c r="AC50" s="5">
        <f t="shared" si="70"/>
        <v>0.22224219999999839</v>
      </c>
      <c r="AD50" s="5">
        <f t="shared" si="71"/>
        <v>0.29439895000000149</v>
      </c>
      <c r="AE50" s="5">
        <f t="shared" si="72"/>
        <v>0.53875865000000012</v>
      </c>
      <c r="AF50" s="22">
        <f>IF(OR(AB50="",AB50="NaN"),"",AB50-AVERAGE(AB$43:AB$52))</f>
        <v>0.45300405000000055</v>
      </c>
      <c r="AG50" s="5"/>
      <c r="AH50" s="5"/>
      <c r="AI50" s="19">
        <v>6.2209773000000004</v>
      </c>
      <c r="AJ50" s="20">
        <v>6.7908780000000002</v>
      </c>
      <c r="AK50" s="20">
        <v>7.343839</v>
      </c>
      <c r="AL50" s="21">
        <v>6.4191200000000004</v>
      </c>
      <c r="AM50" s="5">
        <f t="shared" si="73"/>
        <v>0.11367509000000009</v>
      </c>
      <c r="AN50" s="5">
        <f t="shared" si="74"/>
        <v>-0.21515129999999871</v>
      </c>
      <c r="AO50" s="5">
        <f t="shared" si="75"/>
        <v>0.67764140999999967</v>
      </c>
      <c r="AP50" s="22">
        <f>IF(OR(AL50="",AL50="NaN"),"",AL50-AVERAGE(AL$43:AL$52))</f>
        <v>-5.7240530000000511E-2</v>
      </c>
      <c r="AR50" s="5"/>
      <c r="AS50" s="19">
        <v>16.391345999999999</v>
      </c>
      <c r="AT50" s="20">
        <v>18.384834000000001</v>
      </c>
      <c r="AU50" s="20">
        <v>18.173463999999999</v>
      </c>
      <c r="AV50" s="21">
        <v>18.299395000000001</v>
      </c>
      <c r="AW50" s="5">
        <f t="shared" si="76"/>
        <v>-0.2848948</v>
      </c>
      <c r="AX50" s="5">
        <f t="shared" si="77"/>
        <v>3.4941499999998626E-2</v>
      </c>
      <c r="AY50" s="5">
        <f t="shared" si="78"/>
        <v>1.3049311999999986</v>
      </c>
      <c r="AZ50" s="22">
        <f>IF(OR(AV50="",AV50="NaN"),"",AV50-AVERAGE(AV$43:AV$52))</f>
        <v>0.57474630000000104</v>
      </c>
      <c r="BB50" s="5"/>
      <c r="BC50" s="19">
        <v>2.6255733999999999</v>
      </c>
      <c r="BD50" s="20">
        <v>2.8490321999999999</v>
      </c>
      <c r="BE50" s="20">
        <v>2.8343215000000002</v>
      </c>
      <c r="BF50" s="21">
        <v>2.8245292000000002</v>
      </c>
      <c r="BG50" s="5">
        <f t="shared" si="79"/>
        <v>-9.6719730000000226E-2</v>
      </c>
      <c r="BH50" s="5">
        <f t="shared" si="80"/>
        <v>1.0023410000000066E-2</v>
      </c>
      <c r="BI50" s="5">
        <f t="shared" si="81"/>
        <v>6.9743590000000744E-2</v>
      </c>
      <c r="BJ50" s="22">
        <f>IF(OR(BF50="",BF50="NaN"),"",BF50-AVERAGE(BF$43:BF$52))</f>
        <v>2.6522339999999645E-2</v>
      </c>
      <c r="BL50" s="5"/>
      <c r="BM50" s="19">
        <v>2.0168385999999998</v>
      </c>
      <c r="BN50" s="20">
        <v>2.3426466000000001</v>
      </c>
      <c r="BO50" s="20">
        <v>2.3050423000000002</v>
      </c>
      <c r="BP50" s="21">
        <v>2.1857595000000001</v>
      </c>
      <c r="BQ50" s="5">
        <f t="shared" si="82"/>
        <v>-2.0002999999999993E-2</v>
      </c>
      <c r="BR50" s="5">
        <f t="shared" si="83"/>
        <v>0.10053065000000005</v>
      </c>
      <c r="BS50" s="5">
        <f t="shared" si="84"/>
        <v>-0.12423237000000009</v>
      </c>
      <c r="BT50" s="22">
        <f>IF(OR(BP50="",BP50="NaN"),"",BP50-AVERAGE(BP$43:BP$52))</f>
        <v>7.5382129999999936E-2</v>
      </c>
      <c r="BV50" s="5"/>
      <c r="BW50" s="19">
        <v>4.7660017000000003</v>
      </c>
      <c r="BX50" s="20">
        <v>5.9682956000000003</v>
      </c>
      <c r="BY50" s="20">
        <v>6.0826469999999997</v>
      </c>
      <c r="BZ50" s="21">
        <v>5.5590544</v>
      </c>
      <c r="CA50" s="5">
        <f t="shared" si="85"/>
        <v>-0.28314430000000002</v>
      </c>
      <c r="CB50" s="5">
        <f t="shared" si="86"/>
        <v>0.28609680000000015</v>
      </c>
      <c r="CC50" s="5">
        <f t="shared" si="87"/>
        <v>0.36674433999999945</v>
      </c>
      <c r="CD50" s="22">
        <f>IF(OR(BZ50="",BZ50="NaN"),"",BZ50-AVERAGE(BZ$43:BZ$52))</f>
        <v>0.29213906000000112</v>
      </c>
    </row>
    <row r="51" spans="1:82" x14ac:dyDescent="0.25">
      <c r="A51" s="38"/>
      <c r="B51" s="5">
        <v>9</v>
      </c>
      <c r="C51" s="18">
        <v>44</v>
      </c>
      <c r="E51" s="19">
        <v>88.388859999999994</v>
      </c>
      <c r="F51" s="20">
        <v>88.123469999999998</v>
      </c>
      <c r="G51" s="20">
        <v>87.868489999999994</v>
      </c>
      <c r="H51" s="21">
        <v>87.558149999999998</v>
      </c>
      <c r="I51" s="5">
        <f t="shared" si="64"/>
        <v>0.60520459999999332</v>
      </c>
      <c r="J51" s="5">
        <f t="shared" si="65"/>
        <v>-0.38746460000000127</v>
      </c>
      <c r="K51" s="5">
        <f t="shared" si="66"/>
        <v>0.20418999999999699</v>
      </c>
      <c r="L51" s="22">
        <f>IF(OR(H51="",H51="NaN"),"",H51-AVERAGE(H$43:H$52))</f>
        <v>-0.17313149999999666</v>
      </c>
      <c r="M51" s="5"/>
      <c r="N51" s="5"/>
      <c r="O51" s="19">
        <v>56.159419999999997</v>
      </c>
      <c r="P51" s="20">
        <v>53.834217000000002</v>
      </c>
      <c r="Q51" s="20">
        <v>55.834589999999999</v>
      </c>
      <c r="R51" s="21">
        <v>55.819298000000003</v>
      </c>
      <c r="S51" s="5">
        <f t="shared" si="67"/>
        <v>-2.1186760999999947</v>
      </c>
      <c r="T51" s="5">
        <f t="shared" si="68"/>
        <v>0.13984909999999218</v>
      </c>
      <c r="U51" s="5">
        <f t="shared" si="69"/>
        <v>-1.3731744999999975</v>
      </c>
      <c r="V51" s="22">
        <f>IF(OR(R51="",R51="NaN"),"",R51-AVERAGE(R$43:R$52))</f>
        <v>1.0933634000000012</v>
      </c>
      <c r="W51" s="5"/>
      <c r="X51" s="5"/>
      <c r="Y51" s="19">
        <v>9.2926699999999993</v>
      </c>
      <c r="Z51" s="20">
        <v>9.2602499999999992</v>
      </c>
      <c r="AA51" s="20">
        <v>9.1992229999999999</v>
      </c>
      <c r="AB51" s="21">
        <v>9.5004015000000006</v>
      </c>
      <c r="AC51" s="5">
        <f t="shared" si="70"/>
        <v>-0.22022080000000166</v>
      </c>
      <c r="AD51" s="5">
        <f t="shared" si="71"/>
        <v>-0.33524554999999978</v>
      </c>
      <c r="AE51" s="5">
        <f t="shared" si="72"/>
        <v>-0.54803234999999972</v>
      </c>
      <c r="AF51" s="22">
        <f>IF(OR(AB51="",AB51="NaN"),"",AB51-AVERAGE(AB$43:AB$52))</f>
        <v>-0.32183444999999899</v>
      </c>
      <c r="AG51" s="5"/>
      <c r="AH51" s="5"/>
      <c r="AI51" s="19">
        <v>6.382301</v>
      </c>
      <c r="AJ51" s="20">
        <v>6.9775204999999998</v>
      </c>
      <c r="AK51" s="20">
        <v>6.4648623000000001</v>
      </c>
      <c r="AL51" s="21">
        <v>6.0799250000000002</v>
      </c>
      <c r="AM51" s="5">
        <f t="shared" si="73"/>
        <v>0.27499878999999972</v>
      </c>
      <c r="AN51" s="5">
        <f t="shared" si="74"/>
        <v>-2.8508799999999113E-2</v>
      </c>
      <c r="AO51" s="5">
        <f t="shared" si="75"/>
        <v>-0.20133529000000028</v>
      </c>
      <c r="AP51" s="22">
        <f>IF(OR(AL51="",AL51="NaN"),"",AL51-AVERAGE(AL$43:AL$52))</f>
        <v>-0.39643553000000065</v>
      </c>
      <c r="AR51" s="5"/>
      <c r="AS51" s="19">
        <v>17.964182000000001</v>
      </c>
      <c r="AT51" s="20">
        <v>18.371777999999999</v>
      </c>
      <c r="AU51" s="20">
        <v>16.178032000000002</v>
      </c>
      <c r="AV51" s="21">
        <v>16.219308999999999</v>
      </c>
      <c r="AW51" s="5">
        <f t="shared" si="76"/>
        <v>1.2879412000000023</v>
      </c>
      <c r="AX51" s="5">
        <f t="shared" si="77"/>
        <v>2.1885499999996227E-2</v>
      </c>
      <c r="AY51" s="5">
        <f t="shared" si="78"/>
        <v>-0.6905007999999988</v>
      </c>
      <c r="AZ51" s="22">
        <f>IF(OR(AV51="",AV51="NaN"),"",AV51-AVERAGE(AV$43:AV$52))</f>
        <v>-1.5053397000000004</v>
      </c>
      <c r="BB51" s="5"/>
      <c r="BC51" s="19">
        <v>2.8313950000000001</v>
      </c>
      <c r="BD51" s="20">
        <v>2.8534082999999999</v>
      </c>
      <c r="BE51" s="20">
        <v>2.7750534999999998</v>
      </c>
      <c r="BF51" s="21">
        <v>2.8211124000000001</v>
      </c>
      <c r="BG51" s="5">
        <f t="shared" si="79"/>
        <v>0.10910186999999993</v>
      </c>
      <c r="BH51" s="5">
        <f t="shared" si="80"/>
        <v>1.439951000000006E-2</v>
      </c>
      <c r="BI51" s="5">
        <f t="shared" si="81"/>
        <v>1.0475590000000423E-2</v>
      </c>
      <c r="BJ51" s="22">
        <f>IF(OR(BF51="",BF51="NaN"),"",BF51-AVERAGE(BF$43:BF$52))</f>
        <v>2.3105539999999536E-2</v>
      </c>
      <c r="BL51" s="5"/>
      <c r="BM51" s="19">
        <v>2.0970713999999999</v>
      </c>
      <c r="BN51" s="20">
        <v>2.1377744999999999</v>
      </c>
      <c r="BO51" s="20">
        <v>2.1388807000000001</v>
      </c>
      <c r="BP51" s="21">
        <v>2.093105</v>
      </c>
      <c r="BQ51" s="5">
        <f t="shared" si="82"/>
        <v>6.0229800000000111E-2</v>
      </c>
      <c r="BR51" s="5">
        <f t="shared" si="83"/>
        <v>-0.10434145000000017</v>
      </c>
      <c r="BS51" s="5">
        <f t="shared" si="84"/>
        <v>-0.29039397000000022</v>
      </c>
      <c r="BT51" s="22">
        <f>IF(OR(BP51="",BP51="NaN"),"",BP51-AVERAGE(BP$43:BP$52))</f>
        <v>-1.7272370000000148E-2</v>
      </c>
      <c r="BV51" s="5"/>
      <c r="BW51" s="19">
        <v>5.1569346999999999</v>
      </c>
      <c r="BX51" s="20">
        <v>5.6063004000000003</v>
      </c>
      <c r="BY51" s="20">
        <v>5.3907657000000002</v>
      </c>
      <c r="BZ51" s="21">
        <v>4.9416003000000002</v>
      </c>
      <c r="CA51" s="5">
        <f t="shared" si="85"/>
        <v>0.10778869999999952</v>
      </c>
      <c r="CB51" s="5">
        <f t="shared" si="86"/>
        <v>-7.589839999999981E-2</v>
      </c>
      <c r="CC51" s="5">
        <f t="shared" si="87"/>
        <v>-0.32513696000000003</v>
      </c>
      <c r="CD51" s="22">
        <f>IF(OR(BZ51="",BZ51="NaN"),"",BZ51-AVERAGE(BZ$43:BZ$52))</f>
        <v>-0.32531503999999867</v>
      </c>
    </row>
    <row r="52" spans="1:82" x14ac:dyDescent="0.25">
      <c r="A52" s="39"/>
      <c r="B52" s="23">
        <v>10</v>
      </c>
      <c r="C52" s="24">
        <v>49</v>
      </c>
      <c r="E52" s="25">
        <v>87.919020000000003</v>
      </c>
      <c r="F52" s="26">
        <v>88.747470000000007</v>
      </c>
      <c r="G52" s="26">
        <v>87.879260000000002</v>
      </c>
      <c r="H52" s="27">
        <v>88.021950000000004</v>
      </c>
      <c r="I52" s="23">
        <f t="shared" si="64"/>
        <v>0.13536460000000261</v>
      </c>
      <c r="J52" s="23">
        <f t="shared" si="65"/>
        <v>0.23653540000000817</v>
      </c>
      <c r="K52" s="23">
        <f t="shared" si="66"/>
        <v>0.21496000000000492</v>
      </c>
      <c r="L52" s="28">
        <f>IF(OR(H52="",H52="NaN"),"",H52-AVERAGE(H$43:H$52))</f>
        <v>0.29066850000000954</v>
      </c>
      <c r="M52" s="5"/>
      <c r="N52" s="5"/>
      <c r="O52" s="25">
        <v>57.495643999999999</v>
      </c>
      <c r="P52" s="26">
        <v>53.472180000000002</v>
      </c>
      <c r="Q52" s="26">
        <v>56.159775000000003</v>
      </c>
      <c r="R52" s="27">
        <v>53.295352999999999</v>
      </c>
      <c r="S52" s="23">
        <f t="shared" si="67"/>
        <v>-0.78245209999999332</v>
      </c>
      <c r="T52" s="23">
        <f t="shared" si="68"/>
        <v>-0.22218790000000865</v>
      </c>
      <c r="U52" s="23">
        <f t="shared" si="69"/>
        <v>-1.0479894999999928</v>
      </c>
      <c r="V52" s="28">
        <f>IF(OR(R52="",R52="NaN"),"",R52-AVERAGE(R$43:R$52))</f>
        <v>-1.4305816000000036</v>
      </c>
      <c r="W52" s="5"/>
      <c r="X52" s="5"/>
      <c r="Y52" s="25">
        <v>9.6672899999999995</v>
      </c>
      <c r="Z52" s="26">
        <v>10.096323999999999</v>
      </c>
      <c r="AA52" s="26">
        <v>10.084956</v>
      </c>
      <c r="AB52" s="27">
        <v>10.026925</v>
      </c>
      <c r="AC52" s="23">
        <f t="shared" si="70"/>
        <v>0.15439919999999852</v>
      </c>
      <c r="AD52" s="23">
        <f t="shared" si="71"/>
        <v>0.5008284500000002</v>
      </c>
      <c r="AE52" s="23">
        <f t="shared" si="72"/>
        <v>0.33770065000000038</v>
      </c>
      <c r="AF52" s="28">
        <f>IF(OR(AB52="",AB52="NaN"),"",AB52-AVERAGE(AB$43:AB$52))</f>
        <v>0.20468905000000071</v>
      </c>
      <c r="AG52" s="5"/>
      <c r="AH52" s="5"/>
      <c r="AI52" s="25">
        <v>6.5459199999999997</v>
      </c>
      <c r="AJ52" s="26">
        <v>6.8798510000000004</v>
      </c>
      <c r="AK52" s="26">
        <v>7.3486099999999999</v>
      </c>
      <c r="AL52" s="27">
        <v>7.3991465999999999</v>
      </c>
      <c r="AM52" s="23">
        <f t="shared" si="73"/>
        <v>0.43861778999999945</v>
      </c>
      <c r="AN52" s="23">
        <f t="shared" si="74"/>
        <v>-0.12617829999999852</v>
      </c>
      <c r="AO52" s="23">
        <f t="shared" si="75"/>
        <v>0.68241240999999953</v>
      </c>
      <c r="AP52" s="28">
        <f>IF(OR(AL52="",AL52="NaN"),"",AL52-AVERAGE(AL$43:AL$52))</f>
        <v>0.92278606999999901</v>
      </c>
      <c r="AR52" s="5"/>
      <c r="AS52" s="25">
        <v>16.390469</v>
      </c>
      <c r="AT52" s="26">
        <v>18.46763</v>
      </c>
      <c r="AU52" s="26">
        <v>18.354493999999999</v>
      </c>
      <c r="AV52" s="27">
        <v>18.366499999999998</v>
      </c>
      <c r="AW52" s="23">
        <f t="shared" si="76"/>
        <v>-0.28577179999999913</v>
      </c>
      <c r="AX52" s="23">
        <f t="shared" si="77"/>
        <v>0.11773749999999694</v>
      </c>
      <c r="AY52" s="23">
        <f t="shared" si="78"/>
        <v>1.4859611999999984</v>
      </c>
      <c r="AZ52" s="28">
        <f>IF(OR(AV52="",AV52="NaN"),"",AV52-AVERAGE(AV$43:AV$52))</f>
        <v>0.64185129999999901</v>
      </c>
      <c r="BB52" s="5"/>
      <c r="BC52" s="25">
        <v>2.7134513999999998</v>
      </c>
      <c r="BD52" s="26">
        <v>2.8464366999999999</v>
      </c>
      <c r="BE52" s="26">
        <v>2.8541175999999999</v>
      </c>
      <c r="BF52" s="27">
        <v>2.8580179999999999</v>
      </c>
      <c r="BG52" s="23">
        <f t="shared" si="79"/>
        <v>-8.8417300000003252E-3</v>
      </c>
      <c r="BH52" s="23">
        <f t="shared" si="80"/>
        <v>7.427910000000093E-3</v>
      </c>
      <c r="BI52" s="23">
        <f t="shared" si="81"/>
        <v>8.9539690000000505E-2</v>
      </c>
      <c r="BJ52" s="28">
        <f>IF(OR(BF52="",BF52="NaN"),"",BF52-AVERAGE(BF$43:BF$52))</f>
        <v>6.0011139999999408E-2</v>
      </c>
      <c r="BL52" s="5"/>
      <c r="BM52" s="25">
        <v>1.9812320000000001</v>
      </c>
      <c r="BN52" s="26">
        <v>2.1568559999999999</v>
      </c>
      <c r="BO52" s="26">
        <v>3.1090011999999998</v>
      </c>
      <c r="BP52" s="27">
        <v>2.1814241000000001</v>
      </c>
      <c r="BQ52" s="23">
        <f t="shared" si="82"/>
        <v>-5.5609599999999704E-2</v>
      </c>
      <c r="BR52" s="23">
        <f t="shared" si="83"/>
        <v>-8.5259950000000195E-2</v>
      </c>
      <c r="BS52" s="23">
        <f t="shared" si="84"/>
        <v>0.6797265299999995</v>
      </c>
      <c r="BT52" s="28">
        <f>IF(OR(BP52="",BP52="NaN"),"",BP52-AVERAGE(BP$43:BP$52))</f>
        <v>7.1046729999999947E-2</v>
      </c>
      <c r="BV52" s="5"/>
      <c r="BW52" s="25">
        <v>5.1315989999999996</v>
      </c>
      <c r="BX52" s="26">
        <v>5.8154159999999999</v>
      </c>
      <c r="BY52" s="26">
        <v>6.1599700000000004</v>
      </c>
      <c r="BZ52" s="27">
        <v>5.7678555999999999</v>
      </c>
      <c r="CA52" s="23">
        <f t="shared" si="85"/>
        <v>8.2452999999999221E-2</v>
      </c>
      <c r="CB52" s="23">
        <f t="shared" si="86"/>
        <v>0.13321719999999981</v>
      </c>
      <c r="CC52" s="23">
        <f t="shared" si="87"/>
        <v>0.44406734000000014</v>
      </c>
      <c r="CD52" s="28">
        <f>IF(OR(BZ52="",BZ52="NaN"),"",BZ52-AVERAGE(BZ$43:BZ$52))</f>
        <v>0.50094026000000103</v>
      </c>
    </row>
    <row r="53" spans="1:82" x14ac:dyDescent="0.25">
      <c r="A53" s="37">
        <v>5</v>
      </c>
      <c r="B53" s="12">
        <v>1</v>
      </c>
      <c r="C53" s="13">
        <v>5</v>
      </c>
      <c r="E53" s="14">
        <v>87.278959999999998</v>
      </c>
      <c r="F53" s="15">
        <v>88.667984000000004</v>
      </c>
      <c r="G53" s="15">
        <v>88.389030000000005</v>
      </c>
      <c r="H53" s="16">
        <v>88.946129999999997</v>
      </c>
      <c r="I53" s="12">
        <f t="shared" ref="I53:I62" si="88">IF(OR(E53="",E53="NaN"),"",E53-AVERAGE(E$53:E$62))</f>
        <v>-0.5100180000000023</v>
      </c>
      <c r="J53" s="12">
        <f t="shared" ref="J53:J62" si="89">IF(OR(F53="",F53="NaN"),"",F53-AVERAGE(F$53:F$62))</f>
        <v>0.12906620000001112</v>
      </c>
      <c r="K53" s="12">
        <f t="shared" ref="K53:K62" si="90">IF(OR(G53="",G53="NaN"),"",G53-AVERAGE(G$53:G$62))</f>
        <v>5.8775299999993535E-2</v>
      </c>
      <c r="L53" s="17">
        <f t="shared" ref="L53:L62" si="91">IF(OR(H53="",H53="NaN"),"",H53-AVERAGE(H$53:H$62))</f>
        <v>0.31770659999999395</v>
      </c>
      <c r="M53" s="5"/>
      <c r="N53" s="5"/>
      <c r="O53" s="14">
        <v>54.999904999999998</v>
      </c>
      <c r="P53" s="15">
        <v>54.703299999999999</v>
      </c>
      <c r="Q53" s="15">
        <v>56.600014000000002</v>
      </c>
      <c r="R53" s="16">
        <v>56.843539999999997</v>
      </c>
      <c r="S53" s="12">
        <f t="shared" ref="S53:S62" si="92">IF(OR(O53="",O53="NaN"),"",O53-AVERAGE(O$53:O$62))</f>
        <v>5.6185499999990896E-2</v>
      </c>
      <c r="T53" s="12">
        <f t="shared" ref="T53:T62" si="93">IF(OR(P53="",P53="NaN"),"",P53-AVERAGE(P$53:P$62))</f>
        <v>-4.6391800000009198E-2</v>
      </c>
      <c r="U53" s="12">
        <f t="shared" ref="U53:U62" si="94">IF(OR(Q53="",Q53="NaN"),"",Q53-AVERAGE(Q$53:Q$62))</f>
        <v>1.8934822999999952</v>
      </c>
      <c r="V53" s="17">
        <f t="shared" ref="V53:V62" si="95">IF(OR(R53="",R53="NaN"),"",R53-AVERAGE(R$53:R$62))</f>
        <v>1.2683346000000029</v>
      </c>
      <c r="W53" s="5"/>
      <c r="X53" s="5"/>
      <c r="Y53" s="14">
        <v>16.164256999999999</v>
      </c>
      <c r="Z53" s="15">
        <v>12.572066</v>
      </c>
      <c r="AA53" s="15">
        <v>16.492846</v>
      </c>
      <c r="AB53" s="16">
        <v>12.509591</v>
      </c>
      <c r="AC53" s="12">
        <f t="shared" ref="AC53:AC62" si="96">IF(OR(Y53="",Y53="NaN"),"",Y53-AVERAGE(Y$53:Y$62))</f>
        <v>1.9508149999999986</v>
      </c>
      <c r="AD53" s="12">
        <f t="shared" ref="AD53:AD62" si="97">IF(OR(Z53="",Z53="NaN"),"",Z53-AVERAGE(Z$53:Z$62))</f>
        <v>-0.37730345000000121</v>
      </c>
      <c r="AE53" s="12">
        <f t="shared" ref="AE53:AE62" si="98">IF(OR(AA53="",AA53="NaN"),"",AA53-AVERAGE(AA$53:AA$62))</f>
        <v>2.4214699999998146E-2</v>
      </c>
      <c r="AF53" s="17">
        <f t="shared" ref="AF53:AF62" si="99">IF(OR(AB53="",AB53="NaN"),"",AB53-AVERAGE(AB$53:AB$62))</f>
        <v>0.14766780000000068</v>
      </c>
      <c r="AG53" s="5"/>
      <c r="AH53" s="5"/>
      <c r="AI53" s="14">
        <v>6.4653980000000004</v>
      </c>
      <c r="AJ53" s="15">
        <v>6.907197</v>
      </c>
      <c r="AK53" s="15">
        <v>6.6177864</v>
      </c>
      <c r="AL53" s="16">
        <v>7.6723055999999996</v>
      </c>
      <c r="AM53" s="12">
        <f t="shared" ref="AM53:AM62" si="100">IF(OR(AI53="",AI53="NaN"),"",AI53-AVERAGE(AI$53:AI$62))</f>
        <v>-0.17600417999999962</v>
      </c>
      <c r="AN53" s="12">
        <f t="shared" ref="AN53:AN62" si="101">IF(OR(AJ53="",AJ53="NaN"),"",AJ53-AVERAGE(AJ$53:AJ$62))</f>
        <v>-0.31577342000000108</v>
      </c>
      <c r="AO53" s="12">
        <f t="shared" ref="AO53:AO62" si="102">IF(OR(AK53="",AK53="NaN"),"",AK53-AVERAGE(AK$53:AK$62))</f>
        <v>-0.23929331999999981</v>
      </c>
      <c r="AP53" s="17">
        <f t="shared" ref="AP53:AP62" si="103">IF(OR(AL53="",AL53="NaN"),"",AL53-AVERAGE(AL$53:AL$62))</f>
        <v>0.19330019999999948</v>
      </c>
      <c r="AR53" s="5"/>
      <c r="AS53" s="14">
        <v>18.059380000000001</v>
      </c>
      <c r="AT53" s="15">
        <v>18.187173999999999</v>
      </c>
      <c r="AU53" s="15">
        <v>17.838986999999999</v>
      </c>
      <c r="AV53" s="16">
        <v>18.307312</v>
      </c>
      <c r="AW53" s="12">
        <f t="shared" ref="AW53:AW62" si="104">IF(OR(AS53="",AS53="NaN"),"",AS53-AVERAGE(AS$53:AS$62))</f>
        <v>-0.37746730000000284</v>
      </c>
      <c r="AX53" s="12">
        <f t="shared" ref="AX53:AX62" si="105">IF(OR(AT53="",AT53="NaN"),"",AT53-AVERAGE(AT$53:AT$62))</f>
        <v>4.9899399999997485E-2</v>
      </c>
      <c r="AY53" s="12">
        <f t="shared" ref="AY53:AY62" si="106">IF(OR(AU53="",AU53="NaN"),"",AU53-AVERAGE(AU$53:AU$62))</f>
        <v>-0.54810749999999686</v>
      </c>
      <c r="AZ53" s="17">
        <f t="shared" ref="AZ53:AZ62" si="107">IF(OR(AV53="",AV53="NaN"),"",AV53-AVERAGE(AV$53:AV$62))</f>
        <v>-2.5008799999998388E-2</v>
      </c>
      <c r="BB53" s="5"/>
      <c r="BC53" s="14">
        <v>3.2955694000000002</v>
      </c>
      <c r="BD53" s="15">
        <v>3.2039496999999999</v>
      </c>
      <c r="BE53" s="15">
        <v>3.6255538</v>
      </c>
      <c r="BF53" s="16">
        <v>3.1649227</v>
      </c>
      <c r="BG53" s="12">
        <f t="shared" ref="BG53:BG62" si="108">IF(OR(BC53="",BC53="NaN"),"",BC53-AVERAGE(BC$53:BC$62))</f>
        <v>2.2238150000000623E-2</v>
      </c>
      <c r="BH53" s="12">
        <f t="shared" ref="BH53:BH62" si="109">IF(OR(BD53="",BD53="NaN"),"",BD53-AVERAGE(BD$53:BD$62))</f>
        <v>0.13339909000000016</v>
      </c>
      <c r="BI53" s="12">
        <f t="shared" ref="BI53:BI62" si="110">IF(OR(BE53="",BE53="NaN"),"",BE53-AVERAGE(BE$53:BE$62))</f>
        <v>-3.7833900000001641E-3</v>
      </c>
      <c r="BJ53" s="17">
        <f t="shared" ref="BJ53:BJ62" si="111">IF(OR(BF53="",BF53="NaN"),"",BF53-AVERAGE(BF$53:BF$62))</f>
        <v>8.4268939999999848E-2</v>
      </c>
      <c r="BL53" s="5"/>
      <c r="BM53" s="14">
        <v>10.416596999999999</v>
      </c>
      <c r="BN53" s="15">
        <v>5.1193070000000001</v>
      </c>
      <c r="BO53" s="15">
        <v>10.003432</v>
      </c>
      <c r="BP53" s="16">
        <v>2.9417076</v>
      </c>
      <c r="BQ53" s="12">
        <f t="shared" ref="BQ53:BQ62" si="112">IF(OR(BM53="",BM53="NaN"),"",BM53-AVERAGE(BM$53:BM$62))</f>
        <v>4.7465978699999996</v>
      </c>
      <c r="BR53" s="12">
        <f t="shared" ref="BR53:BR62" si="113">IF(OR(BN53="",BN53="NaN"),"",BN53-AVERAGE(BN$53:BN$62))</f>
        <v>0.2233714400000002</v>
      </c>
      <c r="BS53" s="12">
        <f t="shared" ref="BS53:BS62" si="114">IF(OR(BO53="",BO53="NaN"),"",BO53-AVERAGE(BO$53:BO$62))</f>
        <v>1.4734583400000005</v>
      </c>
      <c r="BT53" s="17">
        <f t="shared" ref="BT53:BT62" si="115">IF(OR(BP53="",BP53="NaN"),"",BP53-AVERAGE(BP$53:BP$62))</f>
        <v>-0.13715110999999958</v>
      </c>
      <c r="BV53" s="5"/>
      <c r="BW53" s="14">
        <v>6.1024623</v>
      </c>
      <c r="BX53" s="15">
        <v>4.5864915999999996</v>
      </c>
      <c r="BY53" s="15">
        <v>4.8027340000000001</v>
      </c>
      <c r="BZ53" s="16">
        <v>4.6753855</v>
      </c>
      <c r="CA53" s="12">
        <f t="shared" ref="CA53:CA62" si="116">IF(OR(BW53="",BW53="NaN"),"",BW53-AVERAGE(BW$53:BW$62))</f>
        <v>0.32642499000000047</v>
      </c>
      <c r="CB53" s="12">
        <f t="shared" ref="CB53:CB62" si="117">IF(OR(BX53="",BX53="NaN"),"",BX53-AVERAGE(BX$53:BX$62))</f>
        <v>-2.9371470000000066E-2</v>
      </c>
      <c r="CC53" s="12">
        <f t="shared" ref="CC53:CC62" si="118">IF(OR(BY53="",BY53="NaN"),"",BY53-AVERAGE(BY$53:BY$62))</f>
        <v>-0.20662348000000019</v>
      </c>
      <c r="CD53" s="17">
        <f t="shared" ref="CD53:CD62" si="119">IF(OR(BZ53="",BZ53="NaN"),"",BZ53-AVERAGE(BZ$53:BZ$62))</f>
        <v>-8.4673640000000105E-2</v>
      </c>
    </row>
    <row r="54" spans="1:82" x14ac:dyDescent="0.25">
      <c r="A54" s="38"/>
      <c r="B54" s="5">
        <v>2</v>
      </c>
      <c r="C54" s="18">
        <v>10</v>
      </c>
      <c r="E54" s="19">
        <v>87.69605</v>
      </c>
      <c r="F54" s="20">
        <v>88.47175</v>
      </c>
      <c r="G54" s="20">
        <v>88.431920000000005</v>
      </c>
      <c r="H54" s="21">
        <v>88.350173999999996</v>
      </c>
      <c r="I54" s="5">
        <f t="shared" si="88"/>
        <v>-9.2928000000000566E-2</v>
      </c>
      <c r="J54" s="5">
        <f t="shared" si="89"/>
        <v>-6.7167799999992894E-2</v>
      </c>
      <c r="K54" s="5">
        <f t="shared" si="90"/>
        <v>0.10166529999999341</v>
      </c>
      <c r="L54" s="22">
        <f t="shared" si="91"/>
        <v>-0.27824940000000709</v>
      </c>
      <c r="M54" s="5"/>
      <c r="N54" s="5"/>
      <c r="O54" s="19">
        <v>53.330264999999997</v>
      </c>
      <c r="P54" s="20">
        <v>55.360930000000003</v>
      </c>
      <c r="Q54" s="20">
        <v>53.234062000000002</v>
      </c>
      <c r="R54" s="21">
        <v>56.081000000000003</v>
      </c>
      <c r="S54" s="5">
        <f t="shared" si="92"/>
        <v>-1.6134545000000102</v>
      </c>
      <c r="T54" s="5">
        <f t="shared" si="93"/>
        <v>0.6112381999999954</v>
      </c>
      <c r="U54" s="5">
        <f t="shared" si="94"/>
        <v>-1.4724697000000049</v>
      </c>
      <c r="V54" s="22">
        <f t="shared" si="95"/>
        <v>0.50579460000000864</v>
      </c>
      <c r="W54" s="5"/>
      <c r="X54" s="5"/>
      <c r="Y54" s="19">
        <v>11.752649999999999</v>
      </c>
      <c r="Z54" s="20">
        <v>12.1852865</v>
      </c>
      <c r="AA54" s="20">
        <v>12.120556000000001</v>
      </c>
      <c r="AB54" s="21">
        <v>11.644295</v>
      </c>
      <c r="AC54" s="5">
        <f t="shared" si="96"/>
        <v>-2.4607920000000014</v>
      </c>
      <c r="AD54" s="5">
        <f t="shared" si="97"/>
        <v>-0.76408295000000059</v>
      </c>
      <c r="AE54" s="5">
        <f t="shared" si="98"/>
        <v>-4.3480753000000014</v>
      </c>
      <c r="AF54" s="22">
        <f t="shared" si="99"/>
        <v>-0.71762820000000005</v>
      </c>
      <c r="AG54" s="5"/>
      <c r="AH54" s="5"/>
      <c r="AI54" s="19">
        <v>6.4811095999999999</v>
      </c>
      <c r="AJ54" s="20">
        <v>7.0136560000000001</v>
      </c>
      <c r="AK54" s="20">
        <v>7.1335572999999997</v>
      </c>
      <c r="AL54" s="21">
        <v>7.2227610000000002</v>
      </c>
      <c r="AM54" s="5">
        <f t="shared" si="100"/>
        <v>-0.16029258000000013</v>
      </c>
      <c r="AN54" s="5">
        <f t="shared" si="101"/>
        <v>-0.209314420000001</v>
      </c>
      <c r="AO54" s="5">
        <f t="shared" si="102"/>
        <v>0.27647757999999989</v>
      </c>
      <c r="AP54" s="22">
        <f t="shared" si="103"/>
        <v>-0.25624439999999993</v>
      </c>
      <c r="AR54" s="5"/>
      <c r="AS54" s="19">
        <v>18.018260999999999</v>
      </c>
      <c r="AT54" s="20">
        <v>18.289954999999999</v>
      </c>
      <c r="AU54" s="20">
        <v>18.778713</v>
      </c>
      <c r="AV54" s="21">
        <v>19.074549000000001</v>
      </c>
      <c r="AW54" s="5">
        <f t="shared" si="104"/>
        <v>-0.41858630000000474</v>
      </c>
      <c r="AX54" s="5">
        <f t="shared" si="105"/>
        <v>0.15268039999999772</v>
      </c>
      <c r="AY54" s="5">
        <f t="shared" si="106"/>
        <v>0.39161850000000342</v>
      </c>
      <c r="AZ54" s="22">
        <f t="shared" si="107"/>
        <v>0.74222820000000311</v>
      </c>
      <c r="BB54" s="5"/>
      <c r="BC54" s="19">
        <v>2.9032268999999999</v>
      </c>
      <c r="BD54" s="20">
        <v>2.9361297999999998</v>
      </c>
      <c r="BE54" s="20">
        <v>2.9713254</v>
      </c>
      <c r="BF54" s="21">
        <v>2.9492128000000002</v>
      </c>
      <c r="BG54" s="5">
        <f t="shared" si="108"/>
        <v>-0.37010434999999964</v>
      </c>
      <c r="BH54" s="5">
        <f t="shared" si="109"/>
        <v>-0.13442080999999995</v>
      </c>
      <c r="BI54" s="5">
        <f t="shared" si="110"/>
        <v>-0.65801179000000021</v>
      </c>
      <c r="BJ54" s="22">
        <f t="shared" si="111"/>
        <v>-0.13144095999999994</v>
      </c>
      <c r="BL54" s="5"/>
      <c r="BM54" s="19">
        <v>1.9475126</v>
      </c>
      <c r="BN54" s="20">
        <v>1.993406</v>
      </c>
      <c r="BO54" s="20">
        <v>2.3966677000000001</v>
      </c>
      <c r="BP54" s="21">
        <v>1.8154459000000001</v>
      </c>
      <c r="BQ54" s="5">
        <f t="shared" si="112"/>
        <v>-3.7224865299999998</v>
      </c>
      <c r="BR54" s="5">
        <f t="shared" si="113"/>
        <v>-2.9025295599999996</v>
      </c>
      <c r="BS54" s="5">
        <f t="shared" si="114"/>
        <v>-6.1333059599999995</v>
      </c>
      <c r="BT54" s="22">
        <f t="shared" si="115"/>
        <v>-1.2634128099999995</v>
      </c>
      <c r="BV54" s="5"/>
      <c r="BW54" s="19">
        <v>5.9993305000000001</v>
      </c>
      <c r="BX54" s="20">
        <v>4.678458</v>
      </c>
      <c r="BY54" s="20">
        <v>5.1300507</v>
      </c>
      <c r="BZ54" s="21">
        <v>5.1704239999999997</v>
      </c>
      <c r="CA54" s="5">
        <f t="shared" si="116"/>
        <v>0.22329319000000059</v>
      </c>
      <c r="CB54" s="5">
        <f t="shared" si="117"/>
        <v>6.2594930000000382E-2</v>
      </c>
      <c r="CC54" s="5">
        <f t="shared" si="118"/>
        <v>0.12069321999999971</v>
      </c>
      <c r="CD54" s="22">
        <f t="shared" si="119"/>
        <v>0.41036485999999961</v>
      </c>
    </row>
    <row r="55" spans="1:82" x14ac:dyDescent="0.25">
      <c r="A55" s="38"/>
      <c r="B55" s="5">
        <v>3</v>
      </c>
      <c r="C55" s="18">
        <v>15</v>
      </c>
      <c r="E55" s="19">
        <v>88.033019999999993</v>
      </c>
      <c r="F55" s="20">
        <v>88.507739999999998</v>
      </c>
      <c r="G55" s="20">
        <v>88.20223</v>
      </c>
      <c r="H55" s="21">
        <v>88.911095000000003</v>
      </c>
      <c r="I55" s="5">
        <f t="shared" si="88"/>
        <v>0.24404199999999321</v>
      </c>
      <c r="J55" s="5">
        <f t="shared" si="89"/>
        <v>-3.1177799999994704E-2</v>
      </c>
      <c r="K55" s="5">
        <f t="shared" si="90"/>
        <v>-0.12802470000001165</v>
      </c>
      <c r="L55" s="22">
        <f t="shared" si="91"/>
        <v>0.28267160000000047</v>
      </c>
      <c r="M55" s="5"/>
      <c r="N55" s="5"/>
      <c r="O55" s="19">
        <v>56.087615999999997</v>
      </c>
      <c r="P55" s="20">
        <v>53.845649999999999</v>
      </c>
      <c r="Q55" s="20">
        <v>56.539757000000002</v>
      </c>
      <c r="R55" s="21">
        <v>54.917811999999998</v>
      </c>
      <c r="S55" s="5">
        <f t="shared" si="92"/>
        <v>1.1438964999999897</v>
      </c>
      <c r="T55" s="5">
        <f t="shared" si="93"/>
        <v>-0.90404180000000878</v>
      </c>
      <c r="U55" s="5">
        <f t="shared" si="94"/>
        <v>1.8332252999999952</v>
      </c>
      <c r="V55" s="22">
        <f t="shared" si="95"/>
        <v>-0.65739339999999657</v>
      </c>
      <c r="W55" s="5"/>
      <c r="X55" s="5"/>
      <c r="Y55" s="19">
        <v>17.389323999999998</v>
      </c>
      <c r="Z55" s="20">
        <v>13.305408</v>
      </c>
      <c r="AA55" s="20">
        <v>22.582450000000001</v>
      </c>
      <c r="AB55" s="21">
        <v>12.892765000000001</v>
      </c>
      <c r="AC55" s="5">
        <f t="shared" si="96"/>
        <v>3.1758819999999979</v>
      </c>
      <c r="AD55" s="5">
        <f t="shared" si="97"/>
        <v>0.35603854999999918</v>
      </c>
      <c r="AE55" s="5">
        <f t="shared" si="98"/>
        <v>6.1138186999999995</v>
      </c>
      <c r="AF55" s="22">
        <f t="shared" si="99"/>
        <v>0.53084180000000103</v>
      </c>
      <c r="AG55" s="5"/>
      <c r="AH55" s="5"/>
      <c r="AI55" s="19">
        <v>6.381945</v>
      </c>
      <c r="AJ55" s="20">
        <v>7.6552343</v>
      </c>
      <c r="AK55" s="20">
        <v>6.9970483999999997</v>
      </c>
      <c r="AL55" s="21">
        <v>7.8352589999999998</v>
      </c>
      <c r="AM55" s="5">
        <f t="shared" si="100"/>
        <v>-0.25945718000000006</v>
      </c>
      <c r="AN55" s="5">
        <f t="shared" si="101"/>
        <v>0.43226387999999893</v>
      </c>
      <c r="AO55" s="5">
        <f t="shared" si="102"/>
        <v>0.13996867999999996</v>
      </c>
      <c r="AP55" s="22">
        <f t="shared" si="103"/>
        <v>0.35625359999999962</v>
      </c>
      <c r="AR55" s="5"/>
      <c r="AS55" s="19">
        <v>18.823523000000002</v>
      </c>
      <c r="AT55" s="20">
        <v>18.181077999999999</v>
      </c>
      <c r="AU55" s="20">
        <v>18.181932</v>
      </c>
      <c r="AV55" s="21">
        <v>18.179061999999998</v>
      </c>
      <c r="AW55" s="5">
        <f t="shared" si="104"/>
        <v>0.38667569999999785</v>
      </c>
      <c r="AX55" s="5">
        <f t="shared" si="105"/>
        <v>4.3803399999998049E-2</v>
      </c>
      <c r="AY55" s="5">
        <f t="shared" si="106"/>
        <v>-0.20516249999999658</v>
      </c>
      <c r="AZ55" s="22">
        <f t="shared" si="107"/>
        <v>-0.1532587999999997</v>
      </c>
      <c r="BB55" s="5"/>
      <c r="BC55" s="19">
        <v>2.9480110000000002</v>
      </c>
      <c r="BD55" s="20">
        <v>3.16398</v>
      </c>
      <c r="BE55" s="20">
        <v>3.7240934000000001</v>
      </c>
      <c r="BF55" s="21">
        <v>3.3623921999999999</v>
      </c>
      <c r="BG55" s="5">
        <f t="shared" si="108"/>
        <v>-0.32532024999999942</v>
      </c>
      <c r="BH55" s="5">
        <f t="shared" si="109"/>
        <v>9.3429390000000279E-2</v>
      </c>
      <c r="BI55" s="5">
        <f t="shared" si="110"/>
        <v>9.4756209999999896E-2</v>
      </c>
      <c r="BJ55" s="22">
        <f t="shared" si="111"/>
        <v>0.28173843999999981</v>
      </c>
      <c r="BL55" s="5"/>
      <c r="BM55" s="19">
        <v>4.6340785000000002</v>
      </c>
      <c r="BN55" s="20">
        <v>4.5718920000000001</v>
      </c>
      <c r="BO55" s="20">
        <v>14.491960000000001</v>
      </c>
      <c r="BP55" s="21">
        <v>4.7591939999999999</v>
      </c>
      <c r="BQ55" s="5">
        <f t="shared" si="112"/>
        <v>-1.0359206299999997</v>
      </c>
      <c r="BR55" s="5">
        <f t="shared" si="113"/>
        <v>-0.32404355999999979</v>
      </c>
      <c r="BS55" s="5">
        <f t="shared" si="114"/>
        <v>5.9619863400000011</v>
      </c>
      <c r="BT55" s="22">
        <f t="shared" si="115"/>
        <v>1.6803352900000004</v>
      </c>
      <c r="BV55" s="5"/>
      <c r="BW55" s="19">
        <v>5.7335361999999996</v>
      </c>
      <c r="BX55" s="20">
        <v>4.6669435999999997</v>
      </c>
      <c r="BY55" s="20">
        <v>4.878978</v>
      </c>
      <c r="BZ55" s="21">
        <v>4.6176599999999999</v>
      </c>
      <c r="CA55" s="5">
        <f t="shared" si="116"/>
        <v>-4.2501109999999898E-2</v>
      </c>
      <c r="CB55" s="5">
        <f t="shared" si="117"/>
        <v>5.1080530000000124E-2</v>
      </c>
      <c r="CC55" s="5">
        <f t="shared" si="118"/>
        <v>-0.13037948000000021</v>
      </c>
      <c r="CD55" s="22">
        <f t="shared" si="119"/>
        <v>-0.1423991400000002</v>
      </c>
    </row>
    <row r="56" spans="1:82" x14ac:dyDescent="0.25">
      <c r="A56" s="38"/>
      <c r="B56" s="5">
        <v>4</v>
      </c>
      <c r="C56" s="18">
        <v>20</v>
      </c>
      <c r="E56" s="19">
        <v>88.198930000000004</v>
      </c>
      <c r="F56" s="20">
        <v>88.372185000000002</v>
      </c>
      <c r="G56" s="20">
        <v>88.137730000000005</v>
      </c>
      <c r="H56" s="21">
        <v>88.270420000000001</v>
      </c>
      <c r="I56" s="5">
        <f t="shared" si="88"/>
        <v>0.40995200000000409</v>
      </c>
      <c r="J56" s="5">
        <f t="shared" si="89"/>
        <v>-0.16673279999999124</v>
      </c>
      <c r="K56" s="5">
        <f t="shared" si="90"/>
        <v>-0.19252470000000699</v>
      </c>
      <c r="L56" s="22">
        <f t="shared" si="91"/>
        <v>-0.35800340000000119</v>
      </c>
      <c r="M56" s="5"/>
      <c r="N56" s="5"/>
      <c r="O56" s="19">
        <v>54.580689999999997</v>
      </c>
      <c r="P56" s="20">
        <v>55.272938000000003</v>
      </c>
      <c r="Q56" s="20">
        <v>54.798476999999998</v>
      </c>
      <c r="R56" s="21">
        <v>55.152239999999999</v>
      </c>
      <c r="S56" s="5">
        <f t="shared" si="92"/>
        <v>-0.36302950000001033</v>
      </c>
      <c r="T56" s="5">
        <f t="shared" si="93"/>
        <v>0.52324619999999555</v>
      </c>
      <c r="U56" s="5">
        <f t="shared" si="94"/>
        <v>9.1945299999991903E-2</v>
      </c>
      <c r="V56" s="22">
        <f t="shared" si="95"/>
        <v>-0.42296539999999538</v>
      </c>
      <c r="W56" s="5"/>
      <c r="X56" s="5"/>
      <c r="Y56" s="19">
        <v>12.03304</v>
      </c>
      <c r="Z56" s="20">
        <v>12.427368</v>
      </c>
      <c r="AA56" s="20">
        <v>13.146378</v>
      </c>
      <c r="AB56" s="21">
        <v>12.135679</v>
      </c>
      <c r="AC56" s="5">
        <f t="shared" si="96"/>
        <v>-2.1804020000000008</v>
      </c>
      <c r="AD56" s="5">
        <f t="shared" si="97"/>
        <v>-0.5220014500000012</v>
      </c>
      <c r="AE56" s="5">
        <f t="shared" si="98"/>
        <v>-3.3222533000000016</v>
      </c>
      <c r="AF56" s="22">
        <f t="shared" si="99"/>
        <v>-0.22624420000000001</v>
      </c>
      <c r="AG56" s="5"/>
      <c r="AH56" s="5"/>
      <c r="AI56" s="19">
        <v>6.9156016999999999</v>
      </c>
      <c r="AJ56" s="20">
        <v>6.9761557999999999</v>
      </c>
      <c r="AK56" s="20">
        <v>7.13157</v>
      </c>
      <c r="AL56" s="21">
        <v>7.1151540000000004</v>
      </c>
      <c r="AM56" s="5">
        <f t="shared" si="100"/>
        <v>0.27419951999999981</v>
      </c>
      <c r="AN56" s="5">
        <f t="shared" si="101"/>
        <v>-0.24681462000000121</v>
      </c>
      <c r="AO56" s="5">
        <f t="shared" si="102"/>
        <v>0.2744902800000002</v>
      </c>
      <c r="AP56" s="22">
        <f t="shared" si="103"/>
        <v>-0.36385139999999971</v>
      </c>
      <c r="AR56" s="5"/>
      <c r="AS56" s="19">
        <v>18.709271999999999</v>
      </c>
      <c r="AT56" s="20">
        <v>18.015854000000001</v>
      </c>
      <c r="AU56" s="20">
        <v>18.743824</v>
      </c>
      <c r="AV56" s="21">
        <v>18.239176</v>
      </c>
      <c r="AW56" s="5">
        <f t="shared" si="104"/>
        <v>0.27242469999999486</v>
      </c>
      <c r="AX56" s="5">
        <f t="shared" si="105"/>
        <v>-0.12142060000000043</v>
      </c>
      <c r="AY56" s="5">
        <f t="shared" si="106"/>
        <v>0.3567295000000037</v>
      </c>
      <c r="AZ56" s="22">
        <f t="shared" si="107"/>
        <v>-9.3144799999997474E-2</v>
      </c>
      <c r="BB56" s="5"/>
      <c r="BC56" s="19">
        <v>2.9094234000000001</v>
      </c>
      <c r="BD56" s="20">
        <v>2.9649706</v>
      </c>
      <c r="BE56" s="20">
        <v>2.9600029999999999</v>
      </c>
      <c r="BF56" s="21">
        <v>2.9361297999999998</v>
      </c>
      <c r="BG56" s="5">
        <f t="shared" si="108"/>
        <v>-0.36390784999999948</v>
      </c>
      <c r="BH56" s="5">
        <f t="shared" si="109"/>
        <v>-0.10558000999999972</v>
      </c>
      <c r="BI56" s="5">
        <f t="shared" si="110"/>
        <v>-0.66933419000000027</v>
      </c>
      <c r="BJ56" s="22">
        <f t="shared" si="111"/>
        <v>-0.14452396000000034</v>
      </c>
      <c r="BL56" s="5"/>
      <c r="BM56" s="19">
        <v>1.894739</v>
      </c>
      <c r="BN56" s="20">
        <v>4.8520627000000003</v>
      </c>
      <c r="BO56" s="20">
        <v>2.8364758000000001</v>
      </c>
      <c r="BP56" s="21">
        <v>2.0612423</v>
      </c>
      <c r="BQ56" s="5">
        <f t="shared" si="112"/>
        <v>-3.7752601299999999</v>
      </c>
      <c r="BR56" s="5">
        <f t="shared" si="113"/>
        <v>-4.3872859999999569E-2</v>
      </c>
      <c r="BS56" s="5">
        <f t="shared" si="114"/>
        <v>-5.693497859999999</v>
      </c>
      <c r="BT56" s="22">
        <f t="shared" si="115"/>
        <v>-1.0176164099999996</v>
      </c>
      <c r="BV56" s="5"/>
      <c r="BW56" s="19">
        <v>5.6573224</v>
      </c>
      <c r="BX56" s="20">
        <v>4.6749479999999997</v>
      </c>
      <c r="BY56" s="20">
        <v>5.1679909999999998</v>
      </c>
      <c r="BZ56" s="21">
        <v>4.8820589999999999</v>
      </c>
      <c r="CA56" s="5">
        <f t="shared" si="116"/>
        <v>-0.11871490999999956</v>
      </c>
      <c r="CB56" s="5">
        <f t="shared" si="117"/>
        <v>5.9084930000000035E-2</v>
      </c>
      <c r="CC56" s="5">
        <f t="shared" si="118"/>
        <v>0.15863351999999953</v>
      </c>
      <c r="CD56" s="22">
        <f t="shared" si="119"/>
        <v>0.12199985999999985</v>
      </c>
    </row>
    <row r="57" spans="1:82" x14ac:dyDescent="0.25">
      <c r="A57" s="38"/>
      <c r="B57" s="5">
        <v>5</v>
      </c>
      <c r="C57" s="18">
        <v>25</v>
      </c>
      <c r="E57" s="19">
        <v>87.279910000000001</v>
      </c>
      <c r="F57" s="20">
        <v>88.537093999999996</v>
      </c>
      <c r="G57" s="20">
        <v>88.364234999999994</v>
      </c>
      <c r="H57" s="21">
        <v>88.933080000000004</v>
      </c>
      <c r="I57" s="5">
        <f t="shared" si="88"/>
        <v>-0.50906799999999919</v>
      </c>
      <c r="J57" s="5">
        <f t="shared" si="89"/>
        <v>-1.8237999999968224E-3</v>
      </c>
      <c r="K57" s="5">
        <f t="shared" si="90"/>
        <v>3.3980299999981867E-2</v>
      </c>
      <c r="L57" s="22">
        <f t="shared" si="91"/>
        <v>0.30465660000000128</v>
      </c>
      <c r="M57" s="5"/>
      <c r="N57" s="5"/>
      <c r="O57" s="19">
        <v>55.341037999999998</v>
      </c>
      <c r="P57" s="20">
        <v>54.867325000000001</v>
      </c>
      <c r="Q57" s="20">
        <v>54.907960000000003</v>
      </c>
      <c r="R57" s="21">
        <v>56.795684999999999</v>
      </c>
      <c r="S57" s="5">
        <f t="shared" si="92"/>
        <v>0.39731849999999014</v>
      </c>
      <c r="T57" s="5">
        <f t="shared" si="93"/>
        <v>0.11763319999999311</v>
      </c>
      <c r="U57" s="5">
        <f t="shared" si="94"/>
        <v>0.20142829999999634</v>
      </c>
      <c r="V57" s="22">
        <f t="shared" si="95"/>
        <v>1.2204796000000044</v>
      </c>
      <c r="W57" s="5"/>
      <c r="X57" s="5"/>
      <c r="Y57" s="19">
        <v>17.019169999999999</v>
      </c>
      <c r="Z57" s="20">
        <v>13.947729000000001</v>
      </c>
      <c r="AA57" s="20">
        <v>22.435462999999999</v>
      </c>
      <c r="AB57" s="21">
        <v>12.247488000000001</v>
      </c>
      <c r="AC57" s="5">
        <f t="shared" si="96"/>
        <v>2.8057279999999984</v>
      </c>
      <c r="AD57" s="5">
        <f t="shared" si="97"/>
        <v>0.99835954999999998</v>
      </c>
      <c r="AE57" s="5">
        <f t="shared" si="98"/>
        <v>5.9668316999999966</v>
      </c>
      <c r="AF57" s="22">
        <f t="shared" si="99"/>
        <v>-0.11443519999999907</v>
      </c>
      <c r="AG57" s="5"/>
      <c r="AH57" s="5"/>
      <c r="AI57" s="19">
        <v>6.5564647000000003</v>
      </c>
      <c r="AJ57" s="20">
        <v>7.5013322999999996</v>
      </c>
      <c r="AK57" s="20">
        <v>6.7007804000000002</v>
      </c>
      <c r="AL57" s="21">
        <v>7.7793739999999998</v>
      </c>
      <c r="AM57" s="5">
        <f t="shared" si="100"/>
        <v>-8.4937479999999788E-2</v>
      </c>
      <c r="AN57" s="5">
        <f t="shared" si="101"/>
        <v>0.27836187999999851</v>
      </c>
      <c r="AO57" s="5">
        <f t="shared" si="102"/>
        <v>-0.15629931999999958</v>
      </c>
      <c r="AP57" s="22">
        <f t="shared" si="103"/>
        <v>0.30036859999999965</v>
      </c>
      <c r="AR57" s="5"/>
      <c r="AS57" s="19">
        <v>18.596191000000001</v>
      </c>
      <c r="AT57" s="20">
        <v>18.112183000000002</v>
      </c>
      <c r="AU57" s="20">
        <v>18.134177999999999</v>
      </c>
      <c r="AV57" s="21">
        <v>18.136776000000001</v>
      </c>
      <c r="AW57" s="5">
        <f t="shared" si="104"/>
        <v>0.15934369999999731</v>
      </c>
      <c r="AX57" s="5">
        <f t="shared" si="105"/>
        <v>-2.5091599999999659E-2</v>
      </c>
      <c r="AY57" s="5">
        <f t="shared" si="106"/>
        <v>-0.25291649999999777</v>
      </c>
      <c r="AZ57" s="22">
        <f t="shared" si="107"/>
        <v>-0.19554479999999685</v>
      </c>
      <c r="BB57" s="5"/>
      <c r="BC57" s="19">
        <v>4.2871265000000003</v>
      </c>
      <c r="BD57" s="20">
        <v>3.1575875</v>
      </c>
      <c r="BE57" s="20">
        <v>4.7017699999999998</v>
      </c>
      <c r="BF57" s="21">
        <v>3.1649227</v>
      </c>
      <c r="BG57" s="5">
        <f t="shared" si="108"/>
        <v>1.0137952500000007</v>
      </c>
      <c r="BH57" s="5">
        <f t="shared" si="109"/>
        <v>8.7036890000000255E-2</v>
      </c>
      <c r="BI57" s="5">
        <f t="shared" si="110"/>
        <v>1.0724328099999996</v>
      </c>
      <c r="BJ57" s="22">
        <f t="shared" si="111"/>
        <v>8.4268939999999848E-2</v>
      </c>
      <c r="BL57" s="5"/>
      <c r="BM57" s="19">
        <v>11.377772999999999</v>
      </c>
      <c r="BN57" s="20">
        <v>5.7557315999999998</v>
      </c>
      <c r="BO57" s="20">
        <v>17.566134999999999</v>
      </c>
      <c r="BP57" s="21">
        <v>5.5270789999999996</v>
      </c>
      <c r="BQ57" s="5">
        <f t="shared" si="112"/>
        <v>5.7077738699999996</v>
      </c>
      <c r="BR57" s="5">
        <f t="shared" si="113"/>
        <v>0.85979603999999998</v>
      </c>
      <c r="BS57" s="5">
        <f t="shared" si="114"/>
        <v>9.0361613399999996</v>
      </c>
      <c r="BT57" s="22">
        <f t="shared" si="115"/>
        <v>2.4482202900000001</v>
      </c>
      <c r="BV57" s="5"/>
      <c r="BW57" s="19">
        <v>5.6295219999999997</v>
      </c>
      <c r="BX57" s="20">
        <v>4.5153283999999996</v>
      </c>
      <c r="BY57" s="20">
        <v>4.9558206</v>
      </c>
      <c r="BZ57" s="21">
        <v>4.6592416999999999</v>
      </c>
      <c r="CA57" s="5">
        <f t="shared" si="116"/>
        <v>-0.14651530999999984</v>
      </c>
      <c r="CB57" s="5">
        <f t="shared" si="117"/>
        <v>-0.10053467000000005</v>
      </c>
      <c r="CC57" s="5">
        <f t="shared" si="118"/>
        <v>-5.3536880000000231E-2</v>
      </c>
      <c r="CD57" s="22">
        <f t="shared" si="119"/>
        <v>-0.10081744000000015</v>
      </c>
    </row>
    <row r="58" spans="1:82" x14ac:dyDescent="0.25">
      <c r="A58" s="38"/>
      <c r="B58" s="5">
        <v>6</v>
      </c>
      <c r="C58" s="18">
        <v>30</v>
      </c>
      <c r="E58" s="19">
        <v>88.132289999999998</v>
      </c>
      <c r="F58" s="20">
        <v>88.688919999999996</v>
      </c>
      <c r="G58" s="20">
        <v>88.650986000000003</v>
      </c>
      <c r="H58" s="21">
        <v>88.540215000000003</v>
      </c>
      <c r="I58" s="5">
        <f t="shared" si="88"/>
        <v>0.3433119999999974</v>
      </c>
      <c r="J58" s="5">
        <f t="shared" si="89"/>
        <v>0.15000220000000297</v>
      </c>
      <c r="K58" s="5">
        <f t="shared" si="90"/>
        <v>0.32073129999999139</v>
      </c>
      <c r="L58" s="22">
        <f t="shared" si="91"/>
        <v>-8.8208399999999187E-2</v>
      </c>
      <c r="M58" s="5"/>
      <c r="N58" s="5"/>
      <c r="O58" s="19">
        <v>54.334679999999999</v>
      </c>
      <c r="P58" s="20">
        <v>52.927030000000002</v>
      </c>
      <c r="Q58" s="20">
        <v>54.254635</v>
      </c>
      <c r="R58" s="21">
        <v>54.302948000000001</v>
      </c>
      <c r="S58" s="5">
        <f t="shared" si="92"/>
        <v>-0.60903950000000862</v>
      </c>
      <c r="T58" s="5">
        <f t="shared" si="93"/>
        <v>-1.8226618000000059</v>
      </c>
      <c r="U58" s="5">
        <f t="shared" si="94"/>
        <v>-0.45189670000000604</v>
      </c>
      <c r="V58" s="22">
        <f t="shared" si="95"/>
        <v>-1.2722573999999938</v>
      </c>
      <c r="W58" s="5"/>
      <c r="X58" s="5"/>
      <c r="Y58" s="19">
        <v>12.195074</v>
      </c>
      <c r="Z58" s="20">
        <v>12.650383</v>
      </c>
      <c r="AA58" s="20">
        <v>12.911343</v>
      </c>
      <c r="AB58" s="21">
        <v>12.083755</v>
      </c>
      <c r="AC58" s="5">
        <f t="shared" si="96"/>
        <v>-2.0183680000000006</v>
      </c>
      <c r="AD58" s="5">
        <f t="shared" si="97"/>
        <v>-0.29898645000000101</v>
      </c>
      <c r="AE58" s="5">
        <f t="shared" si="98"/>
        <v>-3.5572883000000015</v>
      </c>
      <c r="AF58" s="22">
        <f t="shared" si="99"/>
        <v>-0.27816819999999964</v>
      </c>
      <c r="AG58" s="5"/>
      <c r="AH58" s="5"/>
      <c r="AI58" s="19">
        <v>6.6373395999999998</v>
      </c>
      <c r="AJ58" s="20">
        <v>6.9882264000000003</v>
      </c>
      <c r="AK58" s="20">
        <v>6.3815403000000002</v>
      </c>
      <c r="AL58" s="21">
        <v>7.1435876</v>
      </c>
      <c r="AM58" s="5">
        <f t="shared" si="100"/>
        <v>-4.0625800000002599E-3</v>
      </c>
      <c r="AN58" s="5">
        <f t="shared" si="101"/>
        <v>-0.23474402000000083</v>
      </c>
      <c r="AO58" s="5">
        <f t="shared" si="102"/>
        <v>-0.4755394199999996</v>
      </c>
      <c r="AP58" s="22">
        <f t="shared" si="103"/>
        <v>-0.3354178000000001</v>
      </c>
      <c r="AR58" s="5"/>
      <c r="AS58" s="19">
        <v>18.596035000000001</v>
      </c>
      <c r="AT58" s="20">
        <v>18.103434</v>
      </c>
      <c r="AU58" s="20">
        <v>18.779926</v>
      </c>
      <c r="AV58" s="21">
        <v>18.317139999999998</v>
      </c>
      <c r="AW58" s="5">
        <f t="shared" si="104"/>
        <v>0.15918769999999682</v>
      </c>
      <c r="AX58" s="5">
        <f t="shared" si="105"/>
        <v>-3.3840600000001331E-2</v>
      </c>
      <c r="AY58" s="5">
        <f t="shared" si="106"/>
        <v>0.39283150000000333</v>
      </c>
      <c r="AZ58" s="22">
        <f t="shared" si="107"/>
        <v>-1.518079999999955E-2</v>
      </c>
      <c r="BB58" s="5"/>
      <c r="BC58" s="19">
        <v>2.9184424999999998</v>
      </c>
      <c r="BD58" s="20">
        <v>3.0444334</v>
      </c>
      <c r="BE58" s="20">
        <v>3.0591946000000001</v>
      </c>
      <c r="BF58" s="21">
        <v>2.9858712999999999</v>
      </c>
      <c r="BG58" s="5">
        <f t="shared" si="108"/>
        <v>-0.35488874999999975</v>
      </c>
      <c r="BH58" s="5">
        <f t="shared" si="109"/>
        <v>-2.611720999999978E-2</v>
      </c>
      <c r="BI58" s="5">
        <f t="shared" si="110"/>
        <v>-0.57014259000000012</v>
      </c>
      <c r="BJ58" s="22">
        <f t="shared" si="111"/>
        <v>-9.4782460000000235E-2</v>
      </c>
      <c r="BL58" s="5"/>
      <c r="BM58" s="19">
        <v>2.4072467999999998</v>
      </c>
      <c r="BN58" s="20">
        <v>5.0307912999999997</v>
      </c>
      <c r="BO58" s="20">
        <v>3.0759704000000001</v>
      </c>
      <c r="BP58" s="21">
        <v>2.2365723000000002</v>
      </c>
      <c r="BQ58" s="5">
        <f t="shared" si="112"/>
        <v>-3.2627523300000001</v>
      </c>
      <c r="BR58" s="5">
        <f t="shared" si="113"/>
        <v>0.13485573999999989</v>
      </c>
      <c r="BS58" s="5">
        <f t="shared" si="114"/>
        <v>-5.4540032599999995</v>
      </c>
      <c r="BT58" s="22">
        <f t="shared" si="115"/>
        <v>-0.84228640999999937</v>
      </c>
      <c r="BV58" s="5"/>
      <c r="BW58" s="19">
        <v>5.6713294999999997</v>
      </c>
      <c r="BX58" s="20">
        <v>4.5144285999999996</v>
      </c>
      <c r="BY58" s="20">
        <v>5.1002673999999999</v>
      </c>
      <c r="BZ58" s="21">
        <v>4.6854110000000002</v>
      </c>
      <c r="CA58" s="5">
        <f t="shared" si="116"/>
        <v>-0.10470780999999985</v>
      </c>
      <c r="CB58" s="5">
        <f t="shared" si="117"/>
        <v>-0.10143447000000005</v>
      </c>
      <c r="CC58" s="5">
        <f t="shared" si="118"/>
        <v>9.0909919999999644E-2</v>
      </c>
      <c r="CD58" s="22">
        <f t="shared" si="119"/>
        <v>-7.4648139999999863E-2</v>
      </c>
    </row>
    <row r="59" spans="1:82" x14ac:dyDescent="0.25">
      <c r="A59" s="38"/>
      <c r="B59" s="5">
        <v>7</v>
      </c>
      <c r="C59" s="18">
        <v>35</v>
      </c>
      <c r="E59" s="19">
        <v>87.51943</v>
      </c>
      <c r="F59" s="20">
        <v>88.489720000000005</v>
      </c>
      <c r="G59" s="20">
        <v>88.434740000000005</v>
      </c>
      <c r="H59" s="21">
        <v>88.962770000000006</v>
      </c>
      <c r="I59" s="5">
        <f t="shared" si="88"/>
        <v>-0.26954800000000034</v>
      </c>
      <c r="J59" s="5">
        <f t="shared" si="89"/>
        <v>-4.9197799999987524E-2</v>
      </c>
      <c r="K59" s="5">
        <f t="shared" si="90"/>
        <v>0.10448529999999323</v>
      </c>
      <c r="L59" s="22">
        <f t="shared" si="91"/>
        <v>0.33434660000000349</v>
      </c>
      <c r="M59" s="5"/>
      <c r="N59" s="5"/>
      <c r="O59" s="19">
        <v>56.481667000000002</v>
      </c>
      <c r="P59" s="20">
        <v>53.876601999999998</v>
      </c>
      <c r="Q59" s="20">
        <v>55.878860000000003</v>
      </c>
      <c r="R59" s="21">
        <v>55.378906000000001</v>
      </c>
      <c r="S59" s="5">
        <f t="shared" si="92"/>
        <v>1.5379474999999942</v>
      </c>
      <c r="T59" s="5">
        <f t="shared" si="93"/>
        <v>-0.87308980000000957</v>
      </c>
      <c r="U59" s="5">
        <f t="shared" si="94"/>
        <v>1.1723282999999967</v>
      </c>
      <c r="V59" s="22">
        <f t="shared" si="95"/>
        <v>-0.1962993999999938</v>
      </c>
      <c r="W59" s="5"/>
      <c r="X59" s="5"/>
      <c r="Y59" s="19">
        <v>16.688220999999999</v>
      </c>
      <c r="Z59" s="20">
        <v>13.322566999999999</v>
      </c>
      <c r="AA59" s="20">
        <v>22.089205</v>
      </c>
      <c r="AB59" s="21">
        <v>12.687962000000001</v>
      </c>
      <c r="AC59" s="5">
        <f t="shared" si="96"/>
        <v>2.4747789999999981</v>
      </c>
      <c r="AD59" s="5">
        <f t="shared" si="97"/>
        <v>0.37319754999999866</v>
      </c>
      <c r="AE59" s="5">
        <f t="shared" si="98"/>
        <v>5.6205736999999978</v>
      </c>
      <c r="AF59" s="22">
        <f t="shared" si="99"/>
        <v>0.32603880000000096</v>
      </c>
      <c r="AG59" s="5"/>
      <c r="AH59" s="5"/>
      <c r="AI59" s="19">
        <v>6.6475267000000002</v>
      </c>
      <c r="AJ59" s="20">
        <v>7.6960990000000002</v>
      </c>
      <c r="AK59" s="20">
        <v>6.6849866000000002</v>
      </c>
      <c r="AL59" s="21">
        <v>7.7053102999999998</v>
      </c>
      <c r="AM59" s="5">
        <f t="shared" si="100"/>
        <v>6.1245200000001887E-3</v>
      </c>
      <c r="AN59" s="5">
        <f t="shared" si="101"/>
        <v>0.47312857999999913</v>
      </c>
      <c r="AO59" s="5">
        <f t="shared" si="102"/>
        <v>-0.17209311999999954</v>
      </c>
      <c r="AP59" s="22">
        <f t="shared" si="103"/>
        <v>0.2263048999999997</v>
      </c>
      <c r="AR59" s="5"/>
      <c r="AS59" s="19">
        <v>18.184635</v>
      </c>
      <c r="AT59" s="20">
        <v>18.122606000000001</v>
      </c>
      <c r="AU59" s="20">
        <v>17.811789000000001</v>
      </c>
      <c r="AV59" s="21">
        <v>18.39996</v>
      </c>
      <c r="AW59" s="5">
        <f t="shared" si="104"/>
        <v>-0.25221230000000361</v>
      </c>
      <c r="AX59" s="5">
        <f t="shared" si="105"/>
        <v>-1.4668600000000254E-2</v>
      </c>
      <c r="AY59" s="5">
        <f t="shared" si="106"/>
        <v>-0.57530549999999536</v>
      </c>
      <c r="AZ59" s="22">
        <f t="shared" si="107"/>
        <v>6.763920000000212E-2</v>
      </c>
      <c r="BB59" s="5"/>
      <c r="BC59" s="19">
        <v>3.3062223999999998</v>
      </c>
      <c r="BD59" s="20">
        <v>3.1684320000000001</v>
      </c>
      <c r="BE59" s="20">
        <v>4.6547847000000004</v>
      </c>
      <c r="BF59" s="21">
        <v>3.16398</v>
      </c>
      <c r="BG59" s="5">
        <f t="shared" si="108"/>
        <v>3.2891150000000202E-2</v>
      </c>
      <c r="BH59" s="5">
        <f t="shared" si="109"/>
        <v>9.7881390000000401E-2</v>
      </c>
      <c r="BI59" s="5">
        <f t="shared" si="110"/>
        <v>1.0254475100000002</v>
      </c>
      <c r="BJ59" s="22">
        <f t="shared" si="111"/>
        <v>8.3326239999999885E-2</v>
      </c>
      <c r="BL59" s="5"/>
      <c r="BM59" s="19">
        <v>9.8075100000000006</v>
      </c>
      <c r="BN59" s="20">
        <v>8.7611559999999997</v>
      </c>
      <c r="BO59" s="20">
        <v>13.014015000000001</v>
      </c>
      <c r="BP59" s="21">
        <v>2.1168999999999998</v>
      </c>
      <c r="BQ59" s="5">
        <f t="shared" si="112"/>
        <v>4.1375108700000007</v>
      </c>
      <c r="BR59" s="5">
        <f t="shared" si="113"/>
        <v>3.8652204399999999</v>
      </c>
      <c r="BS59" s="5">
        <f t="shared" si="114"/>
        <v>4.484041340000001</v>
      </c>
      <c r="BT59" s="22">
        <f t="shared" si="115"/>
        <v>-0.96195870999999977</v>
      </c>
      <c r="BV59" s="5"/>
      <c r="BW59" s="19">
        <v>5.8583403000000001</v>
      </c>
      <c r="BX59" s="20">
        <v>4.599151</v>
      </c>
      <c r="BY59" s="20">
        <v>4.9208527000000002</v>
      </c>
      <c r="BZ59" s="21">
        <v>4.6871559999999999</v>
      </c>
      <c r="CA59" s="5">
        <f t="shared" si="116"/>
        <v>8.230299000000052E-2</v>
      </c>
      <c r="CB59" s="5">
        <f t="shared" si="117"/>
        <v>-1.6712069999999635E-2</v>
      </c>
      <c r="CC59" s="5">
        <f t="shared" si="118"/>
        <v>-8.8504780000000061E-2</v>
      </c>
      <c r="CD59" s="22">
        <f t="shared" si="119"/>
        <v>-7.2903140000000199E-2</v>
      </c>
    </row>
    <row r="60" spans="1:82" x14ac:dyDescent="0.25">
      <c r="A60" s="38"/>
      <c r="B60" s="5">
        <v>8</v>
      </c>
      <c r="C60" s="18">
        <v>40</v>
      </c>
      <c r="E60" s="19">
        <v>87.823660000000004</v>
      </c>
      <c r="F60" s="20">
        <v>88.545135000000002</v>
      </c>
      <c r="G60" s="20">
        <v>87.958629999999999</v>
      </c>
      <c r="H60" s="21">
        <v>88.208939999999998</v>
      </c>
      <c r="I60" s="5">
        <f t="shared" si="88"/>
        <v>3.4682000000003654E-2</v>
      </c>
      <c r="J60" s="5">
        <f t="shared" si="89"/>
        <v>6.2172000000089156E-3</v>
      </c>
      <c r="K60" s="5">
        <f t="shared" si="90"/>
        <v>-0.37162470000001235</v>
      </c>
      <c r="L60" s="22">
        <f t="shared" si="91"/>
        <v>-0.41948340000000428</v>
      </c>
      <c r="M60" s="5"/>
      <c r="N60" s="5"/>
      <c r="O60" s="19">
        <v>54.426884000000001</v>
      </c>
      <c r="P60" s="20">
        <v>55.016308000000002</v>
      </c>
      <c r="Q60" s="20">
        <v>54.02946</v>
      </c>
      <c r="R60" s="21">
        <v>54.944670000000002</v>
      </c>
      <c r="S60" s="5">
        <f t="shared" si="92"/>
        <v>-0.51683550000000622</v>
      </c>
      <c r="T60" s="5">
        <f t="shared" si="93"/>
        <v>0.26661619999999431</v>
      </c>
      <c r="U60" s="5">
        <f t="shared" si="94"/>
        <v>-0.67707170000000616</v>
      </c>
      <c r="V60" s="22">
        <f t="shared" si="95"/>
        <v>-0.63053539999999231</v>
      </c>
      <c r="W60" s="5"/>
      <c r="X60" s="5"/>
      <c r="Y60" s="19">
        <v>11.751369</v>
      </c>
      <c r="Z60" s="20">
        <v>12.611822</v>
      </c>
      <c r="AA60" s="20">
        <v>12.873746000000001</v>
      </c>
      <c r="AB60" s="21">
        <v>12.144034</v>
      </c>
      <c r="AC60" s="5">
        <f t="shared" si="96"/>
        <v>-2.4620730000000002</v>
      </c>
      <c r="AD60" s="5">
        <f t="shared" si="97"/>
        <v>-0.33754745000000064</v>
      </c>
      <c r="AE60" s="5">
        <f t="shared" si="98"/>
        <v>-3.5948853000000014</v>
      </c>
      <c r="AF60" s="22">
        <f t="shared" si="99"/>
        <v>-0.21788920000000012</v>
      </c>
      <c r="AG60" s="5"/>
      <c r="AH60" s="5"/>
      <c r="AI60" s="19">
        <v>6.9078298</v>
      </c>
      <c r="AJ60" s="20">
        <v>7.0277357</v>
      </c>
      <c r="AK60" s="20">
        <v>7.0717549999999996</v>
      </c>
      <c r="AL60" s="21">
        <v>7.1866500000000002</v>
      </c>
      <c r="AM60" s="5">
        <f t="shared" si="100"/>
        <v>0.26642761999999998</v>
      </c>
      <c r="AN60" s="5">
        <f t="shared" si="101"/>
        <v>-0.19523472000000108</v>
      </c>
      <c r="AO60" s="5">
        <f t="shared" si="102"/>
        <v>0.2146752799999998</v>
      </c>
      <c r="AP60" s="22">
        <f t="shared" si="103"/>
        <v>-0.29235539999999993</v>
      </c>
      <c r="AR60" s="5"/>
      <c r="AS60" s="19">
        <v>18.570616000000001</v>
      </c>
      <c r="AT60" s="20">
        <v>18.041481000000001</v>
      </c>
      <c r="AU60" s="20">
        <v>18.616302000000001</v>
      </c>
      <c r="AV60" s="21">
        <v>18.33493</v>
      </c>
      <c r="AW60" s="5">
        <f t="shared" si="104"/>
        <v>0.13376869999999741</v>
      </c>
      <c r="AX60" s="5">
        <f t="shared" si="105"/>
        <v>-9.5793600000000367E-2</v>
      </c>
      <c r="AY60" s="5">
        <f t="shared" si="106"/>
        <v>0.22920750000000467</v>
      </c>
      <c r="AZ60" s="22">
        <f t="shared" si="107"/>
        <v>2.6092000000019766E-3</v>
      </c>
      <c r="BB60" s="5"/>
      <c r="BC60" s="19">
        <v>2.9185226000000002</v>
      </c>
      <c r="BD60" s="20">
        <v>2.9649706</v>
      </c>
      <c r="BE60" s="20">
        <v>2.9804040000000001</v>
      </c>
      <c r="BF60" s="21">
        <v>2.9649706</v>
      </c>
      <c r="BG60" s="5">
        <f t="shared" si="108"/>
        <v>-0.35480864999999939</v>
      </c>
      <c r="BH60" s="5">
        <f t="shared" si="109"/>
        <v>-0.10558000999999972</v>
      </c>
      <c r="BI60" s="5">
        <f t="shared" si="110"/>
        <v>-0.64893319000000016</v>
      </c>
      <c r="BJ60" s="22">
        <f t="shared" si="111"/>
        <v>-0.11568316000000012</v>
      </c>
      <c r="BL60" s="5"/>
      <c r="BM60" s="19">
        <v>1.5773432999999999</v>
      </c>
      <c r="BN60" s="20">
        <v>5.0625640000000001</v>
      </c>
      <c r="BO60" s="20">
        <v>2.5830378999999999</v>
      </c>
      <c r="BP60" s="21">
        <v>2.0405392999999998</v>
      </c>
      <c r="BQ60" s="5">
        <f t="shared" si="112"/>
        <v>-4.09265583</v>
      </c>
      <c r="BR60" s="5">
        <f t="shared" si="113"/>
        <v>0.16662844000000021</v>
      </c>
      <c r="BS60" s="5">
        <f t="shared" si="114"/>
        <v>-5.9469357599999997</v>
      </c>
      <c r="BT60" s="22">
        <f t="shared" si="115"/>
        <v>-1.0383194099999997</v>
      </c>
      <c r="BV60" s="5"/>
      <c r="BW60" s="19">
        <v>5.6800885000000001</v>
      </c>
      <c r="BX60" s="20">
        <v>4.7273740000000002</v>
      </c>
      <c r="BY60" s="20">
        <v>4.9798173999999999</v>
      </c>
      <c r="BZ60" s="21">
        <v>4.8917136000000001</v>
      </c>
      <c r="CA60" s="5">
        <f t="shared" si="116"/>
        <v>-9.594880999999944E-2</v>
      </c>
      <c r="CB60" s="5">
        <f t="shared" si="117"/>
        <v>0.11151093000000056</v>
      </c>
      <c r="CC60" s="5">
        <f t="shared" si="118"/>
        <v>-2.9540080000000302E-2</v>
      </c>
      <c r="CD60" s="22">
        <f t="shared" si="119"/>
        <v>0.13165446000000003</v>
      </c>
    </row>
    <row r="61" spans="1:82" x14ac:dyDescent="0.25">
      <c r="A61" s="38"/>
      <c r="B61" s="5">
        <v>9</v>
      </c>
      <c r="C61" s="18">
        <v>45</v>
      </c>
      <c r="E61" s="19">
        <v>87.761989999999997</v>
      </c>
      <c r="F61" s="20">
        <v>88.616550000000004</v>
      </c>
      <c r="G61" s="20">
        <v>88.444916000000006</v>
      </c>
      <c r="H61" s="21">
        <v>89.049869999999999</v>
      </c>
      <c r="I61" s="5">
        <f t="shared" si="88"/>
        <v>-2.6988000000002899E-2</v>
      </c>
      <c r="J61" s="5">
        <f t="shared" si="89"/>
        <v>7.7632200000010698E-2</v>
      </c>
      <c r="K61" s="5">
        <f t="shared" si="90"/>
        <v>0.11466129999999453</v>
      </c>
      <c r="L61" s="22">
        <f t="shared" si="91"/>
        <v>0.4214465999999959</v>
      </c>
      <c r="M61" s="5"/>
      <c r="N61" s="5"/>
      <c r="O61" s="19">
        <v>55.245536999999999</v>
      </c>
      <c r="P61" s="20">
        <v>54.843989999999998</v>
      </c>
      <c r="Q61" s="20">
        <v>52.647522000000002</v>
      </c>
      <c r="R61" s="21">
        <v>55.186109999999999</v>
      </c>
      <c r="S61" s="5">
        <f t="shared" si="92"/>
        <v>0.30181749999999141</v>
      </c>
      <c r="T61" s="5">
        <f t="shared" si="93"/>
        <v>9.4298199999990118E-2</v>
      </c>
      <c r="U61" s="5">
        <f t="shared" si="94"/>
        <v>-2.0590097000000043</v>
      </c>
      <c r="V61" s="22">
        <f t="shared" si="95"/>
        <v>-0.3890953999999951</v>
      </c>
      <c r="W61" s="5"/>
      <c r="X61" s="5"/>
      <c r="Y61" s="19">
        <v>15.447862000000001</v>
      </c>
      <c r="Z61" s="20">
        <v>14.148367</v>
      </c>
      <c r="AA61" s="20">
        <v>17.967112</v>
      </c>
      <c r="AB61" s="21">
        <v>13.457691000000001</v>
      </c>
      <c r="AC61" s="5">
        <f t="shared" si="96"/>
        <v>1.2344200000000001</v>
      </c>
      <c r="AD61" s="5">
        <f t="shared" si="97"/>
        <v>1.1989975499999996</v>
      </c>
      <c r="AE61" s="5">
        <f t="shared" si="98"/>
        <v>1.4984806999999982</v>
      </c>
      <c r="AF61" s="22">
        <f t="shared" si="99"/>
        <v>1.0957678000000008</v>
      </c>
      <c r="AG61" s="5"/>
      <c r="AH61" s="5"/>
      <c r="AI61" s="19">
        <v>6.4455049999999998</v>
      </c>
      <c r="AJ61" s="20">
        <v>7.5224656999999997</v>
      </c>
      <c r="AK61" s="20">
        <v>6.8877424999999999</v>
      </c>
      <c r="AL61" s="21">
        <v>7.9537839999999997</v>
      </c>
      <c r="AM61" s="5">
        <f t="shared" si="100"/>
        <v>-0.19589718000000023</v>
      </c>
      <c r="AN61" s="5">
        <f t="shared" si="101"/>
        <v>0.29949527999999859</v>
      </c>
      <c r="AO61" s="5">
        <f t="shared" si="102"/>
        <v>3.0662780000000112E-2</v>
      </c>
      <c r="AP61" s="22">
        <f t="shared" si="103"/>
        <v>0.47477859999999961</v>
      </c>
      <c r="AR61" s="5"/>
      <c r="AS61" s="19">
        <v>18.721418</v>
      </c>
      <c r="AT61" s="20">
        <v>18.079049999999999</v>
      </c>
      <c r="AU61" s="20">
        <v>18.190002</v>
      </c>
      <c r="AV61" s="21">
        <v>18.10455</v>
      </c>
      <c r="AW61" s="5">
        <f t="shared" si="104"/>
        <v>0.28457069999999618</v>
      </c>
      <c r="AX61" s="5">
        <f t="shared" si="105"/>
        <v>-5.8224600000002624E-2</v>
      </c>
      <c r="AY61" s="5">
        <f t="shared" si="106"/>
        <v>-0.19709249999999656</v>
      </c>
      <c r="AZ61" s="22">
        <f t="shared" si="107"/>
        <v>-0.22777079999999827</v>
      </c>
      <c r="BB61" s="5"/>
      <c r="BC61" s="19">
        <v>4.3320990000000004</v>
      </c>
      <c r="BD61" s="20">
        <v>3.1575875</v>
      </c>
      <c r="BE61" s="20">
        <v>4.6687810000000001</v>
      </c>
      <c r="BF61" s="21">
        <v>3.1575875</v>
      </c>
      <c r="BG61" s="5">
        <f t="shared" si="108"/>
        <v>1.0587677500000008</v>
      </c>
      <c r="BH61" s="5">
        <f t="shared" si="109"/>
        <v>8.7036890000000255E-2</v>
      </c>
      <c r="BI61" s="5">
        <f t="shared" si="110"/>
        <v>1.0394438099999999</v>
      </c>
      <c r="BJ61" s="22">
        <f t="shared" si="111"/>
        <v>7.6933739999999862E-2</v>
      </c>
      <c r="BL61" s="5"/>
      <c r="BM61" s="19">
        <v>10.874438</v>
      </c>
      <c r="BN61" s="20">
        <v>5.8044890000000002</v>
      </c>
      <c r="BO61" s="20">
        <v>17.122852000000002</v>
      </c>
      <c r="BP61" s="21">
        <v>5.6886004999999997</v>
      </c>
      <c r="BQ61" s="5">
        <f t="shared" si="112"/>
        <v>5.2044388699999997</v>
      </c>
      <c r="BR61" s="5">
        <f t="shared" si="113"/>
        <v>0.90855344000000038</v>
      </c>
      <c r="BS61" s="5">
        <f t="shared" si="114"/>
        <v>8.5928783400000022</v>
      </c>
      <c r="BT61" s="22">
        <f t="shared" si="115"/>
        <v>2.6097417900000002</v>
      </c>
      <c r="BV61" s="5"/>
      <c r="BW61" s="19">
        <v>5.5676949999999996</v>
      </c>
      <c r="BX61" s="20">
        <v>4.4797745000000004</v>
      </c>
      <c r="BY61" s="20">
        <v>4.8673659999999996</v>
      </c>
      <c r="BZ61" s="21">
        <v>4.5018506</v>
      </c>
      <c r="CA61" s="5">
        <f t="shared" si="116"/>
        <v>-0.20834230999999992</v>
      </c>
      <c r="CB61" s="5">
        <f t="shared" si="117"/>
        <v>-0.13608856999999919</v>
      </c>
      <c r="CC61" s="5">
        <f t="shared" si="118"/>
        <v>-0.14199148000000061</v>
      </c>
      <c r="CD61" s="22">
        <f t="shared" si="119"/>
        <v>-0.25820854000000004</v>
      </c>
    </row>
    <row r="62" spans="1:82" x14ac:dyDescent="0.25">
      <c r="A62" s="39"/>
      <c r="B62" s="23">
        <v>10</v>
      </c>
      <c r="C62" s="24">
        <v>50</v>
      </c>
      <c r="E62" s="25">
        <v>88.165539999999993</v>
      </c>
      <c r="F62" s="26">
        <v>88.492099999999994</v>
      </c>
      <c r="G62" s="26">
        <v>88.288129999999995</v>
      </c>
      <c r="H62" s="27">
        <v>88.111540000000005</v>
      </c>
      <c r="I62" s="23">
        <f t="shared" si="88"/>
        <v>0.37656199999999274</v>
      </c>
      <c r="J62" s="23">
        <f t="shared" si="89"/>
        <v>-4.6817799999999465E-2</v>
      </c>
      <c r="K62" s="23">
        <f t="shared" si="90"/>
        <v>-4.2124700000016446E-2</v>
      </c>
      <c r="L62" s="28">
        <f t="shared" si="91"/>
        <v>-0.51688339999999755</v>
      </c>
      <c r="M62" s="5"/>
      <c r="N62" s="5"/>
      <c r="O62" s="25">
        <v>54.608913000000001</v>
      </c>
      <c r="P62" s="26">
        <v>56.782845000000002</v>
      </c>
      <c r="Q62" s="26">
        <v>54.174570000000003</v>
      </c>
      <c r="R62" s="27">
        <v>56.149143000000002</v>
      </c>
      <c r="S62" s="23">
        <f t="shared" si="92"/>
        <v>-0.33480650000000622</v>
      </c>
      <c r="T62" s="23">
        <f t="shared" si="93"/>
        <v>2.0331531999999939</v>
      </c>
      <c r="U62" s="23">
        <f t="shared" si="94"/>
        <v>-0.53196170000000365</v>
      </c>
      <c r="V62" s="28">
        <f t="shared" si="95"/>
        <v>0.57393760000000782</v>
      </c>
      <c r="W62" s="5"/>
      <c r="X62" s="5"/>
      <c r="Y62" s="25">
        <v>11.693453</v>
      </c>
      <c r="Z62" s="26">
        <v>12.322698000000001</v>
      </c>
      <c r="AA62" s="26">
        <v>12.067214</v>
      </c>
      <c r="AB62" s="27">
        <v>11.815972</v>
      </c>
      <c r="AC62" s="23">
        <f t="shared" si="96"/>
        <v>-2.5199890000000007</v>
      </c>
      <c r="AD62" s="23">
        <f t="shared" si="97"/>
        <v>-0.62667144999999991</v>
      </c>
      <c r="AE62" s="23">
        <f t="shared" si="98"/>
        <v>-4.4014173000000021</v>
      </c>
      <c r="AF62" s="28">
        <f t="shared" si="99"/>
        <v>-0.5459511999999993</v>
      </c>
      <c r="AG62" s="5"/>
      <c r="AH62" s="5"/>
      <c r="AI62" s="25">
        <v>6.9753017000000002</v>
      </c>
      <c r="AJ62" s="26">
        <v>6.9416019999999996</v>
      </c>
      <c r="AK62" s="26">
        <v>6.9640303000000001</v>
      </c>
      <c r="AL62" s="27">
        <v>7.1758685</v>
      </c>
      <c r="AM62" s="23">
        <f t="shared" si="100"/>
        <v>0.33389952000000012</v>
      </c>
      <c r="AN62" s="23">
        <f t="shared" si="101"/>
        <v>-0.28136842000000151</v>
      </c>
      <c r="AO62" s="23">
        <f t="shared" si="102"/>
        <v>0.10695058000000035</v>
      </c>
      <c r="AP62" s="28">
        <f t="shared" si="103"/>
        <v>-0.30313690000000015</v>
      </c>
      <c r="AR62" s="5"/>
      <c r="AS62" s="25">
        <v>18.089141999999999</v>
      </c>
      <c r="AT62" s="26">
        <v>18.239930999999999</v>
      </c>
      <c r="AU62" s="26">
        <v>18.795292</v>
      </c>
      <c r="AV62" s="27">
        <v>18.229752999999999</v>
      </c>
      <c r="AW62" s="23">
        <f t="shared" si="104"/>
        <v>-0.34770530000000477</v>
      </c>
      <c r="AX62" s="23">
        <f t="shared" si="105"/>
        <v>0.10265639999999721</v>
      </c>
      <c r="AY62" s="23">
        <f t="shared" si="106"/>
        <v>0.40819750000000354</v>
      </c>
      <c r="AZ62" s="28">
        <f t="shared" si="107"/>
        <v>-0.10256779999999921</v>
      </c>
      <c r="BB62" s="5"/>
      <c r="BC62" s="25">
        <v>2.9146687999999998</v>
      </c>
      <c r="BD62" s="26">
        <v>2.9434650000000002</v>
      </c>
      <c r="BE62" s="26">
        <v>2.9474619999999998</v>
      </c>
      <c r="BF62" s="27">
        <v>2.9565480000000002</v>
      </c>
      <c r="BG62" s="23">
        <f t="shared" si="108"/>
        <v>-0.35866244999999974</v>
      </c>
      <c r="BH62" s="23">
        <f t="shared" si="109"/>
        <v>-0.12708560999999952</v>
      </c>
      <c r="BI62" s="23">
        <f t="shared" si="110"/>
        <v>-0.68187519000000041</v>
      </c>
      <c r="BJ62" s="28">
        <f t="shared" si="111"/>
        <v>-0.12410575999999995</v>
      </c>
      <c r="BL62" s="5"/>
      <c r="BM62" s="25">
        <v>1.7627531000000001</v>
      </c>
      <c r="BN62" s="26">
        <v>2.0079560000000001</v>
      </c>
      <c r="BO62" s="26">
        <v>2.2091908</v>
      </c>
      <c r="BP62" s="27">
        <v>1.6013062</v>
      </c>
      <c r="BQ62" s="23">
        <f t="shared" si="112"/>
        <v>-3.9072460299999996</v>
      </c>
      <c r="BR62" s="23">
        <f t="shared" si="113"/>
        <v>-2.8879795599999998</v>
      </c>
      <c r="BS62" s="23">
        <f t="shared" si="114"/>
        <v>-6.3207828599999996</v>
      </c>
      <c r="BT62" s="28">
        <f t="shared" si="115"/>
        <v>-1.4775525099999995</v>
      </c>
      <c r="BV62" s="5"/>
      <c r="BW62" s="25">
        <v>5.8607464</v>
      </c>
      <c r="BX62" s="26">
        <v>4.7157330000000002</v>
      </c>
      <c r="BY62" s="26">
        <v>5.2896970000000003</v>
      </c>
      <c r="BZ62" s="27">
        <v>4.8296900000000003</v>
      </c>
      <c r="CA62" s="23">
        <f t="shared" si="116"/>
        <v>8.4709090000000486E-2</v>
      </c>
      <c r="CB62" s="23">
        <f t="shared" si="117"/>
        <v>9.9869930000000551E-2</v>
      </c>
      <c r="CC62" s="23">
        <f t="shared" si="118"/>
        <v>0.28033952000000006</v>
      </c>
      <c r="CD62" s="28">
        <f t="shared" si="119"/>
        <v>6.9630860000000183E-2</v>
      </c>
    </row>
  </sheetData>
  <mergeCells count="32">
    <mergeCell ref="CA11:CD11"/>
    <mergeCell ref="AI11:AL11"/>
    <mergeCell ref="A33:A42"/>
    <mergeCell ref="BC1:BJ1"/>
    <mergeCell ref="E11:H11"/>
    <mergeCell ref="AS11:AV11"/>
    <mergeCell ref="A11:A12"/>
    <mergeCell ref="BW1:CD1"/>
    <mergeCell ref="BG11:BJ11"/>
    <mergeCell ref="BW11:BZ11"/>
    <mergeCell ref="AM11:AP11"/>
    <mergeCell ref="A23:A32"/>
    <mergeCell ref="S11:V11"/>
    <mergeCell ref="Y11:AB11"/>
    <mergeCell ref="BM1:BT1"/>
    <mergeCell ref="AW11:AZ11"/>
    <mergeCell ref="C11:C12"/>
    <mergeCell ref="Y1:AF1"/>
    <mergeCell ref="I11:L11"/>
    <mergeCell ref="BC11:BF11"/>
    <mergeCell ref="BM11:BP11"/>
    <mergeCell ref="AI1:AP1"/>
    <mergeCell ref="AS1:AZ1"/>
    <mergeCell ref="AC11:AF11"/>
    <mergeCell ref="E1:L1"/>
    <mergeCell ref="O1:V1"/>
    <mergeCell ref="BQ11:BT11"/>
    <mergeCell ref="A53:A62"/>
    <mergeCell ref="A43:A52"/>
    <mergeCell ref="O11:R11"/>
    <mergeCell ref="B11:B12"/>
    <mergeCell ref="A13:A22"/>
  </mergeCells>
  <conditionalFormatting sqref="E8:H8 Y8:AB8 AI8:AL8 AS8:AV8 BC8:BF8 BM8:BP8 BW8:BZ8">
    <cfRule type="cellIs" dxfId="1" priority="2" operator="greaterThan">
      <formula>$C$9</formula>
    </cfRule>
  </conditionalFormatting>
  <conditionalFormatting sqref="O8:R8">
    <cfRule type="cellIs" dxfId="0" priority="1" operator="greaterThan">
      <formula>$C$9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Temperature Variation</vt:lpstr>
      <vt:lpstr>Repeatability1</vt:lpstr>
      <vt:lpstr>Repeatability2b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Cacciatore</dc:creator>
  <cp:lastModifiedBy>Alessandro Cacciatore</cp:lastModifiedBy>
  <dcterms:created xsi:type="dcterms:W3CDTF">2015-06-05T18:19:34Z</dcterms:created>
  <dcterms:modified xsi:type="dcterms:W3CDTF">2026-05-08T08:12:31Z</dcterms:modified>
</cp:coreProperties>
</file>