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ss\Desktop\ricerca\federati\deep-nir\src\deep_nir\VRAI2\outputs\xgb_robustness__\08_CornGrain\"/>
    </mc:Choice>
  </mc:AlternateContent>
  <xr:revisionPtr revIDLastSave="0" documentId="13_ncr:1_{4F21269C-8598-4AF2-826E-FA1018E863D3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Temperature Variation" sheetId="1" r:id="rId1"/>
    <sheet name="Repeatability1" sheetId="2" r:id="rId2"/>
    <sheet name="Repeatability2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1" i="1" l="1"/>
  <c r="AF21" i="1"/>
  <c r="AE21" i="1"/>
  <c r="AD21" i="1"/>
  <c r="AG20" i="1"/>
  <c r="AF20" i="1"/>
  <c r="AF35" i="1" s="1"/>
  <c r="AE20" i="1"/>
  <c r="AE35" i="1" s="1"/>
  <c r="AD20" i="1"/>
  <c r="AG19" i="1"/>
  <c r="AF19" i="1"/>
  <c r="AE19" i="1"/>
  <c r="AD19" i="1"/>
  <c r="AG18" i="1"/>
  <c r="AF18" i="1"/>
  <c r="AE18" i="1"/>
  <c r="AD18" i="1"/>
  <c r="AG17" i="1"/>
  <c r="AF17" i="1"/>
  <c r="AE17" i="1"/>
  <c r="AD17" i="1"/>
  <c r="AG16" i="1"/>
  <c r="AF16" i="1"/>
  <c r="AE16" i="1"/>
  <c r="AD16" i="1"/>
  <c r="AG15" i="1"/>
  <c r="AF15" i="1"/>
  <c r="AE15" i="1"/>
  <c r="AD15" i="1"/>
  <c r="AG14" i="1"/>
  <c r="AF14" i="1"/>
  <c r="AE14" i="1"/>
  <c r="AD14" i="1"/>
  <c r="AG13" i="1"/>
  <c r="AF13" i="1"/>
  <c r="AE13" i="1"/>
  <c r="AD13" i="1"/>
  <c r="AG12" i="1"/>
  <c r="AF12" i="1"/>
  <c r="AE12" i="1"/>
  <c r="AD12" i="1"/>
  <c r="AG11" i="1"/>
  <c r="AF11" i="1"/>
  <c r="AE11" i="1"/>
  <c r="AD11" i="1"/>
  <c r="AG10" i="1"/>
  <c r="AF10" i="1"/>
  <c r="AE10" i="1"/>
  <c r="AD10" i="1"/>
  <c r="AG9" i="1"/>
  <c r="AG31" i="1" s="1"/>
  <c r="AF9" i="1"/>
  <c r="AE9" i="1"/>
  <c r="AD9" i="1"/>
  <c r="AG8" i="1"/>
  <c r="AF8" i="1"/>
  <c r="AE8" i="1"/>
  <c r="AD8" i="1"/>
  <c r="BZ21" i="1"/>
  <c r="BY21" i="1"/>
  <c r="BX21" i="1"/>
  <c r="BW21" i="1"/>
  <c r="BZ20" i="1"/>
  <c r="BY20" i="1"/>
  <c r="BX20" i="1"/>
  <c r="BW20" i="1"/>
  <c r="BZ19" i="1"/>
  <c r="BY19" i="1"/>
  <c r="BX19" i="1"/>
  <c r="BW19" i="1"/>
  <c r="BZ18" i="1"/>
  <c r="BZ33" i="1" s="1"/>
  <c r="BY18" i="1"/>
  <c r="BX18" i="1"/>
  <c r="BX33" i="1" s="1"/>
  <c r="BW18" i="1"/>
  <c r="BZ17" i="1"/>
  <c r="BY17" i="1"/>
  <c r="BX17" i="1"/>
  <c r="BW17" i="1"/>
  <c r="BZ16" i="1"/>
  <c r="BY16" i="1"/>
  <c r="BY31" i="1" s="1"/>
  <c r="BX16" i="1"/>
  <c r="BW16" i="1"/>
  <c r="BZ15" i="1"/>
  <c r="BY15" i="1"/>
  <c r="BX15" i="1"/>
  <c r="BW15" i="1"/>
  <c r="BZ14" i="1"/>
  <c r="BZ36" i="1" s="1"/>
  <c r="BY14" i="1"/>
  <c r="BY36" i="1" s="1"/>
  <c r="BX14" i="1"/>
  <c r="BX36" i="1" s="1"/>
  <c r="BW14" i="1"/>
  <c r="BW36" i="1" s="1"/>
  <c r="BZ13" i="1"/>
  <c r="BY13" i="1"/>
  <c r="BX13" i="1"/>
  <c r="BW13" i="1"/>
  <c r="BZ12" i="1"/>
  <c r="BY12" i="1"/>
  <c r="BX12" i="1"/>
  <c r="BW12" i="1"/>
  <c r="BW34" i="1" s="1"/>
  <c r="BZ11" i="1"/>
  <c r="BY11" i="1"/>
  <c r="BY33" i="1" s="1"/>
  <c r="BX11" i="1"/>
  <c r="BW11" i="1"/>
  <c r="BW33" i="1" s="1"/>
  <c r="BZ10" i="1"/>
  <c r="BZ32" i="1" s="1"/>
  <c r="BV3" i="1" s="1"/>
  <c r="BY10" i="1"/>
  <c r="BX10" i="1"/>
  <c r="BX32" i="1" s="1"/>
  <c r="BW10" i="1"/>
  <c r="BW32" i="1" s="1"/>
  <c r="BZ9" i="1"/>
  <c r="BY9" i="1"/>
  <c r="BX9" i="1"/>
  <c r="BX31" i="1" s="1"/>
  <c r="BW9" i="1"/>
  <c r="BW31" i="1" s="1"/>
  <c r="BZ8" i="1"/>
  <c r="BY8" i="1"/>
  <c r="BX8" i="1"/>
  <c r="BW8" i="1"/>
  <c r="BW30" i="1" s="1"/>
  <c r="BQ21" i="1"/>
  <c r="BP21" i="1"/>
  <c r="BO21" i="1"/>
  <c r="BN21" i="1"/>
  <c r="BQ20" i="1"/>
  <c r="BP20" i="1"/>
  <c r="BO20" i="1"/>
  <c r="BN20" i="1"/>
  <c r="BN35" i="1" s="1"/>
  <c r="BQ19" i="1"/>
  <c r="BQ34" i="1" s="1"/>
  <c r="BP19" i="1"/>
  <c r="BP34" i="1" s="1"/>
  <c r="BO19" i="1"/>
  <c r="BO34" i="1" s="1"/>
  <c r="BN19" i="1"/>
  <c r="BQ18" i="1"/>
  <c r="BP18" i="1"/>
  <c r="BO18" i="1"/>
  <c r="BN18" i="1"/>
  <c r="BQ17" i="1"/>
  <c r="BP17" i="1"/>
  <c r="BO17" i="1"/>
  <c r="BN17" i="1"/>
  <c r="BQ16" i="1"/>
  <c r="BP16" i="1"/>
  <c r="BO16" i="1"/>
  <c r="BN16" i="1"/>
  <c r="BN31" i="1" s="1"/>
  <c r="BQ15" i="1"/>
  <c r="BQ30" i="1" s="1"/>
  <c r="BP15" i="1"/>
  <c r="BP30" i="1" s="1"/>
  <c r="BO15" i="1"/>
  <c r="BN15" i="1"/>
  <c r="BQ14" i="1"/>
  <c r="BQ36" i="1" s="1"/>
  <c r="BP14" i="1"/>
  <c r="BP36" i="1" s="1"/>
  <c r="BO14" i="1"/>
  <c r="BO36" i="1" s="1"/>
  <c r="BN14" i="1"/>
  <c r="BN36" i="1" s="1"/>
  <c r="BQ13" i="1"/>
  <c r="BP13" i="1"/>
  <c r="BO13" i="1"/>
  <c r="BN13" i="1"/>
  <c r="BQ12" i="1"/>
  <c r="BP12" i="1"/>
  <c r="BO12" i="1"/>
  <c r="BN12" i="1"/>
  <c r="BN34" i="1" s="1"/>
  <c r="BQ11" i="1"/>
  <c r="BP11" i="1"/>
  <c r="BP33" i="1" s="1"/>
  <c r="BO11" i="1"/>
  <c r="BN11" i="1"/>
  <c r="BN33" i="1" s="1"/>
  <c r="BQ10" i="1"/>
  <c r="BQ32" i="1" s="1"/>
  <c r="BP10" i="1"/>
  <c r="BP32" i="1" s="1"/>
  <c r="BO10" i="1"/>
  <c r="BN10" i="1"/>
  <c r="BQ9" i="1"/>
  <c r="BQ31" i="1" s="1"/>
  <c r="BP9" i="1"/>
  <c r="BO9" i="1"/>
  <c r="BN9" i="1"/>
  <c r="BQ8" i="1"/>
  <c r="BP8" i="1"/>
  <c r="BO8" i="1"/>
  <c r="BN8" i="1"/>
  <c r="BH21" i="1"/>
  <c r="BG21" i="1"/>
  <c r="BF21" i="1"/>
  <c r="BE21" i="1"/>
  <c r="BH20" i="1"/>
  <c r="BG20" i="1"/>
  <c r="BF20" i="1"/>
  <c r="BE20" i="1"/>
  <c r="BE35" i="1" s="1"/>
  <c r="BH19" i="1"/>
  <c r="BH34" i="1" s="1"/>
  <c r="BG19" i="1"/>
  <c r="BG34" i="1" s="1"/>
  <c r="BF19" i="1"/>
  <c r="BF34" i="1" s="1"/>
  <c r="BE19" i="1"/>
  <c r="BH18" i="1"/>
  <c r="BG18" i="1"/>
  <c r="BF18" i="1"/>
  <c r="BE18" i="1"/>
  <c r="BH17" i="1"/>
  <c r="BG17" i="1"/>
  <c r="BF17" i="1"/>
  <c r="BE17" i="1"/>
  <c r="BH16" i="1"/>
  <c r="BG16" i="1"/>
  <c r="BF16" i="1"/>
  <c r="BE16" i="1"/>
  <c r="BH15" i="1"/>
  <c r="BH30" i="1" s="1"/>
  <c r="BG15" i="1"/>
  <c r="BF15" i="1"/>
  <c r="BE15" i="1"/>
  <c r="BH14" i="1"/>
  <c r="BH36" i="1" s="1"/>
  <c r="BG14" i="1"/>
  <c r="BG36" i="1" s="1"/>
  <c r="BF14" i="1"/>
  <c r="BF36" i="1" s="1"/>
  <c r="BE14" i="1"/>
  <c r="BE36" i="1" s="1"/>
  <c r="BH13" i="1"/>
  <c r="BG13" i="1"/>
  <c r="BF13" i="1"/>
  <c r="BF35" i="1" s="1"/>
  <c r="BE13" i="1"/>
  <c r="BH12" i="1"/>
  <c r="BG12" i="1"/>
  <c r="BF12" i="1"/>
  <c r="BE12" i="1"/>
  <c r="BH11" i="1"/>
  <c r="BH33" i="1" s="1"/>
  <c r="BG11" i="1"/>
  <c r="BG33" i="1" s="1"/>
  <c r="BF11" i="1"/>
  <c r="BF33" i="1" s="1"/>
  <c r="BE11" i="1"/>
  <c r="BH10" i="1"/>
  <c r="BH32" i="1" s="1"/>
  <c r="BG10" i="1"/>
  <c r="BG32" i="1" s="1"/>
  <c r="BF10" i="1"/>
  <c r="BF32" i="1" s="1"/>
  <c r="BE10" i="1"/>
  <c r="BE32" i="1" s="1"/>
  <c r="BH9" i="1"/>
  <c r="BG9" i="1"/>
  <c r="BG31" i="1" s="1"/>
  <c r="BF9" i="1"/>
  <c r="BF31" i="1" s="1"/>
  <c r="BE9" i="1"/>
  <c r="BH8" i="1"/>
  <c r="BG8" i="1"/>
  <c r="BF8" i="1"/>
  <c r="BE8" i="1"/>
  <c r="BE30" i="1" s="1"/>
  <c r="AY21" i="1"/>
  <c r="AX21" i="1"/>
  <c r="AW21" i="1"/>
  <c r="AV21" i="1"/>
  <c r="AY20" i="1"/>
  <c r="AY35" i="1" s="1"/>
  <c r="AX20" i="1"/>
  <c r="AX35" i="1" s="1"/>
  <c r="AW20" i="1"/>
  <c r="AV20" i="1"/>
  <c r="AY19" i="1"/>
  <c r="AX19" i="1"/>
  <c r="AW19" i="1"/>
  <c r="AV19" i="1"/>
  <c r="AY18" i="1"/>
  <c r="AX18" i="1"/>
  <c r="AW18" i="1"/>
  <c r="AW33" i="1" s="1"/>
  <c r="AV18" i="1"/>
  <c r="AY17" i="1"/>
  <c r="AX17" i="1"/>
  <c r="AW17" i="1"/>
  <c r="AV17" i="1"/>
  <c r="AY16" i="1"/>
  <c r="AX16" i="1"/>
  <c r="AW16" i="1"/>
  <c r="AW31" i="1" s="1"/>
  <c r="AV16" i="1"/>
  <c r="AY15" i="1"/>
  <c r="AX15" i="1"/>
  <c r="AW15" i="1"/>
  <c r="AV15" i="1"/>
  <c r="AY14" i="1"/>
  <c r="AY36" i="1" s="1"/>
  <c r="AX14" i="1"/>
  <c r="AX36" i="1" s="1"/>
  <c r="AW14" i="1"/>
  <c r="AW36" i="1" s="1"/>
  <c r="AV14" i="1"/>
  <c r="AV36" i="1" s="1"/>
  <c r="AY13" i="1"/>
  <c r="AX13" i="1"/>
  <c r="AW13" i="1"/>
  <c r="AV13" i="1"/>
  <c r="AY12" i="1"/>
  <c r="AX12" i="1"/>
  <c r="AW12" i="1"/>
  <c r="AW34" i="1" s="1"/>
  <c r="AV12" i="1"/>
  <c r="AY11" i="1"/>
  <c r="AY33" i="1" s="1"/>
  <c r="AX11" i="1"/>
  <c r="AX33" i="1" s="1"/>
  <c r="AW11" i="1"/>
  <c r="AV11" i="1"/>
  <c r="AV33" i="1" s="1"/>
  <c r="AY10" i="1"/>
  <c r="AY32" i="1" s="1"/>
  <c r="AX10" i="1"/>
  <c r="AX32" i="1" s="1"/>
  <c r="AW10" i="1"/>
  <c r="AW32" i="1" s="1"/>
  <c r="AV10" i="1"/>
  <c r="AV32" i="1" s="1"/>
  <c r="AY9" i="1"/>
  <c r="AX9" i="1"/>
  <c r="AW9" i="1"/>
  <c r="AV9" i="1"/>
  <c r="AY8" i="1"/>
  <c r="AX8" i="1"/>
  <c r="AW8" i="1"/>
  <c r="AW30" i="1" s="1"/>
  <c r="AV8" i="1"/>
  <c r="AP21" i="1"/>
  <c r="AO21" i="1"/>
  <c r="AN21" i="1"/>
  <c r="AN36" i="1" s="1"/>
  <c r="AM21" i="1"/>
  <c r="AM36" i="1" s="1"/>
  <c r="AP20" i="1"/>
  <c r="AP35" i="1" s="1"/>
  <c r="AO20" i="1"/>
  <c r="AO35" i="1" s="1"/>
  <c r="AN20" i="1"/>
  <c r="AM20" i="1"/>
  <c r="AP19" i="1"/>
  <c r="AO19" i="1"/>
  <c r="AN19" i="1"/>
  <c r="AM19" i="1"/>
  <c r="AM34" i="1" s="1"/>
  <c r="AP18" i="1"/>
  <c r="AP33" i="1" s="1"/>
  <c r="AO18" i="1"/>
  <c r="AO33" i="1" s="1"/>
  <c r="AN18" i="1"/>
  <c r="AM18" i="1"/>
  <c r="AP17" i="1"/>
  <c r="AO17" i="1"/>
  <c r="AN17" i="1"/>
  <c r="AM17" i="1"/>
  <c r="AP16" i="1"/>
  <c r="AO16" i="1"/>
  <c r="AN16" i="1"/>
  <c r="AM16" i="1"/>
  <c r="AP15" i="1"/>
  <c r="AO15" i="1"/>
  <c r="AN15" i="1"/>
  <c r="AM15" i="1"/>
  <c r="AM30" i="1" s="1"/>
  <c r="AP14" i="1"/>
  <c r="AO14" i="1"/>
  <c r="AO36" i="1" s="1"/>
  <c r="AN14" i="1"/>
  <c r="AM14" i="1"/>
  <c r="AP13" i="1"/>
  <c r="AO13" i="1"/>
  <c r="AN13" i="1"/>
  <c r="AM13" i="1"/>
  <c r="AP12" i="1"/>
  <c r="AP34" i="1" s="1"/>
  <c r="AO12" i="1"/>
  <c r="AO34" i="1" s="1"/>
  <c r="AN12" i="1"/>
  <c r="AM12" i="1"/>
  <c r="AP11" i="1"/>
  <c r="AO11" i="1"/>
  <c r="AN11" i="1"/>
  <c r="AN33" i="1" s="1"/>
  <c r="AM11" i="1"/>
  <c r="AP10" i="1"/>
  <c r="AP32" i="1" s="1"/>
  <c r="AO10" i="1"/>
  <c r="AO32" i="1" s="1"/>
  <c r="AN10" i="1"/>
  <c r="AM10" i="1"/>
  <c r="AP9" i="1"/>
  <c r="AO9" i="1"/>
  <c r="AN9" i="1"/>
  <c r="AM9" i="1"/>
  <c r="AM31" i="1" s="1"/>
  <c r="AP8" i="1"/>
  <c r="AP30" i="1" s="1"/>
  <c r="AO8" i="1"/>
  <c r="AO30" i="1" s="1"/>
  <c r="AN8" i="1"/>
  <c r="AM8" i="1"/>
  <c r="AG35" i="1"/>
  <c r="X21" i="1"/>
  <c r="W21" i="1"/>
  <c r="V21" i="1"/>
  <c r="U21" i="1"/>
  <c r="X20" i="1"/>
  <c r="W20" i="1"/>
  <c r="V20" i="1"/>
  <c r="U20" i="1"/>
  <c r="X19" i="1"/>
  <c r="W19" i="1"/>
  <c r="V19" i="1"/>
  <c r="U19" i="1"/>
  <c r="U34" i="1" s="1"/>
  <c r="X18" i="1"/>
  <c r="W18" i="1"/>
  <c r="V18" i="1"/>
  <c r="U18" i="1"/>
  <c r="X17" i="1"/>
  <c r="W17" i="1"/>
  <c r="V17" i="1"/>
  <c r="V32" i="1" s="1"/>
  <c r="U17" i="1"/>
  <c r="X16" i="1"/>
  <c r="W16" i="1"/>
  <c r="V16" i="1"/>
  <c r="U16" i="1"/>
  <c r="U31" i="1" s="1"/>
  <c r="X15" i="1"/>
  <c r="W15" i="1"/>
  <c r="V15" i="1"/>
  <c r="U15" i="1"/>
  <c r="X14" i="1"/>
  <c r="W14" i="1"/>
  <c r="V14" i="1"/>
  <c r="U14" i="1"/>
  <c r="U36" i="1" s="1"/>
  <c r="X13" i="1"/>
  <c r="W13" i="1"/>
  <c r="V13" i="1"/>
  <c r="U13" i="1"/>
  <c r="X12" i="1"/>
  <c r="W12" i="1"/>
  <c r="V12" i="1"/>
  <c r="U12" i="1"/>
  <c r="X11" i="1"/>
  <c r="W11" i="1"/>
  <c r="V11" i="1"/>
  <c r="U11" i="1"/>
  <c r="X10" i="1"/>
  <c r="W10" i="1"/>
  <c r="V10" i="1"/>
  <c r="U10" i="1"/>
  <c r="U32" i="1" s="1"/>
  <c r="X9" i="1"/>
  <c r="W9" i="1"/>
  <c r="V9" i="1"/>
  <c r="U9" i="1"/>
  <c r="X8" i="1"/>
  <c r="W8" i="1"/>
  <c r="V8" i="1"/>
  <c r="U8" i="1"/>
  <c r="U30" i="1" s="1"/>
  <c r="L16" i="1"/>
  <c r="M16" i="1"/>
  <c r="N16" i="1"/>
  <c r="O16" i="1"/>
  <c r="O31" i="1" s="1"/>
  <c r="L17" i="1"/>
  <c r="L32" i="1" s="1"/>
  <c r="M17" i="1"/>
  <c r="N17" i="1"/>
  <c r="O17" i="1"/>
  <c r="O32" i="1" s="1"/>
  <c r="L18" i="1"/>
  <c r="M18" i="1"/>
  <c r="N18" i="1"/>
  <c r="N33" i="1" s="1"/>
  <c r="O18" i="1"/>
  <c r="O33" i="1" s="1"/>
  <c r="L19" i="1"/>
  <c r="M19" i="1"/>
  <c r="N19" i="1"/>
  <c r="O19" i="1"/>
  <c r="L20" i="1"/>
  <c r="M20" i="1"/>
  <c r="N20" i="1"/>
  <c r="O20" i="1"/>
  <c r="L21" i="1"/>
  <c r="M21" i="1"/>
  <c r="N21" i="1"/>
  <c r="O21" i="1"/>
  <c r="O36" i="1" s="1"/>
  <c r="M15" i="1"/>
  <c r="N15" i="1"/>
  <c r="O15" i="1"/>
  <c r="L9" i="1"/>
  <c r="M9" i="1"/>
  <c r="N9" i="1"/>
  <c r="O9" i="1"/>
  <c r="L10" i="1"/>
  <c r="M10" i="1"/>
  <c r="N10" i="1"/>
  <c r="O10" i="1"/>
  <c r="L11" i="1"/>
  <c r="M11" i="1"/>
  <c r="M33" i="1" s="1"/>
  <c r="N11" i="1"/>
  <c r="O11" i="1"/>
  <c r="L12" i="1"/>
  <c r="M12" i="1"/>
  <c r="N12" i="1"/>
  <c r="O12" i="1"/>
  <c r="L13" i="1"/>
  <c r="M13" i="1"/>
  <c r="M35" i="1" s="1"/>
  <c r="N13" i="1"/>
  <c r="O13" i="1"/>
  <c r="L14" i="1"/>
  <c r="M14" i="1"/>
  <c r="N14" i="1"/>
  <c r="O14" i="1"/>
  <c r="M8" i="1"/>
  <c r="M30" i="1" s="1"/>
  <c r="N8" i="1"/>
  <c r="O8" i="1"/>
  <c r="L8" i="1"/>
  <c r="N31" i="1"/>
  <c r="M31" i="1"/>
  <c r="L31" i="1"/>
  <c r="L15" i="1"/>
  <c r="N32" i="1"/>
  <c r="CD62" i="2"/>
  <c r="CC62" i="2"/>
  <c r="CB62" i="2"/>
  <c r="CA62" i="2"/>
  <c r="BW7" i="2" s="1"/>
  <c r="BT62" i="2"/>
  <c r="BS62" i="2"/>
  <c r="BR62" i="2"/>
  <c r="BQ62" i="2"/>
  <c r="BJ62" i="2"/>
  <c r="BI62" i="2"/>
  <c r="BH62" i="2"/>
  <c r="BG62" i="2"/>
  <c r="AZ62" i="2"/>
  <c r="AY62" i="2"/>
  <c r="AX62" i="2"/>
  <c r="AW62" i="2"/>
  <c r="AP62" i="2"/>
  <c r="AO62" i="2"/>
  <c r="AN62" i="2"/>
  <c r="AM62" i="2"/>
  <c r="AF62" i="2"/>
  <c r="AE62" i="2"/>
  <c r="AD62" i="2"/>
  <c r="AC62" i="2"/>
  <c r="V62" i="2"/>
  <c r="U62" i="2"/>
  <c r="T62" i="2"/>
  <c r="S62" i="2"/>
  <c r="L62" i="2"/>
  <c r="K62" i="2"/>
  <c r="J62" i="2"/>
  <c r="I62" i="2"/>
  <c r="CD61" i="2"/>
  <c r="CC61" i="2"/>
  <c r="CB61" i="2"/>
  <c r="CA61" i="2"/>
  <c r="BT61" i="2"/>
  <c r="BS61" i="2"/>
  <c r="BR61" i="2"/>
  <c r="BQ61" i="2"/>
  <c r="BJ61" i="2"/>
  <c r="BI61" i="2"/>
  <c r="BH61" i="2"/>
  <c r="BG61" i="2"/>
  <c r="AZ61" i="2"/>
  <c r="AY61" i="2"/>
  <c r="AX61" i="2"/>
  <c r="AW61" i="2"/>
  <c r="AP61" i="2"/>
  <c r="AO61" i="2"/>
  <c r="AN61" i="2"/>
  <c r="AM61" i="2"/>
  <c r="AF61" i="2"/>
  <c r="AE61" i="2"/>
  <c r="AD61" i="2"/>
  <c r="AC61" i="2"/>
  <c r="V61" i="2"/>
  <c r="U61" i="2"/>
  <c r="T61" i="2"/>
  <c r="S61" i="2"/>
  <c r="L61" i="2"/>
  <c r="K61" i="2"/>
  <c r="J61" i="2"/>
  <c r="I61" i="2"/>
  <c r="CD60" i="2"/>
  <c r="CC60" i="2"/>
  <c r="CB60" i="2"/>
  <c r="CA60" i="2"/>
  <c r="BT60" i="2"/>
  <c r="BS60" i="2"/>
  <c r="BR60" i="2"/>
  <c r="BQ60" i="2"/>
  <c r="BJ60" i="2"/>
  <c r="BI60" i="2"/>
  <c r="BH60" i="2"/>
  <c r="BG60" i="2"/>
  <c r="AZ60" i="2"/>
  <c r="AY60" i="2"/>
  <c r="AX60" i="2"/>
  <c r="AW60" i="2"/>
  <c r="AP60" i="2"/>
  <c r="AO60" i="2"/>
  <c r="AN60" i="2"/>
  <c r="AM60" i="2"/>
  <c r="AF60" i="2"/>
  <c r="AE60" i="2"/>
  <c r="AD60" i="2"/>
  <c r="AC60" i="2"/>
  <c r="V60" i="2"/>
  <c r="U60" i="2"/>
  <c r="T60" i="2"/>
  <c r="S60" i="2"/>
  <c r="L60" i="2"/>
  <c r="K60" i="2"/>
  <c r="J60" i="2"/>
  <c r="I60" i="2"/>
  <c r="CD59" i="2"/>
  <c r="CC59" i="2"/>
  <c r="CB59" i="2"/>
  <c r="CA59" i="2"/>
  <c r="BT59" i="2"/>
  <c r="BS59" i="2"/>
  <c r="BR59" i="2"/>
  <c r="BQ59" i="2"/>
  <c r="BJ59" i="2"/>
  <c r="BI59" i="2"/>
  <c r="BH59" i="2"/>
  <c r="BG59" i="2"/>
  <c r="AZ59" i="2"/>
  <c r="AY59" i="2"/>
  <c r="AX59" i="2"/>
  <c r="AW59" i="2"/>
  <c r="AP59" i="2"/>
  <c r="AO59" i="2"/>
  <c r="AN59" i="2"/>
  <c r="AM59" i="2"/>
  <c r="AF59" i="2"/>
  <c r="AE59" i="2"/>
  <c r="AD59" i="2"/>
  <c r="AC59" i="2"/>
  <c r="V59" i="2"/>
  <c r="U59" i="2"/>
  <c r="T59" i="2"/>
  <c r="S59" i="2"/>
  <c r="L59" i="2"/>
  <c r="K59" i="2"/>
  <c r="J59" i="2"/>
  <c r="I59" i="2"/>
  <c r="CD58" i="2"/>
  <c r="CC58" i="2"/>
  <c r="CB58" i="2"/>
  <c r="CA58" i="2"/>
  <c r="BT58" i="2"/>
  <c r="BS58" i="2"/>
  <c r="BR58" i="2"/>
  <c r="BQ58" i="2"/>
  <c r="BJ58" i="2"/>
  <c r="BI58" i="2"/>
  <c r="BH58" i="2"/>
  <c r="BG58" i="2"/>
  <c r="AZ58" i="2"/>
  <c r="AY58" i="2"/>
  <c r="AX58" i="2"/>
  <c r="AW58" i="2"/>
  <c r="AP58" i="2"/>
  <c r="AO58" i="2"/>
  <c r="AN58" i="2"/>
  <c r="AM58" i="2"/>
  <c r="AF58" i="2"/>
  <c r="AE58" i="2"/>
  <c r="AD58" i="2"/>
  <c r="AC58" i="2"/>
  <c r="V58" i="2"/>
  <c r="U58" i="2"/>
  <c r="T58" i="2"/>
  <c r="S58" i="2"/>
  <c r="L58" i="2"/>
  <c r="K58" i="2"/>
  <c r="J58" i="2"/>
  <c r="I58" i="2"/>
  <c r="CD57" i="2"/>
  <c r="CC57" i="2"/>
  <c r="CB57" i="2"/>
  <c r="CA57" i="2"/>
  <c r="BT57" i="2"/>
  <c r="BS57" i="2"/>
  <c r="BR57" i="2"/>
  <c r="BQ57" i="2"/>
  <c r="BJ57" i="2"/>
  <c r="BI57" i="2"/>
  <c r="BH57" i="2"/>
  <c r="BG57" i="2"/>
  <c r="AZ57" i="2"/>
  <c r="AY57" i="2"/>
  <c r="AX57" i="2"/>
  <c r="AW57" i="2"/>
  <c r="AP57" i="2"/>
  <c r="AO57" i="2"/>
  <c r="AN57" i="2"/>
  <c r="AM57" i="2"/>
  <c r="AF57" i="2"/>
  <c r="AE57" i="2"/>
  <c r="AD57" i="2"/>
  <c r="AC57" i="2"/>
  <c r="V57" i="2"/>
  <c r="U57" i="2"/>
  <c r="T57" i="2"/>
  <c r="S57" i="2"/>
  <c r="L57" i="2"/>
  <c r="K57" i="2"/>
  <c r="J57" i="2"/>
  <c r="I57" i="2"/>
  <c r="CD56" i="2"/>
  <c r="CC56" i="2"/>
  <c r="CB56" i="2"/>
  <c r="CA56" i="2"/>
  <c r="BT56" i="2"/>
  <c r="BS56" i="2"/>
  <c r="BR56" i="2"/>
  <c r="BQ56" i="2"/>
  <c r="BJ56" i="2"/>
  <c r="BI56" i="2"/>
  <c r="BH56" i="2"/>
  <c r="BG56" i="2"/>
  <c r="AZ56" i="2"/>
  <c r="AY56" i="2"/>
  <c r="AX56" i="2"/>
  <c r="AW56" i="2"/>
  <c r="AP56" i="2"/>
  <c r="AO56" i="2"/>
  <c r="AN56" i="2"/>
  <c r="AM56" i="2"/>
  <c r="AF56" i="2"/>
  <c r="AE56" i="2"/>
  <c r="AD56" i="2"/>
  <c r="AC56" i="2"/>
  <c r="V56" i="2"/>
  <c r="U56" i="2"/>
  <c r="T56" i="2"/>
  <c r="S56" i="2"/>
  <c r="L56" i="2"/>
  <c r="K56" i="2"/>
  <c r="J56" i="2"/>
  <c r="I56" i="2"/>
  <c r="CD55" i="2"/>
  <c r="CC55" i="2"/>
  <c r="CB55" i="2"/>
  <c r="CA55" i="2"/>
  <c r="BT55" i="2"/>
  <c r="BS55" i="2"/>
  <c r="BR55" i="2"/>
  <c r="BQ55" i="2"/>
  <c r="BJ55" i="2"/>
  <c r="BI55" i="2"/>
  <c r="BH55" i="2"/>
  <c r="BG55" i="2"/>
  <c r="AZ55" i="2"/>
  <c r="AY55" i="2"/>
  <c r="AX55" i="2"/>
  <c r="AW55" i="2"/>
  <c r="AP55" i="2"/>
  <c r="AO55" i="2"/>
  <c r="AN55" i="2"/>
  <c r="AM55" i="2"/>
  <c r="AF55" i="2"/>
  <c r="AE55" i="2"/>
  <c r="AD55" i="2"/>
  <c r="AC55" i="2"/>
  <c r="V55" i="2"/>
  <c r="U55" i="2"/>
  <c r="T55" i="2"/>
  <c r="S55" i="2"/>
  <c r="L55" i="2"/>
  <c r="K55" i="2"/>
  <c r="J55" i="2"/>
  <c r="I55" i="2"/>
  <c r="CD54" i="2"/>
  <c r="CC54" i="2"/>
  <c r="CB54" i="2"/>
  <c r="CA54" i="2"/>
  <c r="BT54" i="2"/>
  <c r="BS54" i="2"/>
  <c r="BR54" i="2"/>
  <c r="BQ54" i="2"/>
  <c r="BJ54" i="2"/>
  <c r="BI54" i="2"/>
  <c r="BH54" i="2"/>
  <c r="BG54" i="2"/>
  <c r="AZ54" i="2"/>
  <c r="AY54" i="2"/>
  <c r="AX54" i="2"/>
  <c r="AW54" i="2"/>
  <c r="AP54" i="2"/>
  <c r="AO54" i="2"/>
  <c r="AN54" i="2"/>
  <c r="AM54" i="2"/>
  <c r="AF54" i="2"/>
  <c r="AE54" i="2"/>
  <c r="AD54" i="2"/>
  <c r="AC54" i="2"/>
  <c r="V54" i="2"/>
  <c r="U54" i="2"/>
  <c r="T54" i="2"/>
  <c r="S54" i="2"/>
  <c r="L54" i="2"/>
  <c r="K54" i="2"/>
  <c r="J54" i="2"/>
  <c r="I54" i="2"/>
  <c r="CD53" i="2"/>
  <c r="CC53" i="2"/>
  <c r="CB53" i="2"/>
  <c r="CA53" i="2"/>
  <c r="BT53" i="2"/>
  <c r="BS53" i="2"/>
  <c r="BR53" i="2"/>
  <c r="BQ53" i="2"/>
  <c r="BJ53" i="2"/>
  <c r="BI53" i="2"/>
  <c r="BH53" i="2"/>
  <c r="BG53" i="2"/>
  <c r="AZ53" i="2"/>
  <c r="AY53" i="2"/>
  <c r="AX53" i="2"/>
  <c r="AW53" i="2"/>
  <c r="AP53" i="2"/>
  <c r="AO53" i="2"/>
  <c r="AN53" i="2"/>
  <c r="AM53" i="2"/>
  <c r="AF53" i="2"/>
  <c r="AE53" i="2"/>
  <c r="AD53" i="2"/>
  <c r="AC53" i="2"/>
  <c r="V53" i="2"/>
  <c r="U53" i="2"/>
  <c r="T53" i="2"/>
  <c r="S53" i="2"/>
  <c r="L53" i="2"/>
  <c r="K53" i="2"/>
  <c r="J53" i="2"/>
  <c r="I53" i="2"/>
  <c r="CD52" i="2"/>
  <c r="CC52" i="2"/>
  <c r="CB52" i="2"/>
  <c r="CA52" i="2"/>
  <c r="BT52" i="2"/>
  <c r="BS52" i="2"/>
  <c r="BR52" i="2"/>
  <c r="BQ52" i="2"/>
  <c r="BJ52" i="2"/>
  <c r="BI52" i="2"/>
  <c r="BH52" i="2"/>
  <c r="BG52" i="2"/>
  <c r="AZ52" i="2"/>
  <c r="AY52" i="2"/>
  <c r="AX52" i="2"/>
  <c r="AW52" i="2"/>
  <c r="AP52" i="2"/>
  <c r="AO52" i="2"/>
  <c r="AN52" i="2"/>
  <c r="AM52" i="2"/>
  <c r="AF52" i="2"/>
  <c r="AE52" i="2"/>
  <c r="AD52" i="2"/>
  <c r="AC52" i="2"/>
  <c r="V52" i="2"/>
  <c r="U52" i="2"/>
  <c r="T52" i="2"/>
  <c r="S52" i="2"/>
  <c r="L52" i="2"/>
  <c r="K52" i="2"/>
  <c r="J52" i="2"/>
  <c r="I52" i="2"/>
  <c r="CD51" i="2"/>
  <c r="CC51" i="2"/>
  <c r="CB51" i="2"/>
  <c r="CA51" i="2"/>
  <c r="BT51" i="2"/>
  <c r="BS51" i="2"/>
  <c r="BR51" i="2"/>
  <c r="BQ51" i="2"/>
  <c r="BJ51" i="2"/>
  <c r="BI51" i="2"/>
  <c r="BH51" i="2"/>
  <c r="BG51" i="2"/>
  <c r="AZ51" i="2"/>
  <c r="AY51" i="2"/>
  <c r="AX51" i="2"/>
  <c r="AW51" i="2"/>
  <c r="AP51" i="2"/>
  <c r="AO51" i="2"/>
  <c r="AN51" i="2"/>
  <c r="AM51" i="2"/>
  <c r="AF51" i="2"/>
  <c r="AE51" i="2"/>
  <c r="AD51" i="2"/>
  <c r="AC51" i="2"/>
  <c r="V51" i="2"/>
  <c r="U51" i="2"/>
  <c r="T51" i="2"/>
  <c r="S51" i="2"/>
  <c r="L51" i="2"/>
  <c r="K51" i="2"/>
  <c r="J51" i="2"/>
  <c r="I51" i="2"/>
  <c r="CD50" i="2"/>
  <c r="CC50" i="2"/>
  <c r="CB50" i="2"/>
  <c r="CA50" i="2"/>
  <c r="BT50" i="2"/>
  <c r="BS50" i="2"/>
  <c r="BR50" i="2"/>
  <c r="BQ50" i="2"/>
  <c r="BJ50" i="2"/>
  <c r="BI50" i="2"/>
  <c r="BH50" i="2"/>
  <c r="BG50" i="2"/>
  <c r="AZ50" i="2"/>
  <c r="AY50" i="2"/>
  <c r="AX50" i="2"/>
  <c r="AW50" i="2"/>
  <c r="AP50" i="2"/>
  <c r="AO50" i="2"/>
  <c r="AN50" i="2"/>
  <c r="AM50" i="2"/>
  <c r="AF50" i="2"/>
  <c r="AE50" i="2"/>
  <c r="AD50" i="2"/>
  <c r="AC50" i="2"/>
  <c r="V50" i="2"/>
  <c r="U50" i="2"/>
  <c r="T50" i="2"/>
  <c r="S50" i="2"/>
  <c r="L50" i="2"/>
  <c r="K50" i="2"/>
  <c r="J50" i="2"/>
  <c r="I50" i="2"/>
  <c r="CD49" i="2"/>
  <c r="CC49" i="2"/>
  <c r="CB49" i="2"/>
  <c r="CA49" i="2"/>
  <c r="BT49" i="2"/>
  <c r="BS49" i="2"/>
  <c r="BR49" i="2"/>
  <c r="BQ49" i="2"/>
  <c r="BJ49" i="2"/>
  <c r="BI49" i="2"/>
  <c r="BH49" i="2"/>
  <c r="BG49" i="2"/>
  <c r="AZ49" i="2"/>
  <c r="AY49" i="2"/>
  <c r="AX49" i="2"/>
  <c r="AW49" i="2"/>
  <c r="AP49" i="2"/>
  <c r="AO49" i="2"/>
  <c r="AN49" i="2"/>
  <c r="AM49" i="2"/>
  <c r="AF49" i="2"/>
  <c r="AE49" i="2"/>
  <c r="AD49" i="2"/>
  <c r="AC49" i="2"/>
  <c r="V49" i="2"/>
  <c r="U49" i="2"/>
  <c r="T49" i="2"/>
  <c r="S49" i="2"/>
  <c r="L49" i="2"/>
  <c r="K49" i="2"/>
  <c r="J49" i="2"/>
  <c r="I49" i="2"/>
  <c r="CC48" i="2"/>
  <c r="CB48" i="2"/>
  <c r="CA48" i="2"/>
  <c r="BS48" i="2"/>
  <c r="BR48" i="2"/>
  <c r="BQ48" i="2"/>
  <c r="BI48" i="2"/>
  <c r="BH48" i="2"/>
  <c r="BG48" i="2"/>
  <c r="AY48" i="2"/>
  <c r="AX48" i="2"/>
  <c r="AW48" i="2"/>
  <c r="AO48" i="2"/>
  <c r="AN48" i="2"/>
  <c r="AM48" i="2"/>
  <c r="AE48" i="2"/>
  <c r="AD48" i="2"/>
  <c r="AC48" i="2"/>
  <c r="U48" i="2"/>
  <c r="T48" i="2"/>
  <c r="S48" i="2"/>
  <c r="K48" i="2"/>
  <c r="J48" i="2"/>
  <c r="I48" i="2"/>
  <c r="CC47" i="2"/>
  <c r="CB47" i="2"/>
  <c r="CA47" i="2"/>
  <c r="BS47" i="2"/>
  <c r="BR47" i="2"/>
  <c r="BQ47" i="2"/>
  <c r="BI47" i="2"/>
  <c r="BH47" i="2"/>
  <c r="BG47" i="2"/>
  <c r="AY47" i="2"/>
  <c r="AX47" i="2"/>
  <c r="AW47" i="2"/>
  <c r="AO47" i="2"/>
  <c r="AN47" i="2"/>
  <c r="AM47" i="2"/>
  <c r="AE47" i="2"/>
  <c r="AD47" i="2"/>
  <c r="AC47" i="2"/>
  <c r="U47" i="2"/>
  <c r="T47" i="2"/>
  <c r="S47" i="2"/>
  <c r="K47" i="2"/>
  <c r="J47" i="2"/>
  <c r="I47" i="2"/>
  <c r="CC46" i="2"/>
  <c r="CB46" i="2"/>
  <c r="CA46" i="2"/>
  <c r="BS46" i="2"/>
  <c r="BR46" i="2"/>
  <c r="BQ46" i="2"/>
  <c r="BI46" i="2"/>
  <c r="BH46" i="2"/>
  <c r="BG46" i="2"/>
  <c r="AY46" i="2"/>
  <c r="AX46" i="2"/>
  <c r="AW46" i="2"/>
  <c r="AO46" i="2"/>
  <c r="AN46" i="2"/>
  <c r="AM46" i="2"/>
  <c r="AE46" i="2"/>
  <c r="AD46" i="2"/>
  <c r="AC46" i="2"/>
  <c r="U46" i="2"/>
  <c r="T46" i="2"/>
  <c r="S46" i="2"/>
  <c r="K46" i="2"/>
  <c r="J46" i="2"/>
  <c r="I46" i="2"/>
  <c r="CC45" i="2"/>
  <c r="CB45" i="2"/>
  <c r="CA45" i="2"/>
  <c r="BS45" i="2"/>
  <c r="BR45" i="2"/>
  <c r="BQ45" i="2"/>
  <c r="BI45" i="2"/>
  <c r="BH45" i="2"/>
  <c r="BG45" i="2"/>
  <c r="AY45" i="2"/>
  <c r="AX45" i="2"/>
  <c r="AW45" i="2"/>
  <c r="AO45" i="2"/>
  <c r="AN45" i="2"/>
  <c r="AM45" i="2"/>
  <c r="AE45" i="2"/>
  <c r="AD45" i="2"/>
  <c r="AC45" i="2"/>
  <c r="U45" i="2"/>
  <c r="T45" i="2"/>
  <c r="S45" i="2"/>
  <c r="K45" i="2"/>
  <c r="J45" i="2"/>
  <c r="I45" i="2"/>
  <c r="CC44" i="2"/>
  <c r="CB44" i="2"/>
  <c r="BX6" i="2" s="1"/>
  <c r="CA44" i="2"/>
  <c r="BS44" i="2"/>
  <c r="BO6" i="2" s="1"/>
  <c r="BR44" i="2"/>
  <c r="BQ44" i="2"/>
  <c r="BM6" i="2" s="1"/>
  <c r="BI44" i="2"/>
  <c r="BH44" i="2"/>
  <c r="BG44" i="2"/>
  <c r="AY44" i="2"/>
  <c r="AX44" i="2"/>
  <c r="AW44" i="2"/>
  <c r="AO44" i="2"/>
  <c r="AN44" i="2"/>
  <c r="AM44" i="2"/>
  <c r="AE44" i="2"/>
  <c r="AD44" i="2"/>
  <c r="Z6" i="2" s="1"/>
  <c r="AC44" i="2"/>
  <c r="Y6" i="2" s="1"/>
  <c r="U44" i="2"/>
  <c r="T44" i="2"/>
  <c r="P6" i="2" s="1"/>
  <c r="S44" i="2"/>
  <c r="K44" i="2"/>
  <c r="G6" i="2" s="1"/>
  <c r="J44" i="2"/>
  <c r="I44" i="2"/>
  <c r="CC43" i="2"/>
  <c r="CB43" i="2"/>
  <c r="CA43" i="2"/>
  <c r="BS43" i="2"/>
  <c r="BR43" i="2"/>
  <c r="BN6" i="2" s="1"/>
  <c r="BQ43" i="2"/>
  <c r="BI43" i="2"/>
  <c r="BE6" i="2" s="1"/>
  <c r="BH43" i="2"/>
  <c r="BG43" i="2"/>
  <c r="BC6" i="2" s="1"/>
  <c r="AY43" i="2"/>
  <c r="AU6" i="2" s="1"/>
  <c r="AX43" i="2"/>
  <c r="AW43" i="2"/>
  <c r="AS6" i="2" s="1"/>
  <c r="AO43" i="2"/>
  <c r="AN43" i="2"/>
  <c r="AJ6" i="2" s="1"/>
  <c r="AM43" i="2"/>
  <c r="AE43" i="2"/>
  <c r="AD43" i="2"/>
  <c r="AC43" i="2"/>
  <c r="U43" i="2"/>
  <c r="Q6" i="2" s="1"/>
  <c r="T43" i="2"/>
  <c r="S43" i="2"/>
  <c r="O6" i="2" s="1"/>
  <c r="K43" i="2"/>
  <c r="J43" i="2"/>
  <c r="I43" i="2"/>
  <c r="CC42" i="2"/>
  <c r="CB42" i="2"/>
  <c r="CA42" i="2"/>
  <c r="BS42" i="2"/>
  <c r="BR42" i="2"/>
  <c r="BQ42" i="2"/>
  <c r="BI42" i="2"/>
  <c r="BH42" i="2"/>
  <c r="BG42" i="2"/>
  <c r="AY42" i="2"/>
  <c r="AX42" i="2"/>
  <c r="AW42" i="2"/>
  <c r="AO42" i="2"/>
  <c r="AN42" i="2"/>
  <c r="AM42" i="2"/>
  <c r="AE42" i="2"/>
  <c r="AD42" i="2"/>
  <c r="AC42" i="2"/>
  <c r="U42" i="2"/>
  <c r="T42" i="2"/>
  <c r="S42" i="2"/>
  <c r="K42" i="2"/>
  <c r="J42" i="2"/>
  <c r="I42" i="2"/>
  <c r="CC41" i="2"/>
  <c r="CB41" i="2"/>
  <c r="CA41" i="2"/>
  <c r="BS41" i="2"/>
  <c r="BR41" i="2"/>
  <c r="BQ41" i="2"/>
  <c r="BI41" i="2"/>
  <c r="BH41" i="2"/>
  <c r="BG41" i="2"/>
  <c r="AY41" i="2"/>
  <c r="AX41" i="2"/>
  <c r="AW41" i="2"/>
  <c r="AO41" i="2"/>
  <c r="AN41" i="2"/>
  <c r="AM41" i="2"/>
  <c r="AE41" i="2"/>
  <c r="AD41" i="2"/>
  <c r="AC41" i="2"/>
  <c r="U41" i="2"/>
  <c r="T41" i="2"/>
  <c r="S41" i="2"/>
  <c r="K41" i="2"/>
  <c r="J41" i="2"/>
  <c r="I41" i="2"/>
  <c r="CC40" i="2"/>
  <c r="CB40" i="2"/>
  <c r="CA40" i="2"/>
  <c r="BS40" i="2"/>
  <c r="BR40" i="2"/>
  <c r="BQ40" i="2"/>
  <c r="BI40" i="2"/>
  <c r="BH40" i="2"/>
  <c r="BG40" i="2"/>
  <c r="AY40" i="2"/>
  <c r="AX40" i="2"/>
  <c r="AW40" i="2"/>
  <c r="AO40" i="2"/>
  <c r="AN40" i="2"/>
  <c r="AM40" i="2"/>
  <c r="AE40" i="2"/>
  <c r="AD40" i="2"/>
  <c r="AC40" i="2"/>
  <c r="U40" i="2"/>
  <c r="T40" i="2"/>
  <c r="S40" i="2"/>
  <c r="K40" i="2"/>
  <c r="J40" i="2"/>
  <c r="I40" i="2"/>
  <c r="CC39" i="2"/>
  <c r="CB39" i="2"/>
  <c r="CA39" i="2"/>
  <c r="BS39" i="2"/>
  <c r="BR39" i="2"/>
  <c r="BQ39" i="2"/>
  <c r="BI39" i="2"/>
  <c r="BH39" i="2"/>
  <c r="BG39" i="2"/>
  <c r="AY39" i="2"/>
  <c r="AX39" i="2"/>
  <c r="AW39" i="2"/>
  <c r="AO39" i="2"/>
  <c r="AN39" i="2"/>
  <c r="AM39" i="2"/>
  <c r="AE39" i="2"/>
  <c r="AD39" i="2"/>
  <c r="AC39" i="2"/>
  <c r="U39" i="2"/>
  <c r="T39" i="2"/>
  <c r="S39" i="2"/>
  <c r="K39" i="2"/>
  <c r="J39" i="2"/>
  <c r="I39" i="2"/>
  <c r="CC38" i="2"/>
  <c r="CB38" i="2"/>
  <c r="CA38" i="2"/>
  <c r="BS38" i="2"/>
  <c r="BR38" i="2"/>
  <c r="BQ38" i="2"/>
  <c r="BI38" i="2"/>
  <c r="BH38" i="2"/>
  <c r="BG38" i="2"/>
  <c r="AY38" i="2"/>
  <c r="AX38" i="2"/>
  <c r="AW38" i="2"/>
  <c r="AO38" i="2"/>
  <c r="AN38" i="2"/>
  <c r="AM38" i="2"/>
  <c r="AE38" i="2"/>
  <c r="AD38" i="2"/>
  <c r="AC38" i="2"/>
  <c r="U38" i="2"/>
  <c r="T38" i="2"/>
  <c r="S38" i="2"/>
  <c r="K38" i="2"/>
  <c r="J38" i="2"/>
  <c r="I38" i="2"/>
  <c r="CC37" i="2"/>
  <c r="CB37" i="2"/>
  <c r="CA37" i="2"/>
  <c r="BS37" i="2"/>
  <c r="BR37" i="2"/>
  <c r="BQ37" i="2"/>
  <c r="BI37" i="2"/>
  <c r="BH37" i="2"/>
  <c r="BG37" i="2"/>
  <c r="AY37" i="2"/>
  <c r="AX37" i="2"/>
  <c r="AW37" i="2"/>
  <c r="AO37" i="2"/>
  <c r="AN37" i="2"/>
  <c r="AM37" i="2"/>
  <c r="AE37" i="2"/>
  <c r="AD37" i="2"/>
  <c r="AC37" i="2"/>
  <c r="U37" i="2"/>
  <c r="T37" i="2"/>
  <c r="S37" i="2"/>
  <c r="K37" i="2"/>
  <c r="J37" i="2"/>
  <c r="I37" i="2"/>
  <c r="CC36" i="2"/>
  <c r="CB36" i="2"/>
  <c r="CA36" i="2"/>
  <c r="BS36" i="2"/>
  <c r="BR36" i="2"/>
  <c r="BQ36" i="2"/>
  <c r="BI36" i="2"/>
  <c r="BH36" i="2"/>
  <c r="BG36" i="2"/>
  <c r="AY36" i="2"/>
  <c r="AX36" i="2"/>
  <c r="AW36" i="2"/>
  <c r="AO36" i="2"/>
  <c r="AN36" i="2"/>
  <c r="AM36" i="2"/>
  <c r="AE36" i="2"/>
  <c r="AD36" i="2"/>
  <c r="AC36" i="2"/>
  <c r="U36" i="2"/>
  <c r="T36" i="2"/>
  <c r="S36" i="2"/>
  <c r="K36" i="2"/>
  <c r="J36" i="2"/>
  <c r="I36" i="2"/>
  <c r="CC35" i="2"/>
  <c r="CB35" i="2"/>
  <c r="CA35" i="2"/>
  <c r="BS35" i="2"/>
  <c r="BR35" i="2"/>
  <c r="BQ35" i="2"/>
  <c r="BI35" i="2"/>
  <c r="BH35" i="2"/>
  <c r="BG35" i="2"/>
  <c r="AY35" i="2"/>
  <c r="AX35" i="2"/>
  <c r="AW35" i="2"/>
  <c r="AO35" i="2"/>
  <c r="AN35" i="2"/>
  <c r="AM35" i="2"/>
  <c r="AE35" i="2"/>
  <c r="AD35" i="2"/>
  <c r="AC35" i="2"/>
  <c r="U35" i="2"/>
  <c r="T35" i="2"/>
  <c r="S35" i="2"/>
  <c r="K35" i="2"/>
  <c r="J35" i="2"/>
  <c r="I35" i="2"/>
  <c r="CC34" i="2"/>
  <c r="CB34" i="2"/>
  <c r="BX5" i="2" s="1"/>
  <c r="CA34" i="2"/>
  <c r="BS34" i="2"/>
  <c r="BO5" i="2" s="1"/>
  <c r="BR34" i="2"/>
  <c r="BQ34" i="2"/>
  <c r="BM5" i="2" s="1"/>
  <c r="BI34" i="2"/>
  <c r="BH34" i="2"/>
  <c r="BG34" i="2"/>
  <c r="AY34" i="2"/>
  <c r="AX34" i="2"/>
  <c r="AW34" i="2"/>
  <c r="AO34" i="2"/>
  <c r="AN34" i="2"/>
  <c r="AM34" i="2"/>
  <c r="AE34" i="2"/>
  <c r="AD34" i="2"/>
  <c r="Z5" i="2" s="1"/>
  <c r="AC34" i="2"/>
  <c r="U34" i="2"/>
  <c r="T34" i="2"/>
  <c r="P5" i="2" s="1"/>
  <c r="S34" i="2"/>
  <c r="K34" i="2"/>
  <c r="G5" i="2" s="1"/>
  <c r="J34" i="2"/>
  <c r="I34" i="2"/>
  <c r="CC33" i="2"/>
  <c r="CB33" i="2"/>
  <c r="CA33" i="2"/>
  <c r="BS33" i="2"/>
  <c r="BR33" i="2"/>
  <c r="BN5" i="2" s="1"/>
  <c r="BQ33" i="2"/>
  <c r="BI33" i="2"/>
  <c r="BE5" i="2" s="1"/>
  <c r="BH33" i="2"/>
  <c r="BG33" i="2"/>
  <c r="BC5" i="2" s="1"/>
  <c r="AY33" i="2"/>
  <c r="AU5" i="2" s="1"/>
  <c r="AX33" i="2"/>
  <c r="AW33" i="2"/>
  <c r="AS5" i="2" s="1"/>
  <c r="AO33" i="2"/>
  <c r="AN33" i="2"/>
  <c r="AJ5" i="2" s="1"/>
  <c r="AM33" i="2"/>
  <c r="AE33" i="2"/>
  <c r="AD33" i="2"/>
  <c r="AC33" i="2"/>
  <c r="Y5" i="2" s="1"/>
  <c r="U33" i="2"/>
  <c r="Q5" i="2" s="1"/>
  <c r="T33" i="2"/>
  <c r="S33" i="2"/>
  <c r="O5" i="2" s="1"/>
  <c r="K33" i="2"/>
  <c r="J33" i="2"/>
  <c r="I33" i="2"/>
  <c r="CC32" i="2"/>
  <c r="CB32" i="2"/>
  <c r="CA32" i="2"/>
  <c r="BS32" i="2"/>
  <c r="BR32" i="2"/>
  <c r="BQ32" i="2"/>
  <c r="BI32" i="2"/>
  <c r="BH32" i="2"/>
  <c r="BG32" i="2"/>
  <c r="AY32" i="2"/>
  <c r="AX32" i="2"/>
  <c r="AW32" i="2"/>
  <c r="AO32" i="2"/>
  <c r="AN32" i="2"/>
  <c r="AM32" i="2"/>
  <c r="AE32" i="2"/>
  <c r="AD32" i="2"/>
  <c r="AC32" i="2"/>
  <c r="U32" i="2"/>
  <c r="T32" i="2"/>
  <c r="S32" i="2"/>
  <c r="K32" i="2"/>
  <c r="J32" i="2"/>
  <c r="I32" i="2"/>
  <c r="CC31" i="2"/>
  <c r="CB31" i="2"/>
  <c r="CA31" i="2"/>
  <c r="BS31" i="2"/>
  <c r="BR31" i="2"/>
  <c r="BQ31" i="2"/>
  <c r="BI31" i="2"/>
  <c r="BH31" i="2"/>
  <c r="BG31" i="2"/>
  <c r="AY31" i="2"/>
  <c r="AX31" i="2"/>
  <c r="AW31" i="2"/>
  <c r="AO31" i="2"/>
  <c r="AN31" i="2"/>
  <c r="AM31" i="2"/>
  <c r="AE31" i="2"/>
  <c r="AD31" i="2"/>
  <c r="AC31" i="2"/>
  <c r="U31" i="2"/>
  <c r="T31" i="2"/>
  <c r="S31" i="2"/>
  <c r="K31" i="2"/>
  <c r="J31" i="2"/>
  <c r="I31" i="2"/>
  <c r="CC30" i="2"/>
  <c r="CB30" i="2"/>
  <c r="CA30" i="2"/>
  <c r="BS30" i="2"/>
  <c r="BR30" i="2"/>
  <c r="BQ30" i="2"/>
  <c r="BI30" i="2"/>
  <c r="BH30" i="2"/>
  <c r="BG30" i="2"/>
  <c r="AY30" i="2"/>
  <c r="AX30" i="2"/>
  <c r="AW30" i="2"/>
  <c r="AO30" i="2"/>
  <c r="AN30" i="2"/>
  <c r="AM30" i="2"/>
  <c r="AE30" i="2"/>
  <c r="AD30" i="2"/>
  <c r="AC30" i="2"/>
  <c r="U30" i="2"/>
  <c r="T30" i="2"/>
  <c r="S30" i="2"/>
  <c r="K30" i="2"/>
  <c r="J30" i="2"/>
  <c r="I30" i="2"/>
  <c r="CC29" i="2"/>
  <c r="CB29" i="2"/>
  <c r="CA29" i="2"/>
  <c r="BS29" i="2"/>
  <c r="BR29" i="2"/>
  <c r="BQ29" i="2"/>
  <c r="BI29" i="2"/>
  <c r="BH29" i="2"/>
  <c r="BG29" i="2"/>
  <c r="AY29" i="2"/>
  <c r="AX29" i="2"/>
  <c r="AW29" i="2"/>
  <c r="AO29" i="2"/>
  <c r="AN29" i="2"/>
  <c r="AM29" i="2"/>
  <c r="AE29" i="2"/>
  <c r="AD29" i="2"/>
  <c r="AC29" i="2"/>
  <c r="U29" i="2"/>
  <c r="T29" i="2"/>
  <c r="S29" i="2"/>
  <c r="K29" i="2"/>
  <c r="J29" i="2"/>
  <c r="I29" i="2"/>
  <c r="CC28" i="2"/>
  <c r="CB28" i="2"/>
  <c r="CA28" i="2"/>
  <c r="BS28" i="2"/>
  <c r="BR28" i="2"/>
  <c r="BQ28" i="2"/>
  <c r="BI28" i="2"/>
  <c r="BH28" i="2"/>
  <c r="BG28" i="2"/>
  <c r="AY28" i="2"/>
  <c r="AX28" i="2"/>
  <c r="AW28" i="2"/>
  <c r="AO28" i="2"/>
  <c r="AN28" i="2"/>
  <c r="AM28" i="2"/>
  <c r="AE28" i="2"/>
  <c r="AD28" i="2"/>
  <c r="AC28" i="2"/>
  <c r="U28" i="2"/>
  <c r="T28" i="2"/>
  <c r="S28" i="2"/>
  <c r="K28" i="2"/>
  <c r="J28" i="2"/>
  <c r="I28" i="2"/>
  <c r="CC27" i="2"/>
  <c r="CB27" i="2"/>
  <c r="CA27" i="2"/>
  <c r="BS27" i="2"/>
  <c r="BR27" i="2"/>
  <c r="BQ27" i="2"/>
  <c r="BI27" i="2"/>
  <c r="BH27" i="2"/>
  <c r="BG27" i="2"/>
  <c r="AY27" i="2"/>
  <c r="AX27" i="2"/>
  <c r="AW27" i="2"/>
  <c r="AO27" i="2"/>
  <c r="AN27" i="2"/>
  <c r="AM27" i="2"/>
  <c r="AE27" i="2"/>
  <c r="AD27" i="2"/>
  <c r="AC27" i="2"/>
  <c r="U27" i="2"/>
  <c r="T27" i="2"/>
  <c r="S27" i="2"/>
  <c r="K27" i="2"/>
  <c r="J27" i="2"/>
  <c r="I27" i="2"/>
  <c r="CC26" i="2"/>
  <c r="CB26" i="2"/>
  <c r="CA26" i="2"/>
  <c r="BS26" i="2"/>
  <c r="BR26" i="2"/>
  <c r="BQ26" i="2"/>
  <c r="BI26" i="2"/>
  <c r="BH26" i="2"/>
  <c r="BG26" i="2"/>
  <c r="AY26" i="2"/>
  <c r="AX26" i="2"/>
  <c r="AW26" i="2"/>
  <c r="AO26" i="2"/>
  <c r="AN26" i="2"/>
  <c r="AM26" i="2"/>
  <c r="AE26" i="2"/>
  <c r="AD26" i="2"/>
  <c r="AC26" i="2"/>
  <c r="U26" i="2"/>
  <c r="T26" i="2"/>
  <c r="S26" i="2"/>
  <c r="K26" i="2"/>
  <c r="J26" i="2"/>
  <c r="I26" i="2"/>
  <c r="CC25" i="2"/>
  <c r="CB25" i="2"/>
  <c r="CA25" i="2"/>
  <c r="BS25" i="2"/>
  <c r="BR25" i="2"/>
  <c r="BQ25" i="2"/>
  <c r="BI25" i="2"/>
  <c r="BH25" i="2"/>
  <c r="BG25" i="2"/>
  <c r="AY25" i="2"/>
  <c r="AX25" i="2"/>
  <c r="AW25" i="2"/>
  <c r="AO25" i="2"/>
  <c r="AN25" i="2"/>
  <c r="AM25" i="2"/>
  <c r="AE25" i="2"/>
  <c r="AD25" i="2"/>
  <c r="AC25" i="2"/>
  <c r="U25" i="2"/>
  <c r="T25" i="2"/>
  <c r="S25" i="2"/>
  <c r="K25" i="2"/>
  <c r="J25" i="2"/>
  <c r="I25" i="2"/>
  <c r="CC24" i="2"/>
  <c r="CB24" i="2"/>
  <c r="CA24" i="2"/>
  <c r="BS24" i="2"/>
  <c r="BO4" i="2" s="1"/>
  <c r="BR24" i="2"/>
  <c r="BQ24" i="2"/>
  <c r="BM4" i="2" s="1"/>
  <c r="BI24" i="2"/>
  <c r="BH24" i="2"/>
  <c r="BG24" i="2"/>
  <c r="AY24" i="2"/>
  <c r="AX24" i="2"/>
  <c r="AW24" i="2"/>
  <c r="AO24" i="2"/>
  <c r="AN24" i="2"/>
  <c r="AM24" i="2"/>
  <c r="AE24" i="2"/>
  <c r="AD24" i="2"/>
  <c r="Z4" i="2" s="1"/>
  <c r="AC24" i="2"/>
  <c r="U24" i="2"/>
  <c r="T24" i="2"/>
  <c r="P4" i="2" s="1"/>
  <c r="S24" i="2"/>
  <c r="K24" i="2"/>
  <c r="G4" i="2" s="1"/>
  <c r="J24" i="2"/>
  <c r="I24" i="2"/>
  <c r="CC23" i="2"/>
  <c r="CB23" i="2"/>
  <c r="BX4" i="2" s="1"/>
  <c r="CA23" i="2"/>
  <c r="BS23" i="2"/>
  <c r="BR23" i="2"/>
  <c r="BN4" i="2" s="1"/>
  <c r="BQ23" i="2"/>
  <c r="BI23" i="2"/>
  <c r="BE4" i="2" s="1"/>
  <c r="BH23" i="2"/>
  <c r="BG23" i="2"/>
  <c r="BC4" i="2" s="1"/>
  <c r="AY23" i="2"/>
  <c r="AU4" i="2" s="1"/>
  <c r="AX23" i="2"/>
  <c r="AW23" i="2"/>
  <c r="AS4" i="2" s="1"/>
  <c r="AO23" i="2"/>
  <c r="AN23" i="2"/>
  <c r="AJ4" i="2" s="1"/>
  <c r="AM23" i="2"/>
  <c r="AE23" i="2"/>
  <c r="AD23" i="2"/>
  <c r="AC23" i="2"/>
  <c r="Y4" i="2" s="1"/>
  <c r="U23" i="2"/>
  <c r="Q4" i="2" s="1"/>
  <c r="T23" i="2"/>
  <c r="S23" i="2"/>
  <c r="O4" i="2" s="1"/>
  <c r="K23" i="2"/>
  <c r="J23" i="2"/>
  <c r="I23" i="2"/>
  <c r="CC22" i="2"/>
  <c r="CB22" i="2"/>
  <c r="CA22" i="2"/>
  <c r="BS22" i="2"/>
  <c r="BR22" i="2"/>
  <c r="BQ22" i="2"/>
  <c r="BI22" i="2"/>
  <c r="BH22" i="2"/>
  <c r="BG22" i="2"/>
  <c r="AY22" i="2"/>
  <c r="AX22" i="2"/>
  <c r="AW22" i="2"/>
  <c r="AO22" i="2"/>
  <c r="AN22" i="2"/>
  <c r="AM22" i="2"/>
  <c r="AE22" i="2"/>
  <c r="AD22" i="2"/>
  <c r="AC22" i="2"/>
  <c r="U22" i="2"/>
  <c r="T22" i="2"/>
  <c r="S22" i="2"/>
  <c r="K22" i="2"/>
  <c r="J22" i="2"/>
  <c r="I22" i="2"/>
  <c r="CC21" i="2"/>
  <c r="CB21" i="2"/>
  <c r="CA21" i="2"/>
  <c r="BS21" i="2"/>
  <c r="BR21" i="2"/>
  <c r="BN3" i="2" s="1"/>
  <c r="BN8" i="2" s="1"/>
  <c r="BQ21" i="2"/>
  <c r="BI21" i="2"/>
  <c r="BE3" i="2" s="1"/>
  <c r="BE8" i="2" s="1"/>
  <c r="BH21" i="2"/>
  <c r="BG21" i="2"/>
  <c r="AY21" i="2"/>
  <c r="AX21" i="2"/>
  <c r="AW21" i="2"/>
  <c r="AO21" i="2"/>
  <c r="AN21" i="2"/>
  <c r="AJ3" i="2" s="1"/>
  <c r="AJ8" i="2" s="1"/>
  <c r="AM21" i="2"/>
  <c r="AE21" i="2"/>
  <c r="AD21" i="2"/>
  <c r="AC21" i="2"/>
  <c r="U21" i="2"/>
  <c r="Q3" i="2" s="1"/>
  <c r="Q8" i="2" s="1"/>
  <c r="T21" i="2"/>
  <c r="S21" i="2"/>
  <c r="K21" i="2"/>
  <c r="J21" i="2"/>
  <c r="I21" i="2"/>
  <c r="CC20" i="2"/>
  <c r="CB20" i="2"/>
  <c r="BX3" i="2" s="1"/>
  <c r="BX8" i="2" s="1"/>
  <c r="CA20" i="2"/>
  <c r="BS20" i="2"/>
  <c r="BO3" i="2" s="1"/>
  <c r="BO8" i="2" s="1"/>
  <c r="BR20" i="2"/>
  <c r="BQ20" i="2"/>
  <c r="BI20" i="2"/>
  <c r="BH20" i="2"/>
  <c r="BG20" i="2"/>
  <c r="AY20" i="2"/>
  <c r="AU3" i="2" s="1"/>
  <c r="AU8" i="2" s="1"/>
  <c r="AX20" i="2"/>
  <c r="AW20" i="2"/>
  <c r="AO20" i="2"/>
  <c r="AN20" i="2"/>
  <c r="AM20" i="2"/>
  <c r="AE20" i="2"/>
  <c r="AD20" i="2"/>
  <c r="Z3" i="2" s="1"/>
  <c r="Z8" i="2" s="1"/>
  <c r="AC20" i="2"/>
  <c r="U20" i="2"/>
  <c r="T20" i="2"/>
  <c r="P3" i="2" s="1"/>
  <c r="P8" i="2" s="1"/>
  <c r="S20" i="2"/>
  <c r="K20" i="2"/>
  <c r="G3" i="2" s="1"/>
  <c r="G8" i="2" s="1"/>
  <c r="J20" i="2"/>
  <c r="I20" i="2"/>
  <c r="CA19" i="2"/>
  <c r="BQ19" i="2"/>
  <c r="BG19" i="2"/>
  <c r="AW19" i="2"/>
  <c r="AM19" i="2"/>
  <c r="AC19" i="2"/>
  <c r="S19" i="2"/>
  <c r="I19" i="2"/>
  <c r="CA18" i="2"/>
  <c r="BQ18" i="2"/>
  <c r="BG18" i="2"/>
  <c r="AW18" i="2"/>
  <c r="AM18" i="2"/>
  <c r="AC18" i="2"/>
  <c r="S18" i="2"/>
  <c r="I18" i="2"/>
  <c r="CA17" i="2"/>
  <c r="BQ17" i="2"/>
  <c r="BG17" i="2"/>
  <c r="AW17" i="2"/>
  <c r="AM17" i="2"/>
  <c r="AC17" i="2"/>
  <c r="S17" i="2"/>
  <c r="I17" i="2"/>
  <c r="CA16" i="2"/>
  <c r="BQ16" i="2"/>
  <c r="BG16" i="2"/>
  <c r="AW16" i="2"/>
  <c r="AM16" i="2"/>
  <c r="AC16" i="2"/>
  <c r="S16" i="2"/>
  <c r="I16" i="2"/>
  <c r="CA15" i="2"/>
  <c r="BQ15" i="2"/>
  <c r="BG15" i="2"/>
  <c r="AW15" i="2"/>
  <c r="AM15" i="2"/>
  <c r="AC15" i="2"/>
  <c r="S15" i="2"/>
  <c r="I15" i="2"/>
  <c r="CA14" i="2"/>
  <c r="BQ14" i="2"/>
  <c r="BG14" i="2"/>
  <c r="AW14" i="2"/>
  <c r="AM14" i="2"/>
  <c r="AC14" i="2"/>
  <c r="Y3" i="2" s="1"/>
  <c r="Y8" i="2" s="1"/>
  <c r="S14" i="2"/>
  <c r="I14" i="2"/>
  <c r="CA13" i="2"/>
  <c r="BQ13" i="2"/>
  <c r="BM3" i="2" s="1"/>
  <c r="BM8" i="2" s="1"/>
  <c r="BG13" i="2"/>
  <c r="BC3" i="2" s="1"/>
  <c r="BC8" i="2" s="1"/>
  <c r="AW13" i="2"/>
  <c r="AS3" i="2" s="1"/>
  <c r="AM13" i="2"/>
  <c r="AC13" i="2"/>
  <c r="S13" i="2"/>
  <c r="O3" i="2" s="1"/>
  <c r="I13" i="2"/>
  <c r="BZ7" i="2"/>
  <c r="BY7" i="2"/>
  <c r="BX7" i="2"/>
  <c r="BP7" i="2"/>
  <c r="BO7" i="2"/>
  <c r="BN7" i="2"/>
  <c r="BM7" i="2"/>
  <c r="BF7" i="2"/>
  <c r="BE7" i="2"/>
  <c r="BD7" i="2"/>
  <c r="BC7" i="2"/>
  <c r="AV7" i="2"/>
  <c r="AU7" i="2"/>
  <c r="AT7" i="2"/>
  <c r="AS7" i="2"/>
  <c r="AL7" i="2"/>
  <c r="AK7" i="2"/>
  <c r="AJ7" i="2"/>
  <c r="AI7" i="2"/>
  <c r="AB7" i="2"/>
  <c r="AA7" i="2"/>
  <c r="Z7" i="2"/>
  <c r="Y7" i="2"/>
  <c r="R7" i="2"/>
  <c r="Q7" i="2"/>
  <c r="P7" i="2"/>
  <c r="O7" i="2"/>
  <c r="H7" i="2"/>
  <c r="G7" i="2"/>
  <c r="F7" i="2"/>
  <c r="E7" i="2"/>
  <c r="BZ6" i="2"/>
  <c r="BY6" i="2"/>
  <c r="BW6" i="2"/>
  <c r="BP6" i="2"/>
  <c r="BF6" i="2"/>
  <c r="BD6" i="2"/>
  <c r="AV6" i="2"/>
  <c r="AT6" i="2"/>
  <c r="AL6" i="2"/>
  <c r="AK6" i="2"/>
  <c r="AI6" i="2"/>
  <c r="AB6" i="2"/>
  <c r="AA6" i="2"/>
  <c r="R6" i="2"/>
  <c r="H6" i="2"/>
  <c r="F6" i="2"/>
  <c r="E6" i="2"/>
  <c r="BZ5" i="2"/>
  <c r="BY5" i="2"/>
  <c r="BW5" i="2"/>
  <c r="BP5" i="2"/>
  <c r="BF5" i="2"/>
  <c r="BD5" i="2"/>
  <c r="AV5" i="2"/>
  <c r="AT5" i="2"/>
  <c r="AL5" i="2"/>
  <c r="AK5" i="2"/>
  <c r="AI5" i="2"/>
  <c r="AB5" i="2"/>
  <c r="AA5" i="2"/>
  <c r="R5" i="2"/>
  <c r="H5" i="2"/>
  <c r="F5" i="2"/>
  <c r="E5" i="2"/>
  <c r="BZ4" i="2"/>
  <c r="BY4" i="2"/>
  <c r="BW4" i="2"/>
  <c r="BP4" i="2"/>
  <c r="BF4" i="2"/>
  <c r="BD4" i="2"/>
  <c r="AV4" i="2"/>
  <c r="AT4" i="2"/>
  <c r="AL4" i="2"/>
  <c r="AK4" i="2"/>
  <c r="AI4" i="2"/>
  <c r="AB4" i="2"/>
  <c r="AA4" i="2"/>
  <c r="R4" i="2"/>
  <c r="H4" i="2"/>
  <c r="F4" i="2"/>
  <c r="E4" i="2"/>
  <c r="BZ3" i="2"/>
  <c r="BZ8" i="2" s="1"/>
  <c r="BY3" i="2"/>
  <c r="BY8" i="2" s="1"/>
  <c r="BW3" i="2"/>
  <c r="BP3" i="2"/>
  <c r="BP8" i="2" s="1"/>
  <c r="BF3" i="2"/>
  <c r="BF8" i="2" s="1"/>
  <c r="BD3" i="2"/>
  <c r="BD8" i="2" s="1"/>
  <c r="AV3" i="2"/>
  <c r="AV8" i="2" s="1"/>
  <c r="AT3" i="2"/>
  <c r="AT8" i="2" s="1"/>
  <c r="AL3" i="2"/>
  <c r="AL8" i="2" s="1"/>
  <c r="AK3" i="2"/>
  <c r="AK8" i="2" s="1"/>
  <c r="AI3" i="2"/>
  <c r="AI8" i="2" s="1"/>
  <c r="AB3" i="2"/>
  <c r="AB8" i="2" s="1"/>
  <c r="AA3" i="2"/>
  <c r="AA8" i="2" s="1"/>
  <c r="R3" i="2"/>
  <c r="R8" i="2" s="1"/>
  <c r="H3" i="2"/>
  <c r="H8" i="2" s="1"/>
  <c r="F3" i="2"/>
  <c r="F8" i="2" s="1"/>
  <c r="E3" i="2"/>
  <c r="E8" i="2" s="1"/>
  <c r="AP36" i="1"/>
  <c r="M36" i="1"/>
  <c r="BZ35" i="1"/>
  <c r="BY35" i="1"/>
  <c r="BW35" i="1"/>
  <c r="BP35" i="1"/>
  <c r="AW35" i="1"/>
  <c r="AM35" i="1"/>
  <c r="BZ34" i="1"/>
  <c r="BY34" i="1"/>
  <c r="BE34" i="1"/>
  <c r="BE33" i="1"/>
  <c r="AM33" i="1"/>
  <c r="BY32" i="1"/>
  <c r="AM32" i="1"/>
  <c r="BZ31" i="1"/>
  <c r="BP31" i="1"/>
  <c r="BE31" i="1"/>
  <c r="AP31" i="1"/>
  <c r="AO31" i="1"/>
  <c r="BZ30" i="1"/>
  <c r="BY30" i="1"/>
  <c r="E30" i="1"/>
  <c r="D30" i="1"/>
  <c r="C30" i="1"/>
  <c r="B30" i="1"/>
  <c r="BZ28" i="1"/>
  <c r="BY28" i="1"/>
  <c r="BX28" i="1"/>
  <c r="BW28" i="1"/>
  <c r="BQ28" i="1"/>
  <c r="BP28" i="1"/>
  <c r="BO28" i="1"/>
  <c r="BN28" i="1"/>
  <c r="BH28" i="1"/>
  <c r="BG28" i="1"/>
  <c r="BF28" i="1"/>
  <c r="BE28" i="1"/>
  <c r="AY28" i="1"/>
  <c r="AX28" i="1"/>
  <c r="AW28" i="1"/>
  <c r="AV28" i="1"/>
  <c r="AP28" i="1"/>
  <c r="AO28" i="1"/>
  <c r="AN28" i="1"/>
  <c r="AM28" i="1"/>
  <c r="AG28" i="1"/>
  <c r="AF28" i="1"/>
  <c r="AE28" i="1"/>
  <c r="AD28" i="1"/>
  <c r="X28" i="1"/>
  <c r="W28" i="1"/>
  <c r="V28" i="1"/>
  <c r="U28" i="1"/>
  <c r="O28" i="1"/>
  <c r="N28" i="1"/>
  <c r="M28" i="1"/>
  <c r="L28" i="1"/>
  <c r="BZ27" i="1"/>
  <c r="BY27" i="1"/>
  <c r="BX27" i="1"/>
  <c r="BW27" i="1"/>
  <c r="BQ27" i="1"/>
  <c r="BP27" i="1"/>
  <c r="BO27" i="1"/>
  <c r="BN27" i="1"/>
  <c r="BH27" i="1"/>
  <c r="BG27" i="1"/>
  <c r="BF27" i="1"/>
  <c r="BE27" i="1"/>
  <c r="AY27" i="1"/>
  <c r="AX27" i="1"/>
  <c r="AW27" i="1"/>
  <c r="AV27" i="1"/>
  <c r="AP27" i="1"/>
  <c r="AO27" i="1"/>
  <c r="AN27" i="1"/>
  <c r="AM27" i="1"/>
  <c r="AG27" i="1"/>
  <c r="AF27" i="1"/>
  <c r="AE27" i="1"/>
  <c r="AD27" i="1"/>
  <c r="X27" i="1"/>
  <c r="W27" i="1"/>
  <c r="V27" i="1"/>
  <c r="U27" i="1"/>
  <c r="O27" i="1"/>
  <c r="N27" i="1"/>
  <c r="M27" i="1"/>
  <c r="L27" i="1"/>
  <c r="BZ26" i="1"/>
  <c r="BY26" i="1"/>
  <c r="BX26" i="1"/>
  <c r="BW26" i="1"/>
  <c r="BQ26" i="1"/>
  <c r="BP26" i="1"/>
  <c r="BO26" i="1"/>
  <c r="BN26" i="1"/>
  <c r="BH26" i="1"/>
  <c r="BG26" i="1"/>
  <c r="BF26" i="1"/>
  <c r="BE26" i="1"/>
  <c r="AY26" i="1"/>
  <c r="AX26" i="1"/>
  <c r="AW26" i="1"/>
  <c r="AV26" i="1"/>
  <c r="AP26" i="1"/>
  <c r="AO26" i="1"/>
  <c r="AN26" i="1"/>
  <c r="AM26" i="1"/>
  <c r="AG26" i="1"/>
  <c r="AF26" i="1"/>
  <c r="AE26" i="1"/>
  <c r="AD26" i="1"/>
  <c r="X26" i="1"/>
  <c r="W26" i="1"/>
  <c r="V26" i="1"/>
  <c r="U26" i="1"/>
  <c r="O26" i="1"/>
  <c r="N26" i="1"/>
  <c r="M26" i="1"/>
  <c r="L26" i="1"/>
  <c r="BZ25" i="1"/>
  <c r="BY25" i="1"/>
  <c r="BX25" i="1"/>
  <c r="BW25" i="1"/>
  <c r="BQ25" i="1"/>
  <c r="BP25" i="1"/>
  <c r="BO25" i="1"/>
  <c r="BN25" i="1"/>
  <c r="BH25" i="1"/>
  <c r="BG25" i="1"/>
  <c r="BF25" i="1"/>
  <c r="BE25" i="1"/>
  <c r="AY25" i="1"/>
  <c r="AX25" i="1"/>
  <c r="AW25" i="1"/>
  <c r="AV25" i="1"/>
  <c r="AP25" i="1"/>
  <c r="AO25" i="1"/>
  <c r="AN25" i="1"/>
  <c r="AM25" i="1"/>
  <c r="AG25" i="1"/>
  <c r="AF25" i="1"/>
  <c r="AE25" i="1"/>
  <c r="AD25" i="1"/>
  <c r="X25" i="1"/>
  <c r="W25" i="1"/>
  <c r="V25" i="1"/>
  <c r="U25" i="1"/>
  <c r="O25" i="1"/>
  <c r="N25" i="1"/>
  <c r="M25" i="1"/>
  <c r="L25" i="1"/>
  <c r="BZ24" i="1"/>
  <c r="BY24" i="1"/>
  <c r="BX24" i="1"/>
  <c r="BW24" i="1"/>
  <c r="BQ24" i="1"/>
  <c r="BP24" i="1"/>
  <c r="BO24" i="1"/>
  <c r="BN24" i="1"/>
  <c r="BH24" i="1"/>
  <c r="BG24" i="1"/>
  <c r="BF24" i="1"/>
  <c r="BE24" i="1"/>
  <c r="AY24" i="1"/>
  <c r="AX24" i="1"/>
  <c r="AW24" i="1"/>
  <c r="AV24" i="1"/>
  <c r="AP24" i="1"/>
  <c r="AO24" i="1"/>
  <c r="AN24" i="1"/>
  <c r="AM24" i="1"/>
  <c r="AG24" i="1"/>
  <c r="AF24" i="1"/>
  <c r="AE24" i="1"/>
  <c r="AD24" i="1"/>
  <c r="X24" i="1"/>
  <c r="W24" i="1"/>
  <c r="V24" i="1"/>
  <c r="U24" i="1"/>
  <c r="O24" i="1"/>
  <c r="N24" i="1"/>
  <c r="M24" i="1"/>
  <c r="L24" i="1"/>
  <c r="BZ23" i="1"/>
  <c r="BY23" i="1"/>
  <c r="BX23" i="1"/>
  <c r="BW23" i="1"/>
  <c r="BQ23" i="1"/>
  <c r="BP23" i="1"/>
  <c r="BO23" i="1"/>
  <c r="BN23" i="1"/>
  <c r="BH23" i="1"/>
  <c r="BG23" i="1"/>
  <c r="BF23" i="1"/>
  <c r="BE23" i="1"/>
  <c r="AY23" i="1"/>
  <c r="AX23" i="1"/>
  <c r="AW23" i="1"/>
  <c r="AV23" i="1"/>
  <c r="AP23" i="1"/>
  <c r="AO23" i="1"/>
  <c r="AN23" i="1"/>
  <c r="AM23" i="1"/>
  <c r="AG23" i="1"/>
  <c r="AF23" i="1"/>
  <c r="AE23" i="1"/>
  <c r="AD23" i="1"/>
  <c r="X23" i="1"/>
  <c r="W23" i="1"/>
  <c r="V23" i="1"/>
  <c r="U23" i="1"/>
  <c r="O23" i="1"/>
  <c r="N23" i="1"/>
  <c r="M23" i="1"/>
  <c r="L23" i="1"/>
  <c r="BZ22" i="1"/>
  <c r="BY22" i="1"/>
  <c r="BX22" i="1"/>
  <c r="BW22" i="1"/>
  <c r="BQ22" i="1"/>
  <c r="BP22" i="1"/>
  <c r="BO22" i="1"/>
  <c r="BN22" i="1"/>
  <c r="BH22" i="1"/>
  <c r="BG22" i="1"/>
  <c r="BF22" i="1"/>
  <c r="BE22" i="1"/>
  <c r="AY22" i="1"/>
  <c r="AX22" i="1"/>
  <c r="AW22" i="1"/>
  <c r="AV22" i="1"/>
  <c r="AV30" i="1" s="1"/>
  <c r="AP22" i="1"/>
  <c r="AO22" i="1"/>
  <c r="AN22" i="1"/>
  <c r="AM22" i="1"/>
  <c r="AG22" i="1"/>
  <c r="AF22" i="1"/>
  <c r="AE22" i="1"/>
  <c r="AD22" i="1"/>
  <c r="X22" i="1"/>
  <c r="W22" i="1"/>
  <c r="V22" i="1"/>
  <c r="U22" i="1"/>
  <c r="O22" i="1"/>
  <c r="N22" i="1"/>
  <c r="M22" i="1"/>
  <c r="L22" i="1"/>
  <c r="L30" i="1" s="1"/>
  <c r="X36" i="1"/>
  <c r="W36" i="1"/>
  <c r="V36" i="1"/>
  <c r="N36" i="1"/>
  <c r="BX35" i="1"/>
  <c r="BQ35" i="1"/>
  <c r="BO35" i="1"/>
  <c r="BH35" i="1"/>
  <c r="BG35" i="1"/>
  <c r="AV35" i="1"/>
  <c r="AN35" i="1"/>
  <c r="X35" i="1"/>
  <c r="W35" i="1"/>
  <c r="O35" i="1"/>
  <c r="BX34" i="1"/>
  <c r="AY34" i="1"/>
  <c r="AX34" i="1"/>
  <c r="AV34" i="1"/>
  <c r="AN34" i="1"/>
  <c r="X34" i="1"/>
  <c r="BQ33" i="1"/>
  <c r="BO33" i="1"/>
  <c r="V33" i="1"/>
  <c r="L33" i="1"/>
  <c r="BO32" i="1"/>
  <c r="BN32" i="1"/>
  <c r="AN32" i="1"/>
  <c r="X32" i="1"/>
  <c r="W32" i="1"/>
  <c r="BO31" i="1"/>
  <c r="BH31" i="1"/>
  <c r="AY31" i="1"/>
  <c r="AX31" i="1"/>
  <c r="AV31" i="1"/>
  <c r="AN31" i="1"/>
  <c r="X31" i="1"/>
  <c r="W31" i="1"/>
  <c r="V31" i="1"/>
  <c r="X30" i="1"/>
  <c r="CD62" i="3"/>
  <c r="CC62" i="3"/>
  <c r="CB62" i="3"/>
  <c r="CA62" i="3"/>
  <c r="BT62" i="3"/>
  <c r="BS62" i="3"/>
  <c r="BR62" i="3"/>
  <c r="BQ62" i="3"/>
  <c r="BJ62" i="3"/>
  <c r="BI62" i="3"/>
  <c r="BH62" i="3"/>
  <c r="BG62" i="3"/>
  <c r="AZ62" i="3"/>
  <c r="AY62" i="3"/>
  <c r="AX62" i="3"/>
  <c r="AW62" i="3"/>
  <c r="AP62" i="3"/>
  <c r="AO62" i="3"/>
  <c r="AN62" i="3"/>
  <c r="AM62" i="3"/>
  <c r="AF62" i="3"/>
  <c r="AE62" i="3"/>
  <c r="AD62" i="3"/>
  <c r="AC62" i="3"/>
  <c r="V62" i="3"/>
  <c r="U62" i="3"/>
  <c r="T62" i="3"/>
  <c r="S62" i="3"/>
  <c r="L62" i="3"/>
  <c r="K62" i="3"/>
  <c r="J62" i="3"/>
  <c r="I62" i="3"/>
  <c r="CD61" i="3"/>
  <c r="CC61" i="3"/>
  <c r="CB61" i="3"/>
  <c r="CA61" i="3"/>
  <c r="BT61" i="3"/>
  <c r="BS61" i="3"/>
  <c r="BR61" i="3"/>
  <c r="BQ61" i="3"/>
  <c r="BJ61" i="3"/>
  <c r="BI61" i="3"/>
  <c r="BH61" i="3"/>
  <c r="BG61" i="3"/>
  <c r="AZ61" i="3"/>
  <c r="AY61" i="3"/>
  <c r="AX61" i="3"/>
  <c r="AW61" i="3"/>
  <c r="AP61" i="3"/>
  <c r="AO61" i="3"/>
  <c r="AN61" i="3"/>
  <c r="AM61" i="3"/>
  <c r="AF61" i="3"/>
  <c r="AE61" i="3"/>
  <c r="AD61" i="3"/>
  <c r="AC61" i="3"/>
  <c r="V61" i="3"/>
  <c r="U61" i="3"/>
  <c r="T61" i="3"/>
  <c r="S61" i="3"/>
  <c r="L61" i="3"/>
  <c r="K61" i="3"/>
  <c r="J61" i="3"/>
  <c r="I61" i="3"/>
  <c r="CD60" i="3"/>
  <c r="CC60" i="3"/>
  <c r="CB60" i="3"/>
  <c r="CA60" i="3"/>
  <c r="BT60" i="3"/>
  <c r="BS60" i="3"/>
  <c r="BR60" i="3"/>
  <c r="BQ60" i="3"/>
  <c r="BJ60" i="3"/>
  <c r="BI60" i="3"/>
  <c r="BH60" i="3"/>
  <c r="BG60" i="3"/>
  <c r="AZ60" i="3"/>
  <c r="AY60" i="3"/>
  <c r="AX60" i="3"/>
  <c r="AW60" i="3"/>
  <c r="AP60" i="3"/>
  <c r="AO60" i="3"/>
  <c r="AN60" i="3"/>
  <c r="AM60" i="3"/>
  <c r="AF60" i="3"/>
  <c r="AE60" i="3"/>
  <c r="AD60" i="3"/>
  <c r="AC60" i="3"/>
  <c r="V60" i="3"/>
  <c r="U60" i="3"/>
  <c r="T60" i="3"/>
  <c r="S60" i="3"/>
  <c r="L60" i="3"/>
  <c r="K60" i="3"/>
  <c r="J60" i="3"/>
  <c r="I60" i="3"/>
  <c r="CD59" i="3"/>
  <c r="CC59" i="3"/>
  <c r="CB59" i="3"/>
  <c r="CA59" i="3"/>
  <c r="BT59" i="3"/>
  <c r="BS59" i="3"/>
  <c r="BR59" i="3"/>
  <c r="BQ59" i="3"/>
  <c r="BJ59" i="3"/>
  <c r="BI59" i="3"/>
  <c r="BH59" i="3"/>
  <c r="BG59" i="3"/>
  <c r="AZ59" i="3"/>
  <c r="AY59" i="3"/>
  <c r="AX59" i="3"/>
  <c r="AW59" i="3"/>
  <c r="AP59" i="3"/>
  <c r="AO59" i="3"/>
  <c r="AN59" i="3"/>
  <c r="AM59" i="3"/>
  <c r="AF59" i="3"/>
  <c r="AE59" i="3"/>
  <c r="AD59" i="3"/>
  <c r="AC59" i="3"/>
  <c r="V59" i="3"/>
  <c r="U59" i="3"/>
  <c r="T59" i="3"/>
  <c r="S59" i="3"/>
  <c r="L59" i="3"/>
  <c r="K59" i="3"/>
  <c r="J59" i="3"/>
  <c r="I59" i="3"/>
  <c r="CD58" i="3"/>
  <c r="CC58" i="3"/>
  <c r="CB58" i="3"/>
  <c r="CA58" i="3"/>
  <c r="BT58" i="3"/>
  <c r="BS58" i="3"/>
  <c r="BR58" i="3"/>
  <c r="BQ58" i="3"/>
  <c r="BJ58" i="3"/>
  <c r="BI58" i="3"/>
  <c r="BH58" i="3"/>
  <c r="BG58" i="3"/>
  <c r="AZ58" i="3"/>
  <c r="AY58" i="3"/>
  <c r="AX58" i="3"/>
  <c r="AW58" i="3"/>
  <c r="AP58" i="3"/>
  <c r="AO58" i="3"/>
  <c r="AN58" i="3"/>
  <c r="AM58" i="3"/>
  <c r="AF58" i="3"/>
  <c r="AE58" i="3"/>
  <c r="AD58" i="3"/>
  <c r="AC58" i="3"/>
  <c r="V58" i="3"/>
  <c r="U58" i="3"/>
  <c r="T58" i="3"/>
  <c r="S58" i="3"/>
  <c r="L58" i="3"/>
  <c r="K58" i="3"/>
  <c r="J58" i="3"/>
  <c r="I58" i="3"/>
  <c r="CD57" i="3"/>
  <c r="CC57" i="3"/>
  <c r="CB57" i="3"/>
  <c r="CA57" i="3"/>
  <c r="BT57" i="3"/>
  <c r="BS57" i="3"/>
  <c r="BR57" i="3"/>
  <c r="BQ57" i="3"/>
  <c r="BJ57" i="3"/>
  <c r="BI57" i="3"/>
  <c r="BH57" i="3"/>
  <c r="BG57" i="3"/>
  <c r="AZ57" i="3"/>
  <c r="AY57" i="3"/>
  <c r="AX57" i="3"/>
  <c r="AW57" i="3"/>
  <c r="AP57" i="3"/>
  <c r="AO57" i="3"/>
  <c r="AN57" i="3"/>
  <c r="AM57" i="3"/>
  <c r="AF57" i="3"/>
  <c r="AE57" i="3"/>
  <c r="AD57" i="3"/>
  <c r="AC57" i="3"/>
  <c r="V57" i="3"/>
  <c r="U57" i="3"/>
  <c r="T57" i="3"/>
  <c r="S57" i="3"/>
  <c r="L57" i="3"/>
  <c r="K57" i="3"/>
  <c r="J57" i="3"/>
  <c r="I57" i="3"/>
  <c r="CD56" i="3"/>
  <c r="CC56" i="3"/>
  <c r="CB56" i="3"/>
  <c r="CA56" i="3"/>
  <c r="BT56" i="3"/>
  <c r="BS56" i="3"/>
  <c r="BR56" i="3"/>
  <c r="BQ56" i="3"/>
  <c r="BJ56" i="3"/>
  <c r="BI56" i="3"/>
  <c r="BH56" i="3"/>
  <c r="BG56" i="3"/>
  <c r="AZ56" i="3"/>
  <c r="AY56" i="3"/>
  <c r="AX56" i="3"/>
  <c r="AW56" i="3"/>
  <c r="AP56" i="3"/>
  <c r="AO56" i="3"/>
  <c r="AN56" i="3"/>
  <c r="AM56" i="3"/>
  <c r="AF56" i="3"/>
  <c r="AE56" i="3"/>
  <c r="AD56" i="3"/>
  <c r="AC56" i="3"/>
  <c r="V56" i="3"/>
  <c r="U56" i="3"/>
  <c r="T56" i="3"/>
  <c r="S56" i="3"/>
  <c r="L56" i="3"/>
  <c r="K56" i="3"/>
  <c r="J56" i="3"/>
  <c r="I56" i="3"/>
  <c r="CD55" i="3"/>
  <c r="CC55" i="3"/>
  <c r="CB55" i="3"/>
  <c r="CA55" i="3"/>
  <c r="BT55" i="3"/>
  <c r="BS55" i="3"/>
  <c r="BR55" i="3"/>
  <c r="BQ55" i="3"/>
  <c r="BJ55" i="3"/>
  <c r="BI55" i="3"/>
  <c r="BH55" i="3"/>
  <c r="BG55" i="3"/>
  <c r="AZ55" i="3"/>
  <c r="AY55" i="3"/>
  <c r="AX55" i="3"/>
  <c r="AW55" i="3"/>
  <c r="AP55" i="3"/>
  <c r="AO55" i="3"/>
  <c r="AN55" i="3"/>
  <c r="AM55" i="3"/>
  <c r="AF55" i="3"/>
  <c r="AE55" i="3"/>
  <c r="AD55" i="3"/>
  <c r="AC55" i="3"/>
  <c r="V55" i="3"/>
  <c r="U55" i="3"/>
  <c r="T55" i="3"/>
  <c r="S55" i="3"/>
  <c r="L55" i="3"/>
  <c r="K55" i="3"/>
  <c r="J55" i="3"/>
  <c r="I55" i="3"/>
  <c r="CD54" i="3"/>
  <c r="CC54" i="3"/>
  <c r="CB54" i="3"/>
  <c r="CA54" i="3"/>
  <c r="BT54" i="3"/>
  <c r="BS54" i="3"/>
  <c r="BR54" i="3"/>
  <c r="BQ54" i="3"/>
  <c r="BJ54" i="3"/>
  <c r="BI54" i="3"/>
  <c r="BH54" i="3"/>
  <c r="BG54" i="3"/>
  <c r="AZ54" i="3"/>
  <c r="AY54" i="3"/>
  <c r="AX54" i="3"/>
  <c r="AW54" i="3"/>
  <c r="AP54" i="3"/>
  <c r="AO54" i="3"/>
  <c r="AN54" i="3"/>
  <c r="AM54" i="3"/>
  <c r="AF54" i="3"/>
  <c r="AE54" i="3"/>
  <c r="AD54" i="3"/>
  <c r="AC54" i="3"/>
  <c r="V54" i="3"/>
  <c r="U54" i="3"/>
  <c r="T54" i="3"/>
  <c r="S54" i="3"/>
  <c r="L54" i="3"/>
  <c r="K54" i="3"/>
  <c r="J54" i="3"/>
  <c r="I54" i="3"/>
  <c r="CD53" i="3"/>
  <c r="CC53" i="3"/>
  <c r="CB53" i="3"/>
  <c r="CA53" i="3"/>
  <c r="BT53" i="3"/>
  <c r="BS53" i="3"/>
  <c r="BR53" i="3"/>
  <c r="BQ53" i="3"/>
  <c r="BJ53" i="3"/>
  <c r="BI53" i="3"/>
  <c r="BH53" i="3"/>
  <c r="BG53" i="3"/>
  <c r="AZ53" i="3"/>
  <c r="AY53" i="3"/>
  <c r="AX53" i="3"/>
  <c r="AW53" i="3"/>
  <c r="AP53" i="3"/>
  <c r="AO53" i="3"/>
  <c r="AN53" i="3"/>
  <c r="AM53" i="3"/>
  <c r="AF53" i="3"/>
  <c r="AE53" i="3"/>
  <c r="AD53" i="3"/>
  <c r="AC53" i="3"/>
  <c r="V53" i="3"/>
  <c r="U53" i="3"/>
  <c r="T53" i="3"/>
  <c r="S53" i="3"/>
  <c r="L53" i="3"/>
  <c r="K53" i="3"/>
  <c r="J53" i="3"/>
  <c r="I53" i="3"/>
  <c r="CD52" i="3"/>
  <c r="CC52" i="3"/>
  <c r="CB52" i="3"/>
  <c r="CA52" i="3"/>
  <c r="BT52" i="3"/>
  <c r="BS52" i="3"/>
  <c r="BR52" i="3"/>
  <c r="BQ52" i="3"/>
  <c r="BJ52" i="3"/>
  <c r="BI52" i="3"/>
  <c r="BH52" i="3"/>
  <c r="BG52" i="3"/>
  <c r="AZ52" i="3"/>
  <c r="AY52" i="3"/>
  <c r="AX52" i="3"/>
  <c r="AW52" i="3"/>
  <c r="AP52" i="3"/>
  <c r="AO52" i="3"/>
  <c r="AN52" i="3"/>
  <c r="AM52" i="3"/>
  <c r="AF52" i="3"/>
  <c r="AE52" i="3"/>
  <c r="AD52" i="3"/>
  <c r="AC52" i="3"/>
  <c r="V52" i="3"/>
  <c r="U52" i="3"/>
  <c r="T52" i="3"/>
  <c r="S52" i="3"/>
  <c r="L52" i="3"/>
  <c r="K52" i="3"/>
  <c r="J52" i="3"/>
  <c r="I52" i="3"/>
  <c r="CD51" i="3"/>
  <c r="CC51" i="3"/>
  <c r="CB51" i="3"/>
  <c r="CA51" i="3"/>
  <c r="BT51" i="3"/>
  <c r="BS51" i="3"/>
  <c r="BR51" i="3"/>
  <c r="BQ51" i="3"/>
  <c r="BJ51" i="3"/>
  <c r="BI51" i="3"/>
  <c r="BH51" i="3"/>
  <c r="BG51" i="3"/>
  <c r="AZ51" i="3"/>
  <c r="AY51" i="3"/>
  <c r="AX51" i="3"/>
  <c r="AW51" i="3"/>
  <c r="AP51" i="3"/>
  <c r="AO51" i="3"/>
  <c r="AN51" i="3"/>
  <c r="AM51" i="3"/>
  <c r="AF51" i="3"/>
  <c r="AE51" i="3"/>
  <c r="AD51" i="3"/>
  <c r="AC51" i="3"/>
  <c r="V51" i="3"/>
  <c r="U51" i="3"/>
  <c r="T51" i="3"/>
  <c r="S51" i="3"/>
  <c r="L51" i="3"/>
  <c r="K51" i="3"/>
  <c r="J51" i="3"/>
  <c r="I51" i="3"/>
  <c r="CD50" i="3"/>
  <c r="CC50" i="3"/>
  <c r="CB50" i="3"/>
  <c r="CA50" i="3"/>
  <c r="BT50" i="3"/>
  <c r="BS50" i="3"/>
  <c r="BR50" i="3"/>
  <c r="BQ50" i="3"/>
  <c r="BJ50" i="3"/>
  <c r="BI50" i="3"/>
  <c r="BH50" i="3"/>
  <c r="BG50" i="3"/>
  <c r="AZ50" i="3"/>
  <c r="AY50" i="3"/>
  <c r="AX50" i="3"/>
  <c r="AW50" i="3"/>
  <c r="AP50" i="3"/>
  <c r="AO50" i="3"/>
  <c r="AN50" i="3"/>
  <c r="AM50" i="3"/>
  <c r="AF50" i="3"/>
  <c r="AE50" i="3"/>
  <c r="AD50" i="3"/>
  <c r="AC50" i="3"/>
  <c r="V50" i="3"/>
  <c r="U50" i="3"/>
  <c r="T50" i="3"/>
  <c r="S50" i="3"/>
  <c r="L50" i="3"/>
  <c r="K50" i="3"/>
  <c r="J50" i="3"/>
  <c r="I50" i="3"/>
  <c r="CD49" i="3"/>
  <c r="CC49" i="3"/>
  <c r="CB49" i="3"/>
  <c r="CA49" i="3"/>
  <c r="BT49" i="3"/>
  <c r="BS49" i="3"/>
  <c r="BR49" i="3"/>
  <c r="BQ49" i="3"/>
  <c r="BJ49" i="3"/>
  <c r="BI49" i="3"/>
  <c r="BH49" i="3"/>
  <c r="BG49" i="3"/>
  <c r="AZ49" i="3"/>
  <c r="AY49" i="3"/>
  <c r="AX49" i="3"/>
  <c r="AW49" i="3"/>
  <c r="AP49" i="3"/>
  <c r="AO49" i="3"/>
  <c r="AN49" i="3"/>
  <c r="AM49" i="3"/>
  <c r="AF49" i="3"/>
  <c r="AE49" i="3"/>
  <c r="AD49" i="3"/>
  <c r="AC49" i="3"/>
  <c r="V49" i="3"/>
  <c r="U49" i="3"/>
  <c r="T49" i="3"/>
  <c r="S49" i="3"/>
  <c r="L49" i="3"/>
  <c r="K49" i="3"/>
  <c r="J49" i="3"/>
  <c r="I49" i="3"/>
  <c r="CC48" i="3"/>
  <c r="CB48" i="3"/>
  <c r="CA48" i="3"/>
  <c r="BS48" i="3"/>
  <c r="BR48" i="3"/>
  <c r="BQ48" i="3"/>
  <c r="BI48" i="3"/>
  <c r="BH48" i="3"/>
  <c r="BG48" i="3"/>
  <c r="AY48" i="3"/>
  <c r="AX48" i="3"/>
  <c r="AW48" i="3"/>
  <c r="AO48" i="3"/>
  <c r="AN48" i="3"/>
  <c r="AM48" i="3"/>
  <c r="AE48" i="3"/>
  <c r="AD48" i="3"/>
  <c r="AC48" i="3"/>
  <c r="U48" i="3"/>
  <c r="T48" i="3"/>
  <c r="S48" i="3"/>
  <c r="K48" i="3"/>
  <c r="J48" i="3"/>
  <c r="I48" i="3"/>
  <c r="CC47" i="3"/>
  <c r="CB47" i="3"/>
  <c r="CA47" i="3"/>
  <c r="BS47" i="3"/>
  <c r="BR47" i="3"/>
  <c r="BQ47" i="3"/>
  <c r="BI47" i="3"/>
  <c r="BH47" i="3"/>
  <c r="BG47" i="3"/>
  <c r="AY47" i="3"/>
  <c r="AX47" i="3"/>
  <c r="AW47" i="3"/>
  <c r="AO47" i="3"/>
  <c r="AN47" i="3"/>
  <c r="AM47" i="3"/>
  <c r="AE47" i="3"/>
  <c r="AD47" i="3"/>
  <c r="AC47" i="3"/>
  <c r="U47" i="3"/>
  <c r="T47" i="3"/>
  <c r="S47" i="3"/>
  <c r="K47" i="3"/>
  <c r="J47" i="3"/>
  <c r="I47" i="3"/>
  <c r="CC46" i="3"/>
  <c r="CB46" i="3"/>
  <c r="CA46" i="3"/>
  <c r="BS46" i="3"/>
  <c r="BR46" i="3"/>
  <c r="BQ46" i="3"/>
  <c r="BI46" i="3"/>
  <c r="BH46" i="3"/>
  <c r="BG46" i="3"/>
  <c r="AY46" i="3"/>
  <c r="AX46" i="3"/>
  <c r="AW46" i="3"/>
  <c r="AO46" i="3"/>
  <c r="AN46" i="3"/>
  <c r="AM46" i="3"/>
  <c r="AE46" i="3"/>
  <c r="AD46" i="3"/>
  <c r="AC46" i="3"/>
  <c r="U46" i="3"/>
  <c r="T46" i="3"/>
  <c r="S46" i="3"/>
  <c r="K46" i="3"/>
  <c r="J46" i="3"/>
  <c r="I46" i="3"/>
  <c r="CC45" i="3"/>
  <c r="CB45" i="3"/>
  <c r="CA45" i="3"/>
  <c r="BS45" i="3"/>
  <c r="BR45" i="3"/>
  <c r="BQ45" i="3"/>
  <c r="BI45" i="3"/>
  <c r="BH45" i="3"/>
  <c r="BG45" i="3"/>
  <c r="AY45" i="3"/>
  <c r="AX45" i="3"/>
  <c r="AW45" i="3"/>
  <c r="AO45" i="3"/>
  <c r="AN45" i="3"/>
  <c r="AM45" i="3"/>
  <c r="AE45" i="3"/>
  <c r="AD45" i="3"/>
  <c r="AC45" i="3"/>
  <c r="U45" i="3"/>
  <c r="T45" i="3"/>
  <c r="S45" i="3"/>
  <c r="K45" i="3"/>
  <c r="J45" i="3"/>
  <c r="I45" i="3"/>
  <c r="CC44" i="3"/>
  <c r="BY6" i="3" s="1"/>
  <c r="CB44" i="3"/>
  <c r="CA44" i="3"/>
  <c r="BW6" i="3" s="1"/>
  <c r="BS44" i="3"/>
  <c r="BR44" i="3"/>
  <c r="BN6" i="3" s="1"/>
  <c r="BQ44" i="3"/>
  <c r="BI44" i="3"/>
  <c r="BH44" i="3"/>
  <c r="BG44" i="3"/>
  <c r="AY44" i="3"/>
  <c r="AU6" i="3" s="1"/>
  <c r="AX44" i="3"/>
  <c r="AW44" i="3"/>
  <c r="AO44" i="3"/>
  <c r="AN44" i="3"/>
  <c r="AM44" i="3"/>
  <c r="AI6" i="3" s="1"/>
  <c r="AE44" i="3"/>
  <c r="AD44" i="3"/>
  <c r="Z6" i="3" s="1"/>
  <c r="AC44" i="3"/>
  <c r="U44" i="3"/>
  <c r="Q6" i="3" s="1"/>
  <c r="T44" i="3"/>
  <c r="P6" i="3" s="1"/>
  <c r="S44" i="3"/>
  <c r="O6" i="3" s="1"/>
  <c r="K44" i="3"/>
  <c r="G6" i="3" s="1"/>
  <c r="J44" i="3"/>
  <c r="I44" i="3"/>
  <c r="E6" i="3" s="1"/>
  <c r="CC43" i="3"/>
  <c r="CB43" i="3"/>
  <c r="CA43" i="3"/>
  <c r="BS43" i="3"/>
  <c r="BR43" i="3"/>
  <c r="BQ43" i="3"/>
  <c r="BI43" i="3"/>
  <c r="BE6" i="3" s="1"/>
  <c r="BH43" i="3"/>
  <c r="BD6" i="3" s="1"/>
  <c r="BG43" i="3"/>
  <c r="BC6" i="3" s="1"/>
  <c r="AY43" i="3"/>
  <c r="AX43" i="3"/>
  <c r="AT6" i="3" s="1"/>
  <c r="AW43" i="3"/>
  <c r="AO43" i="3"/>
  <c r="AK6" i="3" s="1"/>
  <c r="AN43" i="3"/>
  <c r="AJ6" i="3" s="1"/>
  <c r="AM43" i="3"/>
  <c r="AE43" i="3"/>
  <c r="AA6" i="3" s="1"/>
  <c r="AD43" i="3"/>
  <c r="AC43" i="3"/>
  <c r="U43" i="3"/>
  <c r="T43" i="3"/>
  <c r="S43" i="3"/>
  <c r="K43" i="3"/>
  <c r="J43" i="3"/>
  <c r="I43" i="3"/>
  <c r="CC42" i="3"/>
  <c r="CB42" i="3"/>
  <c r="CA42" i="3"/>
  <c r="BS42" i="3"/>
  <c r="BR42" i="3"/>
  <c r="BQ42" i="3"/>
  <c r="BI42" i="3"/>
  <c r="BH42" i="3"/>
  <c r="BG42" i="3"/>
  <c r="AY42" i="3"/>
  <c r="AX42" i="3"/>
  <c r="AW42" i="3"/>
  <c r="AO42" i="3"/>
  <c r="AN42" i="3"/>
  <c r="AM42" i="3"/>
  <c r="AE42" i="3"/>
  <c r="AD42" i="3"/>
  <c r="AC42" i="3"/>
  <c r="U42" i="3"/>
  <c r="T42" i="3"/>
  <c r="S42" i="3"/>
  <c r="K42" i="3"/>
  <c r="J42" i="3"/>
  <c r="I42" i="3"/>
  <c r="CC41" i="3"/>
  <c r="CB41" i="3"/>
  <c r="CA41" i="3"/>
  <c r="BS41" i="3"/>
  <c r="BR41" i="3"/>
  <c r="BQ41" i="3"/>
  <c r="BI41" i="3"/>
  <c r="BH41" i="3"/>
  <c r="BG41" i="3"/>
  <c r="AY41" i="3"/>
  <c r="AX41" i="3"/>
  <c r="AW41" i="3"/>
  <c r="AO41" i="3"/>
  <c r="AN41" i="3"/>
  <c r="AM41" i="3"/>
  <c r="AE41" i="3"/>
  <c r="AD41" i="3"/>
  <c r="AC41" i="3"/>
  <c r="U41" i="3"/>
  <c r="T41" i="3"/>
  <c r="S41" i="3"/>
  <c r="K41" i="3"/>
  <c r="J41" i="3"/>
  <c r="I41" i="3"/>
  <c r="CC40" i="3"/>
  <c r="CB40" i="3"/>
  <c r="CA40" i="3"/>
  <c r="BS40" i="3"/>
  <c r="BR40" i="3"/>
  <c r="BQ40" i="3"/>
  <c r="BI40" i="3"/>
  <c r="BH40" i="3"/>
  <c r="BG40" i="3"/>
  <c r="AY40" i="3"/>
  <c r="AX40" i="3"/>
  <c r="AW40" i="3"/>
  <c r="AO40" i="3"/>
  <c r="AN40" i="3"/>
  <c r="AM40" i="3"/>
  <c r="AE40" i="3"/>
  <c r="AD40" i="3"/>
  <c r="AC40" i="3"/>
  <c r="U40" i="3"/>
  <c r="T40" i="3"/>
  <c r="S40" i="3"/>
  <c r="K40" i="3"/>
  <c r="J40" i="3"/>
  <c r="I40" i="3"/>
  <c r="CC39" i="3"/>
  <c r="CB39" i="3"/>
  <c r="CA39" i="3"/>
  <c r="BS39" i="3"/>
  <c r="BR39" i="3"/>
  <c r="BQ39" i="3"/>
  <c r="BI39" i="3"/>
  <c r="BH39" i="3"/>
  <c r="BG39" i="3"/>
  <c r="AY39" i="3"/>
  <c r="AX39" i="3"/>
  <c r="AW39" i="3"/>
  <c r="AO39" i="3"/>
  <c r="AN39" i="3"/>
  <c r="AM39" i="3"/>
  <c r="AE39" i="3"/>
  <c r="AD39" i="3"/>
  <c r="AC39" i="3"/>
  <c r="U39" i="3"/>
  <c r="T39" i="3"/>
  <c r="S39" i="3"/>
  <c r="K39" i="3"/>
  <c r="J39" i="3"/>
  <c r="I39" i="3"/>
  <c r="CC38" i="3"/>
  <c r="CB38" i="3"/>
  <c r="CA38" i="3"/>
  <c r="BS38" i="3"/>
  <c r="BR38" i="3"/>
  <c r="BQ38" i="3"/>
  <c r="BI38" i="3"/>
  <c r="BH38" i="3"/>
  <c r="BG38" i="3"/>
  <c r="AY38" i="3"/>
  <c r="AX38" i="3"/>
  <c r="AW38" i="3"/>
  <c r="AO38" i="3"/>
  <c r="AN38" i="3"/>
  <c r="AM38" i="3"/>
  <c r="AE38" i="3"/>
  <c r="AD38" i="3"/>
  <c r="AC38" i="3"/>
  <c r="U38" i="3"/>
  <c r="T38" i="3"/>
  <c r="S38" i="3"/>
  <c r="K38" i="3"/>
  <c r="J38" i="3"/>
  <c r="I38" i="3"/>
  <c r="CC37" i="3"/>
  <c r="CB37" i="3"/>
  <c r="CA37" i="3"/>
  <c r="BS37" i="3"/>
  <c r="BR37" i="3"/>
  <c r="BQ37" i="3"/>
  <c r="BI37" i="3"/>
  <c r="BH37" i="3"/>
  <c r="BG37" i="3"/>
  <c r="AY37" i="3"/>
  <c r="AX37" i="3"/>
  <c r="AW37" i="3"/>
  <c r="AO37" i="3"/>
  <c r="AN37" i="3"/>
  <c r="AM37" i="3"/>
  <c r="AE37" i="3"/>
  <c r="AD37" i="3"/>
  <c r="AC37" i="3"/>
  <c r="U37" i="3"/>
  <c r="T37" i="3"/>
  <c r="S37" i="3"/>
  <c r="K37" i="3"/>
  <c r="J37" i="3"/>
  <c r="I37" i="3"/>
  <c r="CC36" i="3"/>
  <c r="CB36" i="3"/>
  <c r="CA36" i="3"/>
  <c r="BS36" i="3"/>
  <c r="BR36" i="3"/>
  <c r="BQ36" i="3"/>
  <c r="BI36" i="3"/>
  <c r="BH36" i="3"/>
  <c r="BG36" i="3"/>
  <c r="AY36" i="3"/>
  <c r="AX36" i="3"/>
  <c r="AW36" i="3"/>
  <c r="AO36" i="3"/>
  <c r="AN36" i="3"/>
  <c r="AM36" i="3"/>
  <c r="AE36" i="3"/>
  <c r="AD36" i="3"/>
  <c r="AC36" i="3"/>
  <c r="U36" i="3"/>
  <c r="T36" i="3"/>
  <c r="S36" i="3"/>
  <c r="K36" i="3"/>
  <c r="J36" i="3"/>
  <c r="I36" i="3"/>
  <c r="CC35" i="3"/>
  <c r="CB35" i="3"/>
  <c r="CA35" i="3"/>
  <c r="BS35" i="3"/>
  <c r="BR35" i="3"/>
  <c r="BQ35" i="3"/>
  <c r="BI35" i="3"/>
  <c r="BH35" i="3"/>
  <c r="BG35" i="3"/>
  <c r="AY35" i="3"/>
  <c r="AX35" i="3"/>
  <c r="AW35" i="3"/>
  <c r="AO35" i="3"/>
  <c r="AN35" i="3"/>
  <c r="AM35" i="3"/>
  <c r="AE35" i="3"/>
  <c r="AD35" i="3"/>
  <c r="AC35" i="3"/>
  <c r="U35" i="3"/>
  <c r="T35" i="3"/>
  <c r="S35" i="3"/>
  <c r="K35" i="3"/>
  <c r="J35" i="3"/>
  <c r="I35" i="3"/>
  <c r="CC34" i="3"/>
  <c r="BY5" i="3" s="1"/>
  <c r="CB34" i="3"/>
  <c r="CA34" i="3"/>
  <c r="BW5" i="3" s="1"/>
  <c r="BS34" i="3"/>
  <c r="BR34" i="3"/>
  <c r="BN5" i="3" s="1"/>
  <c r="BQ34" i="3"/>
  <c r="BI34" i="3"/>
  <c r="BH34" i="3"/>
  <c r="BG34" i="3"/>
  <c r="AY34" i="3"/>
  <c r="AU5" i="3" s="1"/>
  <c r="AX34" i="3"/>
  <c r="AW34" i="3"/>
  <c r="AO34" i="3"/>
  <c r="AN34" i="3"/>
  <c r="AM34" i="3"/>
  <c r="AI5" i="3" s="1"/>
  <c r="AE34" i="3"/>
  <c r="AD34" i="3"/>
  <c r="Z5" i="3" s="1"/>
  <c r="AC34" i="3"/>
  <c r="U34" i="3"/>
  <c r="Q5" i="3" s="1"/>
  <c r="T34" i="3"/>
  <c r="S34" i="3"/>
  <c r="O5" i="3" s="1"/>
  <c r="K34" i="3"/>
  <c r="G5" i="3" s="1"/>
  <c r="J34" i="3"/>
  <c r="I34" i="3"/>
  <c r="E5" i="3" s="1"/>
  <c r="CC33" i="3"/>
  <c r="CB33" i="3"/>
  <c r="CA33" i="3"/>
  <c r="BS33" i="3"/>
  <c r="BR33" i="3"/>
  <c r="BQ33" i="3"/>
  <c r="BI33" i="3"/>
  <c r="BE5" i="3" s="1"/>
  <c r="BH33" i="3"/>
  <c r="BD5" i="3" s="1"/>
  <c r="BG33" i="3"/>
  <c r="BC5" i="3" s="1"/>
  <c r="AY33" i="3"/>
  <c r="AX33" i="3"/>
  <c r="AT5" i="3" s="1"/>
  <c r="AW33" i="3"/>
  <c r="AO33" i="3"/>
  <c r="AK5" i="3" s="1"/>
  <c r="AN33" i="3"/>
  <c r="AJ5" i="3" s="1"/>
  <c r="AM33" i="3"/>
  <c r="AE33" i="3"/>
  <c r="AA5" i="3" s="1"/>
  <c r="AD33" i="3"/>
  <c r="AC33" i="3"/>
  <c r="U33" i="3"/>
  <c r="T33" i="3"/>
  <c r="P5" i="3" s="1"/>
  <c r="S33" i="3"/>
  <c r="K33" i="3"/>
  <c r="J33" i="3"/>
  <c r="I33" i="3"/>
  <c r="CC32" i="3"/>
  <c r="CB32" i="3"/>
  <c r="CA32" i="3"/>
  <c r="BS32" i="3"/>
  <c r="BR32" i="3"/>
  <c r="BQ32" i="3"/>
  <c r="BI32" i="3"/>
  <c r="BH32" i="3"/>
  <c r="BG32" i="3"/>
  <c r="AY32" i="3"/>
  <c r="AX32" i="3"/>
  <c r="AW32" i="3"/>
  <c r="AO32" i="3"/>
  <c r="AN32" i="3"/>
  <c r="AM32" i="3"/>
  <c r="AE32" i="3"/>
  <c r="AD32" i="3"/>
  <c r="AC32" i="3"/>
  <c r="U32" i="3"/>
  <c r="T32" i="3"/>
  <c r="S32" i="3"/>
  <c r="K32" i="3"/>
  <c r="J32" i="3"/>
  <c r="I32" i="3"/>
  <c r="CC31" i="3"/>
  <c r="CB31" i="3"/>
  <c r="CA31" i="3"/>
  <c r="BS31" i="3"/>
  <c r="BR31" i="3"/>
  <c r="BQ31" i="3"/>
  <c r="BI31" i="3"/>
  <c r="BH31" i="3"/>
  <c r="BG31" i="3"/>
  <c r="AY31" i="3"/>
  <c r="AX31" i="3"/>
  <c r="AW31" i="3"/>
  <c r="AO31" i="3"/>
  <c r="AN31" i="3"/>
  <c r="AM31" i="3"/>
  <c r="AE31" i="3"/>
  <c r="AD31" i="3"/>
  <c r="AC31" i="3"/>
  <c r="U31" i="3"/>
  <c r="T31" i="3"/>
  <c r="S31" i="3"/>
  <c r="K31" i="3"/>
  <c r="J31" i="3"/>
  <c r="I31" i="3"/>
  <c r="CC30" i="3"/>
  <c r="CB30" i="3"/>
  <c r="CA30" i="3"/>
  <c r="BS30" i="3"/>
  <c r="BR30" i="3"/>
  <c r="BQ30" i="3"/>
  <c r="BI30" i="3"/>
  <c r="BH30" i="3"/>
  <c r="BG30" i="3"/>
  <c r="AY30" i="3"/>
  <c r="AX30" i="3"/>
  <c r="AW30" i="3"/>
  <c r="AO30" i="3"/>
  <c r="AN30" i="3"/>
  <c r="AM30" i="3"/>
  <c r="AE30" i="3"/>
  <c r="AD30" i="3"/>
  <c r="AC30" i="3"/>
  <c r="U30" i="3"/>
  <c r="T30" i="3"/>
  <c r="S30" i="3"/>
  <c r="K30" i="3"/>
  <c r="J30" i="3"/>
  <c r="I30" i="3"/>
  <c r="CC29" i="3"/>
  <c r="CB29" i="3"/>
  <c r="CA29" i="3"/>
  <c r="BS29" i="3"/>
  <c r="BR29" i="3"/>
  <c r="BQ29" i="3"/>
  <c r="BI29" i="3"/>
  <c r="BH29" i="3"/>
  <c r="BG29" i="3"/>
  <c r="AY29" i="3"/>
  <c r="AX29" i="3"/>
  <c r="AW29" i="3"/>
  <c r="AO29" i="3"/>
  <c r="AN29" i="3"/>
  <c r="AM29" i="3"/>
  <c r="AE29" i="3"/>
  <c r="AD29" i="3"/>
  <c r="AC29" i="3"/>
  <c r="U29" i="3"/>
  <c r="T29" i="3"/>
  <c r="S29" i="3"/>
  <c r="K29" i="3"/>
  <c r="J29" i="3"/>
  <c r="I29" i="3"/>
  <c r="CC28" i="3"/>
  <c r="CB28" i="3"/>
  <c r="CA28" i="3"/>
  <c r="BS28" i="3"/>
  <c r="BR28" i="3"/>
  <c r="BQ28" i="3"/>
  <c r="BI28" i="3"/>
  <c r="BH28" i="3"/>
  <c r="BG28" i="3"/>
  <c r="AY28" i="3"/>
  <c r="AX28" i="3"/>
  <c r="AW28" i="3"/>
  <c r="AO28" i="3"/>
  <c r="AN28" i="3"/>
  <c r="AM28" i="3"/>
  <c r="AE28" i="3"/>
  <c r="AD28" i="3"/>
  <c r="AC28" i="3"/>
  <c r="U28" i="3"/>
  <c r="T28" i="3"/>
  <c r="S28" i="3"/>
  <c r="K28" i="3"/>
  <c r="J28" i="3"/>
  <c r="I28" i="3"/>
  <c r="CC27" i="3"/>
  <c r="CB27" i="3"/>
  <c r="CA27" i="3"/>
  <c r="BS27" i="3"/>
  <c r="BR27" i="3"/>
  <c r="BQ27" i="3"/>
  <c r="BI27" i="3"/>
  <c r="BH27" i="3"/>
  <c r="BG27" i="3"/>
  <c r="AY27" i="3"/>
  <c r="AX27" i="3"/>
  <c r="AW27" i="3"/>
  <c r="AO27" i="3"/>
  <c r="AN27" i="3"/>
  <c r="AM27" i="3"/>
  <c r="AE27" i="3"/>
  <c r="AD27" i="3"/>
  <c r="AC27" i="3"/>
  <c r="U27" i="3"/>
  <c r="T27" i="3"/>
  <c r="S27" i="3"/>
  <c r="K27" i="3"/>
  <c r="J27" i="3"/>
  <c r="I27" i="3"/>
  <c r="CC26" i="3"/>
  <c r="CB26" i="3"/>
  <c r="CA26" i="3"/>
  <c r="BS26" i="3"/>
  <c r="BR26" i="3"/>
  <c r="BQ26" i="3"/>
  <c r="BI26" i="3"/>
  <c r="BH26" i="3"/>
  <c r="BG26" i="3"/>
  <c r="AY26" i="3"/>
  <c r="AX26" i="3"/>
  <c r="AW26" i="3"/>
  <c r="AO26" i="3"/>
  <c r="AN26" i="3"/>
  <c r="AM26" i="3"/>
  <c r="AE26" i="3"/>
  <c r="AD26" i="3"/>
  <c r="AC26" i="3"/>
  <c r="U26" i="3"/>
  <c r="T26" i="3"/>
  <c r="S26" i="3"/>
  <c r="K26" i="3"/>
  <c r="J26" i="3"/>
  <c r="I26" i="3"/>
  <c r="CC25" i="3"/>
  <c r="CB25" i="3"/>
  <c r="CA25" i="3"/>
  <c r="BS25" i="3"/>
  <c r="BR25" i="3"/>
  <c r="BQ25" i="3"/>
  <c r="BI25" i="3"/>
  <c r="BH25" i="3"/>
  <c r="BG25" i="3"/>
  <c r="AY25" i="3"/>
  <c r="AX25" i="3"/>
  <c r="AW25" i="3"/>
  <c r="AO25" i="3"/>
  <c r="AN25" i="3"/>
  <c r="AM25" i="3"/>
  <c r="AE25" i="3"/>
  <c r="AD25" i="3"/>
  <c r="AC25" i="3"/>
  <c r="U25" i="3"/>
  <c r="T25" i="3"/>
  <c r="S25" i="3"/>
  <c r="K25" i="3"/>
  <c r="J25" i="3"/>
  <c r="I25" i="3"/>
  <c r="CC24" i="3"/>
  <c r="BY4" i="3" s="1"/>
  <c r="CB24" i="3"/>
  <c r="CA24" i="3"/>
  <c r="BW4" i="3" s="1"/>
  <c r="BS24" i="3"/>
  <c r="BR24" i="3"/>
  <c r="BN4" i="3" s="1"/>
  <c r="BQ24" i="3"/>
  <c r="BI24" i="3"/>
  <c r="BH24" i="3"/>
  <c r="BG24" i="3"/>
  <c r="AY24" i="3"/>
  <c r="AX24" i="3"/>
  <c r="AW24" i="3"/>
  <c r="AO24" i="3"/>
  <c r="AN24" i="3"/>
  <c r="AM24" i="3"/>
  <c r="AI4" i="3" s="1"/>
  <c r="AE24" i="3"/>
  <c r="AD24" i="3"/>
  <c r="Z4" i="3" s="1"/>
  <c r="AC24" i="3"/>
  <c r="U24" i="3"/>
  <c r="Q4" i="3" s="1"/>
  <c r="T24" i="3"/>
  <c r="S24" i="3"/>
  <c r="K24" i="3"/>
  <c r="G4" i="3" s="1"/>
  <c r="J24" i="3"/>
  <c r="I24" i="3"/>
  <c r="E4" i="3" s="1"/>
  <c r="CC23" i="3"/>
  <c r="CB23" i="3"/>
  <c r="CA23" i="3"/>
  <c r="BS23" i="3"/>
  <c r="BR23" i="3"/>
  <c r="BQ23" i="3"/>
  <c r="BI23" i="3"/>
  <c r="BE4" i="3" s="1"/>
  <c r="BH23" i="3"/>
  <c r="BD4" i="3" s="1"/>
  <c r="BG23" i="3"/>
  <c r="BC4" i="3" s="1"/>
  <c r="AY23" i="3"/>
  <c r="AU4" i="3" s="1"/>
  <c r="AX23" i="3"/>
  <c r="AT4" i="3" s="1"/>
  <c r="AW23" i="3"/>
  <c r="AO23" i="3"/>
  <c r="AK4" i="3" s="1"/>
  <c r="AN23" i="3"/>
  <c r="AJ4" i="3" s="1"/>
  <c r="AM23" i="3"/>
  <c r="AE23" i="3"/>
  <c r="AA4" i="3" s="1"/>
  <c r="AD23" i="3"/>
  <c r="AC23" i="3"/>
  <c r="U23" i="3"/>
  <c r="T23" i="3"/>
  <c r="P4" i="3" s="1"/>
  <c r="S23" i="3"/>
  <c r="O4" i="3" s="1"/>
  <c r="K23" i="3"/>
  <c r="J23" i="3"/>
  <c r="I23" i="3"/>
  <c r="CC22" i="3"/>
  <c r="CB22" i="3"/>
  <c r="CA22" i="3"/>
  <c r="BS22" i="3"/>
  <c r="BR22" i="3"/>
  <c r="BQ22" i="3"/>
  <c r="BI22" i="3"/>
  <c r="BH22" i="3"/>
  <c r="BG22" i="3"/>
  <c r="AY22" i="3"/>
  <c r="AX22" i="3"/>
  <c r="AW22" i="3"/>
  <c r="AO22" i="3"/>
  <c r="AN22" i="3"/>
  <c r="AM22" i="3"/>
  <c r="AE22" i="3"/>
  <c r="AD22" i="3"/>
  <c r="AC22" i="3"/>
  <c r="U22" i="3"/>
  <c r="T22" i="3"/>
  <c r="S22" i="3"/>
  <c r="K22" i="3"/>
  <c r="J22" i="3"/>
  <c r="I22" i="3"/>
  <c r="CC21" i="3"/>
  <c r="CB21" i="3"/>
  <c r="CA21" i="3"/>
  <c r="BS21" i="3"/>
  <c r="BR21" i="3"/>
  <c r="BQ21" i="3"/>
  <c r="BI21" i="3"/>
  <c r="BE3" i="3" s="1"/>
  <c r="BE8" i="3" s="1"/>
  <c r="BH21" i="3"/>
  <c r="BG21" i="3"/>
  <c r="AY21" i="3"/>
  <c r="AX21" i="3"/>
  <c r="AT3" i="3" s="1"/>
  <c r="AT8" i="3" s="1"/>
  <c r="AW21" i="3"/>
  <c r="AO21" i="3"/>
  <c r="AK3" i="3" s="1"/>
  <c r="AN21" i="3"/>
  <c r="AJ3" i="3" s="1"/>
  <c r="AJ8" i="3" s="1"/>
  <c r="AM21" i="3"/>
  <c r="AE21" i="3"/>
  <c r="AA3" i="3" s="1"/>
  <c r="AA8" i="3" s="1"/>
  <c r="AD21" i="3"/>
  <c r="AC21" i="3"/>
  <c r="U21" i="3"/>
  <c r="T21" i="3"/>
  <c r="S21" i="3"/>
  <c r="K21" i="3"/>
  <c r="J21" i="3"/>
  <c r="I21" i="3"/>
  <c r="CC20" i="3"/>
  <c r="BY3" i="3" s="1"/>
  <c r="BY8" i="3" s="1"/>
  <c r="CB20" i="3"/>
  <c r="CA20" i="3"/>
  <c r="BS20" i="3"/>
  <c r="BR20" i="3"/>
  <c r="BN3" i="3" s="1"/>
  <c r="BQ20" i="3"/>
  <c r="BI20" i="3"/>
  <c r="BH20" i="3"/>
  <c r="BD3" i="3" s="1"/>
  <c r="BD8" i="3" s="1"/>
  <c r="BG20" i="3"/>
  <c r="AY20" i="3"/>
  <c r="AU3" i="3" s="1"/>
  <c r="AX20" i="3"/>
  <c r="AW20" i="3"/>
  <c r="AO20" i="3"/>
  <c r="AN20" i="3"/>
  <c r="AM20" i="3"/>
  <c r="AE20" i="3"/>
  <c r="AD20" i="3"/>
  <c r="Z3" i="3" s="1"/>
  <c r="Z8" i="3" s="1"/>
  <c r="AC20" i="3"/>
  <c r="U20" i="3"/>
  <c r="Q3" i="3" s="1"/>
  <c r="Q8" i="3" s="1"/>
  <c r="T20" i="3"/>
  <c r="P3" i="3" s="1"/>
  <c r="P8" i="3" s="1"/>
  <c r="S20" i="3"/>
  <c r="K20" i="3"/>
  <c r="G3" i="3" s="1"/>
  <c r="G8" i="3" s="1"/>
  <c r="J20" i="3"/>
  <c r="I20" i="3"/>
  <c r="CA19" i="3"/>
  <c r="BQ19" i="3"/>
  <c r="BG19" i="3"/>
  <c r="AW19" i="3"/>
  <c r="AM19" i="3"/>
  <c r="AC19" i="3"/>
  <c r="S19" i="3"/>
  <c r="I19" i="3"/>
  <c r="CA18" i="3"/>
  <c r="BQ18" i="3"/>
  <c r="BG18" i="3"/>
  <c r="AW18" i="3"/>
  <c r="AM18" i="3"/>
  <c r="AC18" i="3"/>
  <c r="S18" i="3"/>
  <c r="I18" i="3"/>
  <c r="CA17" i="3"/>
  <c r="BQ17" i="3"/>
  <c r="BG17" i="3"/>
  <c r="AW17" i="3"/>
  <c r="AM17" i="3"/>
  <c r="AC17" i="3"/>
  <c r="S17" i="3"/>
  <c r="I17" i="3"/>
  <c r="CA16" i="3"/>
  <c r="BQ16" i="3"/>
  <c r="BG16" i="3"/>
  <c r="AW16" i="3"/>
  <c r="AM16" i="3"/>
  <c r="AC16" i="3"/>
  <c r="S16" i="3"/>
  <c r="I16" i="3"/>
  <c r="CA15" i="3"/>
  <c r="BQ15" i="3"/>
  <c r="BG15" i="3"/>
  <c r="AW15" i="3"/>
  <c r="AM15" i="3"/>
  <c r="AC15" i="3"/>
  <c r="S15" i="3"/>
  <c r="I15" i="3"/>
  <c r="CA14" i="3"/>
  <c r="BW3" i="3" s="1"/>
  <c r="BW8" i="3" s="1"/>
  <c r="BQ14" i="3"/>
  <c r="BG14" i="3"/>
  <c r="BC3" i="3" s="1"/>
  <c r="BC8" i="3" s="1"/>
  <c r="AW14" i="3"/>
  <c r="AM14" i="3"/>
  <c r="AI3" i="3" s="1"/>
  <c r="AI8" i="3" s="1"/>
  <c r="AC14" i="3"/>
  <c r="S14" i="3"/>
  <c r="I14" i="3"/>
  <c r="E3" i="3" s="1"/>
  <c r="E8" i="3" s="1"/>
  <c r="CA13" i="3"/>
  <c r="BQ13" i="3"/>
  <c r="BG13" i="3"/>
  <c r="AW13" i="3"/>
  <c r="AM13" i="3"/>
  <c r="AC13" i="3"/>
  <c r="S13" i="3"/>
  <c r="O3" i="3" s="1"/>
  <c r="I13" i="3"/>
  <c r="BZ7" i="3"/>
  <c r="BY7" i="3"/>
  <c r="BX7" i="3"/>
  <c r="BW7" i="3"/>
  <c r="BP7" i="3"/>
  <c r="BO7" i="3"/>
  <c r="BN7" i="3"/>
  <c r="BM7" i="3"/>
  <c r="BF7" i="3"/>
  <c r="BE7" i="3"/>
  <c r="BD7" i="3"/>
  <c r="BC7" i="3"/>
  <c r="AV7" i="3"/>
  <c r="AU7" i="3"/>
  <c r="AT7" i="3"/>
  <c r="AS7" i="3"/>
  <c r="AL7" i="3"/>
  <c r="AK7" i="3"/>
  <c r="AJ7" i="3"/>
  <c r="AI7" i="3"/>
  <c r="AB7" i="3"/>
  <c r="AA7" i="3"/>
  <c r="Z7" i="3"/>
  <c r="Y7" i="3"/>
  <c r="R7" i="3"/>
  <c r="Q7" i="3"/>
  <c r="P7" i="3"/>
  <c r="O7" i="3"/>
  <c r="H7" i="3"/>
  <c r="G7" i="3"/>
  <c r="F7" i="3"/>
  <c r="E7" i="3"/>
  <c r="BZ6" i="3"/>
  <c r="BX6" i="3"/>
  <c r="BP6" i="3"/>
  <c r="BO6" i="3"/>
  <c r="BM6" i="3"/>
  <c r="BF6" i="3"/>
  <c r="AV6" i="3"/>
  <c r="AS6" i="3"/>
  <c r="AL6" i="3"/>
  <c r="AB6" i="3"/>
  <c r="Y6" i="3"/>
  <c r="R6" i="3"/>
  <c r="H6" i="3"/>
  <c r="F6" i="3"/>
  <c r="BZ5" i="3"/>
  <c r="BX5" i="3"/>
  <c r="BP5" i="3"/>
  <c r="BO5" i="3"/>
  <c r="BM5" i="3"/>
  <c r="BF5" i="3"/>
  <c r="AV5" i="3"/>
  <c r="AS5" i="3"/>
  <c r="AL5" i="3"/>
  <c r="AB5" i="3"/>
  <c r="Y5" i="3"/>
  <c r="R5" i="3"/>
  <c r="H5" i="3"/>
  <c r="F5" i="3"/>
  <c r="BZ4" i="3"/>
  <c r="BX4" i="3"/>
  <c r="BP4" i="3"/>
  <c r="BO4" i="3"/>
  <c r="BM4" i="3"/>
  <c r="BF4" i="3"/>
  <c r="AV4" i="3"/>
  <c r="AS4" i="3"/>
  <c r="AL4" i="3"/>
  <c r="AB4" i="3"/>
  <c r="Y4" i="3"/>
  <c r="R4" i="3"/>
  <c r="H4" i="3"/>
  <c r="F4" i="3"/>
  <c r="BZ3" i="3"/>
  <c r="BZ8" i="3" s="1"/>
  <c r="BX3" i="3"/>
  <c r="BX8" i="3" s="1"/>
  <c r="BP3" i="3"/>
  <c r="BP8" i="3" s="1"/>
  <c r="BO3" i="3"/>
  <c r="BO8" i="3" s="1"/>
  <c r="BM3" i="3"/>
  <c r="BM8" i="3" s="1"/>
  <c r="BF3" i="3"/>
  <c r="BF8" i="3" s="1"/>
  <c r="AV3" i="3"/>
  <c r="AV8" i="3" s="1"/>
  <c r="AS3" i="3"/>
  <c r="AS8" i="3" s="1"/>
  <c r="AL3" i="3"/>
  <c r="AL8" i="3" s="1"/>
  <c r="AB3" i="3"/>
  <c r="AB8" i="3" s="1"/>
  <c r="Y3" i="3"/>
  <c r="Y8" i="3" s="1"/>
  <c r="R3" i="3"/>
  <c r="R8" i="3" s="1"/>
  <c r="H3" i="3"/>
  <c r="H8" i="3" s="1"/>
  <c r="F3" i="3"/>
  <c r="F8" i="3" s="1"/>
  <c r="AE33" i="1" l="1"/>
  <c r="AD34" i="1"/>
  <c r="AF30" i="1"/>
  <c r="AF34" i="1"/>
  <c r="AG30" i="1"/>
  <c r="AF31" i="1"/>
  <c r="AG34" i="1"/>
  <c r="AG36" i="1"/>
  <c r="AD33" i="1"/>
  <c r="AD31" i="1"/>
  <c r="AD35" i="1"/>
  <c r="AE31" i="1"/>
  <c r="AD32" i="1"/>
  <c r="AD36" i="1"/>
  <c r="AF32" i="1"/>
  <c r="AF36" i="1"/>
  <c r="AG32" i="1"/>
  <c r="AE32" i="1"/>
  <c r="AE36" i="1"/>
  <c r="AF33" i="1"/>
  <c r="AG33" i="1"/>
  <c r="AE34" i="1"/>
  <c r="BX30" i="1"/>
  <c r="BM3" i="1"/>
  <c r="BL3" i="1"/>
  <c r="BN30" i="1"/>
  <c r="BJ3" i="1" s="1"/>
  <c r="BO30" i="1"/>
  <c r="BK3" i="1" s="1"/>
  <c r="BA3" i="1"/>
  <c r="BF30" i="1"/>
  <c r="BG30" i="1"/>
  <c r="BC3" i="1" s="1"/>
  <c r="AS3" i="1"/>
  <c r="AY30" i="1"/>
  <c r="AX30" i="1"/>
  <c r="AT3" i="1" s="1"/>
  <c r="AL3" i="1"/>
  <c r="AN30" i="1"/>
  <c r="AJ3" i="1" s="1"/>
  <c r="AD30" i="1"/>
  <c r="AE30" i="1"/>
  <c r="U33" i="1"/>
  <c r="Q3" i="1" s="1"/>
  <c r="U35" i="1"/>
  <c r="X33" i="1"/>
  <c r="V30" i="1"/>
  <c r="W33" i="1"/>
  <c r="W30" i="1"/>
  <c r="V35" i="1"/>
  <c r="V34" i="1"/>
  <c r="W34" i="1"/>
  <c r="M34" i="1"/>
  <c r="M32" i="1"/>
  <c r="I3" i="1" s="1"/>
  <c r="L34" i="1"/>
  <c r="H3" i="1" s="1"/>
  <c r="L35" i="1"/>
  <c r="L36" i="1"/>
  <c r="N34" i="1"/>
  <c r="N35" i="1"/>
  <c r="O34" i="1"/>
  <c r="N30" i="1"/>
  <c r="J3" i="1" s="1"/>
  <c r="O30" i="1"/>
  <c r="K3" i="1" s="1"/>
  <c r="O8" i="2"/>
  <c r="BT3" i="1"/>
  <c r="AS8" i="2"/>
  <c r="BN8" i="3"/>
  <c r="BD3" i="1"/>
  <c r="BB3" i="1"/>
  <c r="AK8" i="3"/>
  <c r="O8" i="3"/>
  <c r="R3" i="1"/>
  <c r="BW8" i="2"/>
  <c r="AU8" i="3"/>
  <c r="AI3" i="1"/>
  <c r="BS3" i="1"/>
  <c r="AK3" i="1"/>
  <c r="BU3" i="1"/>
  <c r="AR3" i="1"/>
  <c r="AU3" i="1"/>
  <c r="S3" i="1"/>
  <c r="T3" i="1"/>
  <c r="AB3" i="1" l="1"/>
  <c r="AC3" i="1"/>
  <c r="Z3" i="1"/>
  <c r="AA3" i="1"/>
</calcChain>
</file>

<file path=xl/sharedStrings.xml><?xml version="1.0" encoding="utf-8"?>
<sst xmlns="http://schemas.openxmlformats.org/spreadsheetml/2006/main" count="189" uniqueCount="18">
  <si>
    <t>DRY MATTER</t>
  </si>
  <si>
    <t>STARCH DM BASE</t>
  </si>
  <si>
    <t>PROTEIN DM BASE</t>
  </si>
  <si>
    <t>ADF DM BASE</t>
  </si>
  <si>
    <t>NDF DM BASE</t>
  </si>
  <si>
    <t>ASH DM BASE</t>
  </si>
  <si>
    <t>C.FAT DM BASE</t>
  </si>
  <si>
    <t>C.FIBER DM BASE</t>
  </si>
  <si>
    <t>ID</t>
  </si>
  <si>
    <t>EvoNIR MS</t>
  </si>
  <si>
    <t>AVERAGE</t>
  </si>
  <si>
    <t>MAX accept</t>
  </si>
  <si>
    <t>Sample ID</t>
  </si>
  <si>
    <t>N.Scan</t>
  </si>
  <si>
    <t>ID scan</t>
  </si>
  <si>
    <t>New STD V3</t>
  </si>
  <si>
    <t>Residuals</t>
  </si>
  <si>
    <t>Sample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</si>
</sst>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0" xfId="0" applyFont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" fillId="0" borderId="15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6"/>
  <sheetViews>
    <sheetView tabSelected="1" topLeftCell="U1" zoomScale="115" zoomScaleNormal="115" workbookViewId="0">
      <selection activeCell="Z12" sqref="Z12:AC12"/>
    </sheetView>
  </sheetViews>
  <sheetFormatPr defaultRowHeight="15" x14ac:dyDescent="0.25"/>
  <cols>
    <col min="1" max="1" width="10.5703125" bestFit="1" customWidth="1"/>
    <col min="2" max="2" width="9.5703125" bestFit="1" customWidth="1"/>
    <col min="3" max="5" width="9.5703125" customWidth="1"/>
    <col min="8" max="8" width="10.5703125" bestFit="1" customWidth="1"/>
    <col min="9" max="10" width="10.28515625" bestFit="1" customWidth="1"/>
    <col min="11" max="11" width="10.28515625" customWidth="1"/>
    <col min="12" max="13" width="12.7109375" bestFit="1" customWidth="1"/>
    <col min="14" max="14" width="11" bestFit="1" customWidth="1"/>
    <col min="15" max="15" width="12.7109375" bestFit="1" customWidth="1"/>
    <col min="17" max="17" width="10.5703125" bestFit="1" customWidth="1"/>
    <col min="18" max="19" width="10.28515625" bestFit="1" customWidth="1"/>
    <col min="20" max="20" width="7.85546875" bestFit="1" customWidth="1"/>
    <col min="21" max="23" width="14" bestFit="1" customWidth="1"/>
    <col min="24" max="24" width="12.28515625" bestFit="1" customWidth="1"/>
    <col min="26" max="26" width="10.5703125" bestFit="1" customWidth="1"/>
    <col min="27" max="29" width="10.28515625" bestFit="1" customWidth="1"/>
    <col min="30" max="33" width="14" bestFit="1" customWidth="1"/>
    <col min="35" max="35" width="10.5703125" bestFit="1" customWidth="1"/>
    <col min="36" max="37" width="10.28515625" bestFit="1" customWidth="1"/>
    <col min="38" max="38" width="7.85546875" bestFit="1" customWidth="1"/>
    <col min="39" max="39" width="12.28515625" bestFit="1" customWidth="1"/>
    <col min="40" max="42" width="14" bestFit="1" customWidth="1"/>
    <col min="44" max="44" width="10.5703125" bestFit="1" customWidth="1"/>
    <col min="45" max="46" width="10.28515625" bestFit="1" customWidth="1"/>
    <col min="47" max="47" width="7.85546875" bestFit="1" customWidth="1"/>
    <col min="48" max="50" width="14" bestFit="1" customWidth="1"/>
    <col min="51" max="51" width="11.140625" bestFit="1" customWidth="1"/>
    <col min="53" max="53" width="10.5703125" bestFit="1" customWidth="1"/>
    <col min="54" max="56" width="10.28515625" bestFit="1" customWidth="1"/>
    <col min="57" max="60" width="14" bestFit="1" customWidth="1"/>
    <col min="62" max="62" width="10.5703125" bestFit="1" customWidth="1"/>
    <col min="63" max="65" width="10.28515625" bestFit="1" customWidth="1"/>
    <col min="66" max="67" width="14" bestFit="1" customWidth="1"/>
    <col min="68" max="68" width="13" bestFit="1" customWidth="1"/>
    <col min="69" max="69" width="14" bestFit="1" customWidth="1"/>
    <col min="71" max="71" width="10.5703125" bestFit="1" customWidth="1"/>
    <col min="72" max="73" width="10.28515625" bestFit="1" customWidth="1"/>
    <col min="74" max="74" width="7.85546875" bestFit="1" customWidth="1"/>
    <col min="75" max="75" width="14" bestFit="1" customWidth="1"/>
    <col min="76" max="77" width="12.28515625" bestFit="1" customWidth="1"/>
    <col min="78" max="78" width="14" bestFit="1" customWidth="1"/>
  </cols>
  <sheetData>
    <row r="1" spans="1:78" ht="21.75" customHeight="1" thickBot="1" x14ac:dyDescent="0.4">
      <c r="H1" s="44" t="s">
        <v>0</v>
      </c>
      <c r="I1" s="45"/>
      <c r="J1" s="45"/>
      <c r="K1" s="45"/>
      <c r="L1" s="45"/>
      <c r="M1" s="45"/>
      <c r="N1" s="45"/>
      <c r="O1" s="46"/>
      <c r="Q1" s="44" t="s">
        <v>1</v>
      </c>
      <c r="R1" s="45"/>
      <c r="S1" s="45"/>
      <c r="T1" s="45"/>
      <c r="U1" s="45"/>
      <c r="V1" s="45"/>
      <c r="W1" s="45"/>
      <c r="X1" s="46"/>
      <c r="Z1" s="44" t="s">
        <v>2</v>
      </c>
      <c r="AA1" s="45"/>
      <c r="AB1" s="45"/>
      <c r="AC1" s="45"/>
      <c r="AD1" s="45"/>
      <c r="AE1" s="45"/>
      <c r="AF1" s="45"/>
      <c r="AG1" s="46"/>
      <c r="AI1" s="44" t="s">
        <v>3</v>
      </c>
      <c r="AJ1" s="45"/>
      <c r="AK1" s="45"/>
      <c r="AL1" s="45"/>
      <c r="AM1" s="45"/>
      <c r="AN1" s="45"/>
      <c r="AO1" s="45"/>
      <c r="AP1" s="46"/>
      <c r="AR1" s="44" t="s">
        <v>4</v>
      </c>
      <c r="AS1" s="45"/>
      <c r="AT1" s="45"/>
      <c r="AU1" s="45"/>
      <c r="AV1" s="45"/>
      <c r="AW1" s="45"/>
      <c r="AX1" s="45"/>
      <c r="AY1" s="46"/>
      <c r="BA1" s="44" t="s">
        <v>5</v>
      </c>
      <c r="BB1" s="45"/>
      <c r="BC1" s="45"/>
      <c r="BD1" s="45"/>
      <c r="BE1" s="45"/>
      <c r="BF1" s="45"/>
      <c r="BG1" s="45"/>
      <c r="BH1" s="46"/>
      <c r="BJ1" s="44" t="s">
        <v>6</v>
      </c>
      <c r="BK1" s="45"/>
      <c r="BL1" s="45"/>
      <c r="BM1" s="45"/>
      <c r="BN1" s="45"/>
      <c r="BO1" s="45"/>
      <c r="BP1" s="45"/>
      <c r="BQ1" s="46"/>
      <c r="BS1" s="44" t="s">
        <v>7</v>
      </c>
      <c r="BT1" s="45"/>
      <c r="BU1" s="45"/>
      <c r="BV1" s="45"/>
      <c r="BW1" s="45"/>
      <c r="BX1" s="45"/>
      <c r="BY1" s="45"/>
      <c r="BZ1" s="46"/>
    </row>
    <row r="2" spans="1:78" x14ac:dyDescent="0.25">
      <c r="G2" s="1"/>
      <c r="H2" s="2" t="s">
        <v>9</v>
      </c>
      <c r="I2" s="3">
        <v>249063</v>
      </c>
      <c r="J2" s="3">
        <v>249062</v>
      </c>
      <c r="K2" s="4">
        <v>249061</v>
      </c>
      <c r="Q2" s="2" t="s">
        <v>9</v>
      </c>
      <c r="R2" s="3">
        <v>249063</v>
      </c>
      <c r="S2" s="3">
        <v>249062</v>
      </c>
      <c r="T2" s="4">
        <v>249061</v>
      </c>
      <c r="Z2" s="2" t="s">
        <v>9</v>
      </c>
      <c r="AA2" s="3">
        <v>249063</v>
      </c>
      <c r="AB2" s="3">
        <v>249062</v>
      </c>
      <c r="AC2" s="4">
        <v>249061</v>
      </c>
      <c r="AI2" s="2" t="s">
        <v>9</v>
      </c>
      <c r="AJ2" s="3">
        <v>249063</v>
      </c>
      <c r="AK2" s="3">
        <v>249062</v>
      </c>
      <c r="AL2" s="4">
        <v>249061</v>
      </c>
      <c r="AR2" s="2" t="s">
        <v>9</v>
      </c>
      <c r="AS2" s="3">
        <v>249063</v>
      </c>
      <c r="AT2" s="3">
        <v>249062</v>
      </c>
      <c r="AU2" s="4">
        <v>249061</v>
      </c>
      <c r="BA2" s="2" t="s">
        <v>9</v>
      </c>
      <c r="BB2" s="3">
        <v>249063</v>
      </c>
      <c r="BC2" s="3">
        <v>249062</v>
      </c>
      <c r="BD2" s="4">
        <v>249061</v>
      </c>
      <c r="BJ2" s="2" t="s">
        <v>9</v>
      </c>
      <c r="BK2" s="3">
        <v>249063</v>
      </c>
      <c r="BL2" s="3">
        <v>249062</v>
      </c>
      <c r="BM2" s="4">
        <v>249061</v>
      </c>
      <c r="BS2" s="2" t="s">
        <v>9</v>
      </c>
      <c r="BT2" s="3">
        <v>249063</v>
      </c>
      <c r="BU2" s="3">
        <v>249062</v>
      </c>
      <c r="BV2" s="4">
        <v>249061</v>
      </c>
    </row>
    <row r="3" spans="1:78" x14ac:dyDescent="0.25">
      <c r="G3" s="5"/>
      <c r="H3" s="6">
        <f>(MAX(L30:L36)-MIN(L30:L36))/$B$30</f>
        <v>0.81567615253272685</v>
      </c>
      <c r="I3" s="7">
        <f>(MAX(M30:M36)-MIN(M30:M36))/$C$30</f>
        <v>1.012200662983425</v>
      </c>
      <c r="J3" s="7">
        <f>(MAX(N30:N36)-MIN(N30:N36))/$D$30</f>
        <v>0.77120171919770619</v>
      </c>
      <c r="K3" s="8">
        <f>(MAX(O30:O36)-MIN(O30:O36))/$E$30</f>
        <v>0.76264512406231866</v>
      </c>
      <c r="Q3" s="6">
        <f>(MAX(U30:U36)-MIN(U30:U36))/$B$30</f>
        <v>0.38774456459874901</v>
      </c>
      <c r="R3" s="7">
        <f>(MAX(V30:V36)-MIN(V30:V36))/$C$30</f>
        <v>0.33266740331491812</v>
      </c>
      <c r="S3" s="7">
        <f>(MAX(W30:W36)-MIN(W30:W36))/$D$30</f>
        <v>0.40634441260744997</v>
      </c>
      <c r="T3" s="8">
        <f>(MAX(X30:X36)-MIN(X30:X36))/$E$30</f>
        <v>0.41262492787074434</v>
      </c>
      <c r="Z3" s="6">
        <f>(MAX(AD30:AD36)-MIN(AD30:AD36))/$B$30</f>
        <v>4.167792487194081</v>
      </c>
      <c r="AA3" s="7">
        <f>(MAX(AE30:AE36)-MIN(AE30:AE36))/$C$30</f>
        <v>3.9766934806629828</v>
      </c>
      <c r="AB3" s="7">
        <f>(MAX(AF30:AF36)-MIN(AF30:AF36))/$D$30</f>
        <v>3.6531279083094557</v>
      </c>
      <c r="AC3" s="8">
        <f>(MAX(AG30:AG36)-MIN(AG30:AG36))/$E$30</f>
        <v>3.2960836699365261</v>
      </c>
      <c r="AI3" s="6">
        <f>(MAX(AM30:AM36)-MIN(AM30:AM36))/$B$30</f>
        <v>0.21998870802504261</v>
      </c>
      <c r="AJ3" s="7">
        <f>(MAX(AN30:AN36)-MIN(AN30:AN36))/$C$30</f>
        <v>0.15895330386740328</v>
      </c>
      <c r="AK3" s="7">
        <f>(MAX(AO30:AO36)-MIN(AO30:AO36))/$D$30</f>
        <v>0.17485792550143273</v>
      </c>
      <c r="AL3" s="8">
        <f>(MAX(AP30:AP36)-MIN(AP30:AP36))/$E$30</f>
        <v>0.14460476630121177</v>
      </c>
      <c r="AR3" s="6">
        <f>(MAX(AV30:AV36)-MIN(AV30:AV36))/$B$30</f>
        <v>0.2793352305065453</v>
      </c>
      <c r="AS3" s="7">
        <f>(MAX(AW30:AW36)-MIN(AW30:AW36))/$C$30</f>
        <v>0.28543248618784528</v>
      </c>
      <c r="AT3" s="7">
        <f>(MAX(AX30:AX36)-MIN(AX30:AX36))/$D$30</f>
        <v>0.27193186246418344</v>
      </c>
      <c r="AU3" s="8">
        <f>(MAX(AY30:AY36)-MIN(AY30:AY36))/$E$30</f>
        <v>0.2372042700519332</v>
      </c>
      <c r="BA3" s="6">
        <f>(MAX(BE30:BE36)-MIN(BE30:BE36))/$B$30</f>
        <v>0.15918201479795108</v>
      </c>
      <c r="BB3" s="7">
        <f>(MAX(BF30:BF36)-MIN(BF30:BF36))/$C$30</f>
        <v>0.16207816574585637</v>
      </c>
      <c r="BC3" s="7">
        <f>(MAX(BG30:BG36)-MIN(BG30:BG36))/$D$30</f>
        <v>0.13497479656160458</v>
      </c>
      <c r="BD3" s="8">
        <f>(MAX(BH30:BH36)-MIN(BH30:BH36))/$E$30</f>
        <v>0.13593995383727636</v>
      </c>
      <c r="BJ3" s="6">
        <f>(MAX(BN30:BN36)-MIN(BN30:BN36))/$B$30</f>
        <v>2.1056247581104155</v>
      </c>
      <c r="BK3" s="7">
        <f>(MAX(BO30:BO36)-MIN(BO30:BO36))/$C$30</f>
        <v>2.1494170497237564</v>
      </c>
      <c r="BL3" s="7">
        <f>(MAX(BP30:BP36)-MIN(BP30:BP36))/$D$30</f>
        <v>1.5870071633237823</v>
      </c>
      <c r="BM3" s="8">
        <f>(MAX(BQ30:BQ36)-MIN(BQ30:BQ36))/$E$30</f>
        <v>1.6745179226774376</v>
      </c>
      <c r="BS3" s="6">
        <f>(MAX(BW30:BW36)-MIN(BW30:BW36))/$B$30</f>
        <v>0.36321147410358562</v>
      </c>
      <c r="BT3" s="7">
        <f>(MAX(BX30:BX36)-MIN(BX30:BX36))/$C$30</f>
        <v>0.35621325966850831</v>
      </c>
      <c r="BU3" s="7">
        <f>(MAX(BY30:BY36)-MIN(BY30:BY36))/$D$30</f>
        <v>0.35467485386819492</v>
      </c>
      <c r="BV3" s="8">
        <f>(MAX(BZ30:BZ36)-MIN(BZ30:BZ36))/$E$30</f>
        <v>0.35558548182342747</v>
      </c>
    </row>
    <row r="4" spans="1:78" x14ac:dyDescent="0.25">
      <c r="E4" s="9" t="s">
        <v>11</v>
      </c>
      <c r="F4" s="9">
        <v>0.3</v>
      </c>
      <c r="G4" s="5"/>
    </row>
    <row r="6" spans="1:78" x14ac:dyDescent="0.25">
      <c r="A6" s="43" t="s">
        <v>12</v>
      </c>
      <c r="B6" s="43" t="s">
        <v>17</v>
      </c>
      <c r="C6" s="36"/>
      <c r="D6" s="36"/>
      <c r="E6" s="36"/>
      <c r="F6" s="47" t="s">
        <v>14</v>
      </c>
      <c r="H6" s="40" t="s">
        <v>15</v>
      </c>
      <c r="I6" s="41"/>
      <c r="J6" s="41"/>
      <c r="K6" s="42"/>
      <c r="L6" s="35" t="s">
        <v>16</v>
      </c>
      <c r="M6" s="36"/>
      <c r="N6" s="36"/>
      <c r="O6" s="36"/>
      <c r="Q6" s="40" t="s">
        <v>15</v>
      </c>
      <c r="R6" s="41"/>
      <c r="S6" s="41"/>
      <c r="T6" s="42"/>
      <c r="U6" s="35" t="s">
        <v>16</v>
      </c>
      <c r="V6" s="36"/>
      <c r="W6" s="36"/>
      <c r="X6" s="36"/>
      <c r="Z6" s="40" t="s">
        <v>15</v>
      </c>
      <c r="AA6" s="41"/>
      <c r="AB6" s="41"/>
      <c r="AC6" s="42"/>
      <c r="AD6" s="35" t="s">
        <v>16</v>
      </c>
      <c r="AE6" s="36"/>
      <c r="AF6" s="36"/>
      <c r="AG6" s="36"/>
      <c r="AI6" s="40" t="s">
        <v>15</v>
      </c>
      <c r="AJ6" s="41"/>
      <c r="AK6" s="41"/>
      <c r="AL6" s="42"/>
      <c r="AM6" s="35" t="s">
        <v>16</v>
      </c>
      <c r="AN6" s="36"/>
      <c r="AO6" s="36"/>
      <c r="AP6" s="36"/>
      <c r="AR6" s="40" t="s">
        <v>15</v>
      </c>
      <c r="AS6" s="41"/>
      <c r="AT6" s="41"/>
      <c r="AU6" s="42"/>
      <c r="AV6" s="35" t="s">
        <v>16</v>
      </c>
      <c r="AW6" s="36"/>
      <c r="AX6" s="36"/>
      <c r="AY6" s="36"/>
      <c r="BA6" s="40" t="s">
        <v>15</v>
      </c>
      <c r="BB6" s="41"/>
      <c r="BC6" s="41"/>
      <c r="BD6" s="42"/>
      <c r="BE6" s="35" t="s">
        <v>16</v>
      </c>
      <c r="BF6" s="36"/>
      <c r="BG6" s="36"/>
      <c r="BH6" s="36"/>
      <c r="BJ6" s="40" t="s">
        <v>15</v>
      </c>
      <c r="BK6" s="41"/>
      <c r="BL6" s="41"/>
      <c r="BM6" s="42"/>
      <c r="BN6" s="35" t="s">
        <v>16</v>
      </c>
      <c r="BO6" s="36"/>
      <c r="BP6" s="36"/>
      <c r="BQ6" s="36"/>
      <c r="BS6" s="40" t="s">
        <v>15</v>
      </c>
      <c r="BT6" s="41"/>
      <c r="BU6" s="41"/>
      <c r="BV6" s="42"/>
      <c r="BW6" s="35" t="s">
        <v>16</v>
      </c>
      <c r="BX6" s="36"/>
      <c r="BY6" s="36"/>
      <c r="BZ6" s="36"/>
    </row>
    <row r="7" spans="1:78" x14ac:dyDescent="0.25">
      <c r="A7" s="36"/>
      <c r="B7" s="11" t="s">
        <v>9</v>
      </c>
      <c r="C7" s="10">
        <v>249063</v>
      </c>
      <c r="D7" s="10">
        <v>249062</v>
      </c>
      <c r="E7" s="10">
        <v>249061</v>
      </c>
      <c r="F7" s="36"/>
      <c r="H7" s="2" t="s">
        <v>9</v>
      </c>
      <c r="I7" s="3">
        <v>249063</v>
      </c>
      <c r="J7" s="3">
        <v>249062</v>
      </c>
      <c r="K7" s="4">
        <v>249061</v>
      </c>
      <c r="L7" s="2" t="s">
        <v>9</v>
      </c>
      <c r="M7" s="3">
        <v>249063</v>
      </c>
      <c r="N7" s="3">
        <v>249062</v>
      </c>
      <c r="O7" s="4">
        <v>249061</v>
      </c>
      <c r="Q7" s="2" t="s">
        <v>9</v>
      </c>
      <c r="R7" s="3">
        <v>249063</v>
      </c>
      <c r="S7" s="3">
        <v>249062</v>
      </c>
      <c r="T7" s="4">
        <v>249061</v>
      </c>
      <c r="U7" s="2" t="s">
        <v>9</v>
      </c>
      <c r="V7" s="3">
        <v>249063</v>
      </c>
      <c r="W7" s="3">
        <v>249062</v>
      </c>
      <c r="X7" s="4">
        <v>249061</v>
      </c>
      <c r="Z7" s="2" t="s">
        <v>9</v>
      </c>
      <c r="AA7" s="3">
        <v>249063</v>
      </c>
      <c r="AB7" s="3">
        <v>249062</v>
      </c>
      <c r="AC7" s="4">
        <v>249061</v>
      </c>
      <c r="AD7" s="2" t="s">
        <v>9</v>
      </c>
      <c r="AE7" s="3">
        <v>249063</v>
      </c>
      <c r="AF7" s="3">
        <v>249062</v>
      </c>
      <c r="AG7" s="4">
        <v>249061</v>
      </c>
      <c r="AI7" s="2" t="s">
        <v>9</v>
      </c>
      <c r="AJ7" s="3">
        <v>249063</v>
      </c>
      <c r="AK7" s="3">
        <v>249062</v>
      </c>
      <c r="AL7" s="4">
        <v>249061</v>
      </c>
      <c r="AM7" s="2" t="s">
        <v>9</v>
      </c>
      <c r="AN7" s="3">
        <v>249063</v>
      </c>
      <c r="AO7" s="3">
        <v>249062</v>
      </c>
      <c r="AP7" s="4">
        <v>249061</v>
      </c>
      <c r="AR7" s="2" t="s">
        <v>9</v>
      </c>
      <c r="AS7" s="3">
        <v>249063</v>
      </c>
      <c r="AT7" s="3">
        <v>249062</v>
      </c>
      <c r="AU7" s="4">
        <v>249061</v>
      </c>
      <c r="AV7" s="2" t="s">
        <v>9</v>
      </c>
      <c r="AW7" s="3">
        <v>249063</v>
      </c>
      <c r="AX7" s="3">
        <v>249062</v>
      </c>
      <c r="AY7" s="4">
        <v>249061</v>
      </c>
      <c r="BA7" s="2" t="s">
        <v>9</v>
      </c>
      <c r="BB7" s="3">
        <v>249063</v>
      </c>
      <c r="BC7" s="3">
        <v>249062</v>
      </c>
      <c r="BD7" s="4">
        <v>249061</v>
      </c>
      <c r="BE7" s="2" t="s">
        <v>9</v>
      </c>
      <c r="BF7" s="3">
        <v>249063</v>
      </c>
      <c r="BG7" s="3">
        <v>249062</v>
      </c>
      <c r="BH7" s="4">
        <v>249061</v>
      </c>
      <c r="BJ7" s="2" t="s">
        <v>9</v>
      </c>
      <c r="BK7" s="3">
        <v>249063</v>
      </c>
      <c r="BL7" s="3">
        <v>249062</v>
      </c>
      <c r="BM7" s="4">
        <v>249061</v>
      </c>
      <c r="BN7" s="2" t="s">
        <v>9</v>
      </c>
      <c r="BO7" s="3">
        <v>249063</v>
      </c>
      <c r="BP7" s="3">
        <v>249062</v>
      </c>
      <c r="BQ7" s="4">
        <v>249061</v>
      </c>
      <c r="BS7" s="2" t="s">
        <v>9</v>
      </c>
      <c r="BT7" s="3">
        <v>249063</v>
      </c>
      <c r="BU7" s="3">
        <v>249062</v>
      </c>
      <c r="BV7" s="4">
        <v>249061</v>
      </c>
      <c r="BW7" s="2" t="s">
        <v>9</v>
      </c>
      <c r="BX7" s="3">
        <v>249063</v>
      </c>
      <c r="BY7" s="3">
        <v>249062</v>
      </c>
      <c r="BZ7" s="4">
        <v>249061</v>
      </c>
    </row>
    <row r="8" spans="1:78" x14ac:dyDescent="0.25">
      <c r="A8" s="48">
        <v>1</v>
      </c>
      <c r="B8" s="12">
        <v>55.6</v>
      </c>
      <c r="C8" s="12">
        <v>57.35</v>
      </c>
      <c r="D8" s="12">
        <v>55.5</v>
      </c>
      <c r="E8" s="12">
        <v>55.4</v>
      </c>
      <c r="F8" s="13">
        <v>1</v>
      </c>
      <c r="H8" s="14">
        <v>85.402709999999999</v>
      </c>
      <c r="I8" s="15">
        <v>85.235634000000005</v>
      </c>
      <c r="J8" s="15">
        <v>84.745900000000006</v>
      </c>
      <c r="K8" s="16">
        <v>84.952224999999999</v>
      </c>
      <c r="L8" s="5">
        <f>IF(OR(H8="",H8="NaN"),"",H8-AVERAGE(H$8:H$14))</f>
        <v>-1.1189885714285737</v>
      </c>
      <c r="M8" s="5">
        <f t="shared" ref="M8:O8" si="0">IF(OR(I8="",I8="NaN"),"",I8-AVERAGE(I$8:I$14))</f>
        <v>-1.1643744285714348</v>
      </c>
      <c r="N8" s="5">
        <f t="shared" si="0"/>
        <v>-1.3574894285714265</v>
      </c>
      <c r="O8" s="5">
        <f t="shared" si="0"/>
        <v>-1.2356307142857048</v>
      </c>
      <c r="P8" s="5"/>
      <c r="Q8" s="14">
        <v>72.792289999999994</v>
      </c>
      <c r="R8" s="15">
        <v>73.124886000000004</v>
      </c>
      <c r="S8" s="15">
        <v>72.883809999999997</v>
      </c>
      <c r="T8" s="16">
        <v>72.993219999999994</v>
      </c>
      <c r="U8" s="5">
        <f>IF(OR(Q8="",Q8="NaN"),"",Q8-AVERAGE(Q$8:Q$14))</f>
        <v>0.69755371428571777</v>
      </c>
      <c r="V8" s="5">
        <f t="shared" ref="V8:V14" si="1">IF(OR(R8="",R8="NaN"),"",R8-AVERAGE(R$8:R$14))</f>
        <v>1.0904151428571538</v>
      </c>
      <c r="W8" s="5">
        <f t="shared" ref="W8:W14" si="2">IF(OR(S8="",S8="NaN"),"",S8-AVERAGE(S$8:S$14))</f>
        <v>0.73783428571428544</v>
      </c>
      <c r="X8" s="5">
        <f t="shared" ref="X8:X14" si="3">IF(OR(T8="",T8="NaN"),"",T8-AVERAGE(T$8:T$14))</f>
        <v>0.80608999999999753</v>
      </c>
      <c r="Y8" s="5"/>
      <c r="Z8" s="14">
        <v>25.588722000000001</v>
      </c>
      <c r="AA8" s="15">
        <v>25.433304</v>
      </c>
      <c r="AB8" s="15">
        <v>24.301676</v>
      </c>
      <c r="AC8" s="16">
        <v>25.664957000000001</v>
      </c>
      <c r="AD8" s="5">
        <f>IF(OR(Z8="",Z8="NaN"),"",Z8-AVERAGE(Z$8:Z$14))</f>
        <v>12.273049714285715</v>
      </c>
      <c r="AE8" s="5">
        <f t="shared" ref="AE8:AE14" si="4">IF(OR(AA8="",AA8="NaN"),"",AA8-AVERAGE(AA$8:AA$14))</f>
        <v>6.1657122857142852</v>
      </c>
      <c r="AF8" s="5">
        <f t="shared" ref="AF8:AF14" si="5">IF(OR(AB8="",AB8="NaN"),"",AB8-AVERAGE(AB$8:AB$14))</f>
        <v>5.5235880000000002</v>
      </c>
      <c r="AG8" s="5">
        <f t="shared" ref="AG8:AG14" si="6">IF(OR(AC8="",AC8="NaN"),"",AC8-AVERAGE(AC$8:AC$14))</f>
        <v>5.9042132857142846</v>
      </c>
      <c r="AH8" s="5"/>
      <c r="AI8" s="14">
        <v>6.9859242000000004</v>
      </c>
      <c r="AJ8" s="15">
        <v>7.1303510000000001</v>
      </c>
      <c r="AK8" s="15">
        <v>7.1334895999999999</v>
      </c>
      <c r="AL8" s="16">
        <v>7.2266912000000003</v>
      </c>
      <c r="AM8" s="5">
        <f>IF(OR(AI8="",AI8="NaN"),"",AI8-AVERAGE(AI$8:AI$14))</f>
        <v>0.33495067142857238</v>
      </c>
      <c r="AN8" s="5">
        <f t="shared" ref="AN8:AN14" si="7">IF(OR(AJ8="",AJ8="NaN"),"",AJ8-AVERAGE(AJ$8:AJ$14))</f>
        <v>0.32186461428571356</v>
      </c>
      <c r="AO8" s="5">
        <f t="shared" ref="AO8:AO14" si="8">IF(OR(AK8="",AK8="NaN"),"",AK8-AVERAGE(AK$8:AK$14))</f>
        <v>0.18877631428571462</v>
      </c>
      <c r="AP8" s="5">
        <f t="shared" ref="AP8:AP14" si="9">IF(OR(AL8="",AL8="NaN"),"",AL8-AVERAGE(AL$8:AL$14))</f>
        <v>0.28596785714285744</v>
      </c>
      <c r="AR8" s="14">
        <v>10.109678000000001</v>
      </c>
      <c r="AS8" s="15">
        <v>10.498101</v>
      </c>
      <c r="AT8" s="15">
        <v>10.359783999999999</v>
      </c>
      <c r="AU8" s="16">
        <v>10.394722</v>
      </c>
      <c r="AV8" s="5">
        <f>IF(OR(AR8="",AR8="NaN"),"",AR8-AVERAGE(AR$8:AR$14))</f>
        <v>9.3644357142858681E-2</v>
      </c>
      <c r="AW8" s="5">
        <f t="shared" ref="AW8:AW14" si="10">IF(OR(AS8="",AS8="NaN"),"",AS8-AVERAGE(AS$8:AS$14))</f>
        <v>0.46496042857142861</v>
      </c>
      <c r="AX8" s="5">
        <f t="shared" ref="AX8:AX14" si="11">IF(OR(AT8="",AT8="NaN"),"",AT8-AVERAGE(AT$8:AT$14))</f>
        <v>0.37399942857142854</v>
      </c>
      <c r="AY8" s="5">
        <f t="shared" ref="AY8:AY14" si="12">IF(OR(AU8="",AU8="NaN"),"",AU8-AVERAGE(AU$8:AU$14))</f>
        <v>0.3579847142857151</v>
      </c>
      <c r="BA8" s="14">
        <v>1.8753039</v>
      </c>
      <c r="BB8" s="15">
        <v>2.0627797000000001</v>
      </c>
      <c r="BC8" s="15">
        <v>2.0346321999999999</v>
      </c>
      <c r="BD8" s="16">
        <v>2.0711379999999999</v>
      </c>
      <c r="BE8" s="5">
        <f>IF(OR(BA8="",BA8="NaN"),"",BA8-AVERAGE(BA$8:BA$14))</f>
        <v>0.37008101428571427</v>
      </c>
      <c r="BF8" s="5">
        <f t="shared" ref="BF8:BF14" si="13">IF(OR(BB8="",BB8="NaN"),"",BB8-AVERAGE(BB$8:BB$14))</f>
        <v>0.39826880000000009</v>
      </c>
      <c r="BG8" s="5">
        <f t="shared" ref="BG8:BG14" si="14">IF(OR(BC8="",BC8="NaN"),"",BC8-AVERAGE(BC$8:BC$14))</f>
        <v>0.37384139999999966</v>
      </c>
      <c r="BH8" s="5">
        <f t="shared" ref="BH8:BH14" si="15">IF(OR(BD8="",BD8="NaN"),"",BD8-AVERAGE(BD$8:BD$14))</f>
        <v>0.38655078571428536</v>
      </c>
      <c r="BJ8" s="14">
        <v>11.858238</v>
      </c>
      <c r="BK8" s="15">
        <v>13.447089999999999</v>
      </c>
      <c r="BL8" s="15">
        <v>12.4525585</v>
      </c>
      <c r="BM8" s="16">
        <v>13.329253</v>
      </c>
      <c r="BN8" s="5">
        <f>IF(OR(BJ8="",BJ8="NaN"),"",BJ8-AVERAGE(BJ$8:BJ$14))</f>
        <v>4.811555628571428</v>
      </c>
      <c r="BO8" s="5">
        <f t="shared" ref="BO8:BO14" si="16">IF(OR(BK8="",BK8="NaN"),"",BK8-AVERAGE(BK$8:BK$14))</f>
        <v>3.1659400285714252</v>
      </c>
      <c r="BP8" s="5">
        <f t="shared" ref="BP8:BP14" si="17">IF(OR(BL8="",BL8="NaN"),"",BL8-AVERAGE(BL$8:BL$14))</f>
        <v>1.3264452142857159</v>
      </c>
      <c r="BQ8" s="5">
        <f t="shared" ref="BQ8:BQ14" si="18">IF(OR(BM8="",BM8="NaN"),"",BM8-AVERAGE(BM$8:BM$14))</f>
        <v>2.1251634571428575</v>
      </c>
      <c r="BS8" s="14">
        <v>2.935959</v>
      </c>
      <c r="BT8" s="15">
        <v>3.1397004000000002</v>
      </c>
      <c r="BU8" s="15">
        <v>3.1350172000000001</v>
      </c>
      <c r="BV8" s="16">
        <v>3.119373</v>
      </c>
      <c r="BW8" s="5">
        <f>IF(OR(BS8="",BS8="NaN"),"",BS8-AVERAGE(BS$8:BS$14))</f>
        <v>1.1359475571428572</v>
      </c>
      <c r="BX8" s="5">
        <f t="shared" ref="BX8:BX14" si="19">IF(OR(BT8="",BT8="NaN"),"",BT8-AVERAGE(BT$8:BT$14))</f>
        <v>1.153716542857143</v>
      </c>
      <c r="BY8" s="5">
        <f t="shared" ref="BY8:BY14" si="20">IF(OR(BU8="",BU8="NaN"),"",BU8-AVERAGE(BU$8:BU$14))</f>
        <v>1.0256665714285718</v>
      </c>
      <c r="BZ8" s="5">
        <f t="shared" ref="BZ8:BZ14" si="21">IF(OR(BV8="",BV8="NaN"),"",BV8-AVERAGE(BV$8:BV$14))</f>
        <v>0.88458765714285681</v>
      </c>
    </row>
    <row r="9" spans="1:78" x14ac:dyDescent="0.25">
      <c r="A9" s="38"/>
      <c r="B9" s="5">
        <v>46.3</v>
      </c>
      <c r="C9" s="5">
        <v>46.55</v>
      </c>
      <c r="D9" s="5">
        <v>45.7</v>
      </c>
      <c r="E9" s="5">
        <v>45.2</v>
      </c>
      <c r="F9" s="18">
        <v>6</v>
      </c>
      <c r="H9" s="19">
        <v>86.257909999999995</v>
      </c>
      <c r="I9" s="20">
        <v>85.653819999999996</v>
      </c>
      <c r="J9" s="20">
        <v>85.462860000000006</v>
      </c>
      <c r="K9" s="21">
        <v>85.896630000000002</v>
      </c>
      <c r="L9" s="5">
        <f t="shared" ref="L9:L14" si="22">IF(OR(H9="",H9="NaN"),"",H9-AVERAGE(H$8:H$14))</f>
        <v>-0.26378857142857726</v>
      </c>
      <c r="M9" s="5">
        <f t="shared" ref="M9:M14" si="23">IF(OR(I9="",I9="NaN"),"",I9-AVERAGE(I$8:I$14))</f>
        <v>-0.7461884285714433</v>
      </c>
      <c r="N9" s="5">
        <f t="shared" ref="N9:N14" si="24">IF(OR(J9="",J9="NaN"),"",J9-AVERAGE(J$8:J$14))</f>
        <v>-0.64052942857142625</v>
      </c>
      <c r="O9" s="5">
        <f t="shared" ref="O9:O14" si="25">IF(OR(K9="",K9="NaN"),"",K9-AVERAGE(K$8:K$14))</f>
        <v>-0.29122571428570154</v>
      </c>
      <c r="P9" s="5"/>
      <c r="Q9" s="19">
        <v>72.912704000000005</v>
      </c>
      <c r="R9" s="20">
        <v>72.815359999999998</v>
      </c>
      <c r="S9" s="20">
        <v>72.853499999999997</v>
      </c>
      <c r="T9" s="21">
        <v>72.920479999999998</v>
      </c>
      <c r="U9" s="5">
        <f t="shared" ref="U9:U14" si="26">IF(OR(Q9="",Q9="NaN"),"",Q9-AVERAGE(Q$8:Q$14))</f>
        <v>0.81796771428572868</v>
      </c>
      <c r="V9" s="5">
        <f t="shared" si="1"/>
        <v>0.7808891428571485</v>
      </c>
      <c r="W9" s="5">
        <f t="shared" si="2"/>
        <v>0.70752428571428538</v>
      </c>
      <c r="X9" s="5">
        <f t="shared" si="3"/>
        <v>0.7333500000000015</v>
      </c>
      <c r="Y9" s="5"/>
      <c r="Z9" s="19">
        <v>19.688965</v>
      </c>
      <c r="AA9" s="20">
        <v>30.127825000000001</v>
      </c>
      <c r="AB9" s="20">
        <v>27.191828000000001</v>
      </c>
      <c r="AC9" s="21">
        <v>29.886147999999999</v>
      </c>
      <c r="AD9" s="5">
        <f t="shared" ref="AD9:AD14" si="27">IF(OR(Z9="",Z9="NaN"),"",Z9-AVERAGE(Z$8:Z$14))</f>
        <v>6.3732927142857143</v>
      </c>
      <c r="AE9" s="5">
        <f t="shared" si="4"/>
        <v>10.860233285714287</v>
      </c>
      <c r="AF9" s="5">
        <f t="shared" si="5"/>
        <v>8.4137400000000007</v>
      </c>
      <c r="AG9" s="5">
        <f t="shared" si="6"/>
        <v>10.125404285714282</v>
      </c>
      <c r="AH9" s="5"/>
      <c r="AI9" s="19">
        <v>7.1944375000000003</v>
      </c>
      <c r="AJ9" s="20">
        <v>7.0199579999999999</v>
      </c>
      <c r="AK9" s="20">
        <v>7.1645417</v>
      </c>
      <c r="AL9" s="21">
        <v>7.1440606000000004</v>
      </c>
      <c r="AM9" s="5">
        <f t="shared" ref="AM9:AM14" si="28">IF(OR(AI9="",AI9="NaN"),"",AI9-AVERAGE(AI$8:AI$14))</f>
        <v>0.54346397142857228</v>
      </c>
      <c r="AN9" s="5">
        <f t="shared" si="7"/>
        <v>0.21147161428571337</v>
      </c>
      <c r="AO9" s="5">
        <f t="shared" si="8"/>
        <v>0.21982841428571476</v>
      </c>
      <c r="AP9" s="5">
        <f t="shared" si="9"/>
        <v>0.20333725714285755</v>
      </c>
      <c r="AR9" s="19">
        <v>9.9353800000000003</v>
      </c>
      <c r="AS9" s="20">
        <v>9.8770900000000008</v>
      </c>
      <c r="AT9" s="20">
        <v>9.5002300000000002</v>
      </c>
      <c r="AU9" s="21">
        <v>9.6918039999999994</v>
      </c>
      <c r="AV9" s="5">
        <f t="shared" ref="AV9:AV14" si="29">IF(OR(AR9="",AR9="NaN"),"",AR9-AVERAGE(AR$8:AR$14))</f>
        <v>-8.0653642857141605E-2</v>
      </c>
      <c r="AW9" s="5">
        <f t="shared" si="10"/>
        <v>-0.15605057142857071</v>
      </c>
      <c r="AX9" s="5">
        <f t="shared" si="11"/>
        <v>-0.48555457142857072</v>
      </c>
      <c r="AY9" s="5">
        <f t="shared" si="12"/>
        <v>-0.34493328571428528</v>
      </c>
      <c r="BA9" s="19">
        <v>1.7871207</v>
      </c>
      <c r="BB9" s="20">
        <v>1.8526355999999999</v>
      </c>
      <c r="BC9" s="20">
        <v>1.8445867</v>
      </c>
      <c r="BD9" s="21">
        <v>1.832821</v>
      </c>
      <c r="BE9" s="5">
        <f t="shared" ref="BE9:BE14" si="30">IF(OR(BA9="",BA9="NaN"),"",BA9-AVERAGE(BA$8:BA$14))</f>
        <v>0.28189781428571425</v>
      </c>
      <c r="BF9" s="5">
        <f t="shared" si="13"/>
        <v>0.18812469999999992</v>
      </c>
      <c r="BG9" s="5">
        <f t="shared" si="14"/>
        <v>0.18379589999999979</v>
      </c>
      <c r="BH9" s="5">
        <f t="shared" si="15"/>
        <v>0.14823378571428547</v>
      </c>
      <c r="BJ9" s="19">
        <v>8.7633880000000008</v>
      </c>
      <c r="BK9" s="20">
        <v>15.143732999999999</v>
      </c>
      <c r="BL9" s="20">
        <v>14.338761999999999</v>
      </c>
      <c r="BM9" s="21">
        <v>14.870113999999999</v>
      </c>
      <c r="BN9" s="5">
        <f t="shared" ref="BN9:BN14" si="31">IF(OR(BJ9="",BJ9="NaN"),"",BJ9-AVERAGE(BJ$8:BJ$14))</f>
        <v>1.7167056285714288</v>
      </c>
      <c r="BO9" s="5">
        <f t="shared" si="16"/>
        <v>4.8625830285714251</v>
      </c>
      <c r="BP9" s="5">
        <f t="shared" si="17"/>
        <v>3.2126487142857147</v>
      </c>
      <c r="BQ9" s="5">
        <f t="shared" si="18"/>
        <v>3.6660244571428571</v>
      </c>
      <c r="BS9" s="19">
        <v>1.6281238</v>
      </c>
      <c r="BT9" s="20">
        <v>1.7949511</v>
      </c>
      <c r="BU9" s="20">
        <v>2.9467639999999999</v>
      </c>
      <c r="BV9" s="21">
        <v>2.9695779999999998</v>
      </c>
      <c r="BW9" s="5">
        <f t="shared" ref="BW9:BW14" si="32">IF(OR(BS9="",BS9="NaN"),"",BS9-AVERAGE(BS$8:BS$14))</f>
        <v>-0.17188764285714275</v>
      </c>
      <c r="BX9" s="5">
        <f t="shared" si="19"/>
        <v>-0.19103275714285717</v>
      </c>
      <c r="BY9" s="5">
        <f t="shared" si="20"/>
        <v>0.83741337142857164</v>
      </c>
      <c r="BZ9" s="5">
        <f t="shared" si="21"/>
        <v>0.73479265714285669</v>
      </c>
    </row>
    <row r="10" spans="1:78" x14ac:dyDescent="0.25">
      <c r="A10" s="38"/>
      <c r="B10" s="5">
        <v>39.4</v>
      </c>
      <c r="C10" s="5">
        <v>39.299999999999997</v>
      </c>
      <c r="D10" s="5">
        <v>39.349999999999987</v>
      </c>
      <c r="E10" s="5">
        <v>39.299999999999997</v>
      </c>
      <c r="F10" s="18">
        <v>11</v>
      </c>
      <c r="H10" s="19">
        <v>86.130904999999998</v>
      </c>
      <c r="I10" s="20">
        <v>86.041884999999994</v>
      </c>
      <c r="J10" s="20">
        <v>85.967380000000006</v>
      </c>
      <c r="K10" s="21">
        <v>85.965675000000005</v>
      </c>
      <c r="L10" s="5">
        <f t="shared" si="22"/>
        <v>-0.39079357142857418</v>
      </c>
      <c r="M10" s="5">
        <f t="shared" si="23"/>
        <v>-0.35812342857144586</v>
      </c>
      <c r="N10" s="5">
        <f t="shared" si="24"/>
        <v>-0.13600942857142684</v>
      </c>
      <c r="O10" s="5">
        <f t="shared" si="25"/>
        <v>-0.22218071428569885</v>
      </c>
      <c r="P10" s="5"/>
      <c r="Q10" s="19">
        <v>72.882419999999996</v>
      </c>
      <c r="R10" s="20">
        <v>72.881200000000007</v>
      </c>
      <c r="S10" s="20">
        <v>72.692740000000001</v>
      </c>
      <c r="T10" s="21">
        <v>72.896050000000002</v>
      </c>
      <c r="U10" s="5">
        <f t="shared" si="26"/>
        <v>0.78768371428571982</v>
      </c>
      <c r="V10" s="5">
        <f t="shared" si="1"/>
        <v>0.84672914285715706</v>
      </c>
      <c r="W10" s="5">
        <f t="shared" si="2"/>
        <v>0.54676428571428914</v>
      </c>
      <c r="X10" s="5">
        <f t="shared" si="3"/>
        <v>0.70892000000000621</v>
      </c>
      <c r="Y10" s="5"/>
      <c r="Z10" s="19">
        <v>11.232786000000001</v>
      </c>
      <c r="AA10" s="20">
        <v>26.704751999999999</v>
      </c>
      <c r="AB10" s="20">
        <v>25.129593</v>
      </c>
      <c r="AC10" s="21">
        <v>27.130991000000002</v>
      </c>
      <c r="AD10" s="5">
        <f t="shared" si="27"/>
        <v>-2.0828862857142845</v>
      </c>
      <c r="AE10" s="5">
        <f t="shared" si="4"/>
        <v>7.4371602857142847</v>
      </c>
      <c r="AF10" s="5">
        <f t="shared" si="5"/>
        <v>6.3515049999999995</v>
      </c>
      <c r="AG10" s="5">
        <f t="shared" si="6"/>
        <v>7.3702472857142851</v>
      </c>
      <c r="AH10" s="5"/>
      <c r="AI10" s="19">
        <v>7.1098319999999999</v>
      </c>
      <c r="AJ10" s="20">
        <v>7.0892777000000002</v>
      </c>
      <c r="AK10" s="20">
        <v>7.1753710000000002</v>
      </c>
      <c r="AL10" s="21">
        <v>7.1434464000000002</v>
      </c>
      <c r="AM10" s="5">
        <f t="shared" si="28"/>
        <v>0.45885847142857195</v>
      </c>
      <c r="AN10" s="5">
        <f t="shared" si="7"/>
        <v>0.28079131428571369</v>
      </c>
      <c r="AO10" s="5">
        <f t="shared" si="8"/>
        <v>0.23065771428571491</v>
      </c>
      <c r="AP10" s="5">
        <f t="shared" si="9"/>
        <v>0.20272305714285732</v>
      </c>
      <c r="AR10" s="19">
        <v>9.7335600000000007</v>
      </c>
      <c r="AS10" s="20">
        <v>9.8066820000000003</v>
      </c>
      <c r="AT10" s="20">
        <v>9.7901070000000008</v>
      </c>
      <c r="AU10" s="21">
        <v>9.7077329999999993</v>
      </c>
      <c r="AV10" s="5">
        <f t="shared" si="29"/>
        <v>-0.28247364285714127</v>
      </c>
      <c r="AW10" s="5">
        <f t="shared" si="10"/>
        <v>-0.22645857142857118</v>
      </c>
      <c r="AX10" s="5">
        <f t="shared" si="11"/>
        <v>-0.19567757142857012</v>
      </c>
      <c r="AY10" s="5">
        <f t="shared" si="12"/>
        <v>-0.32900428571428542</v>
      </c>
      <c r="BA10" s="19">
        <v>1.5086883</v>
      </c>
      <c r="BB10" s="20">
        <v>1.8141303</v>
      </c>
      <c r="BC10" s="20">
        <v>1.8029331</v>
      </c>
      <c r="BD10" s="21">
        <v>1.7897764</v>
      </c>
      <c r="BE10" s="5">
        <f t="shared" si="30"/>
        <v>3.46541428571423E-3</v>
      </c>
      <c r="BF10" s="5">
        <f t="shared" si="13"/>
        <v>0.14961939999999996</v>
      </c>
      <c r="BG10" s="5">
        <f t="shared" si="14"/>
        <v>0.14214229999999972</v>
      </c>
      <c r="BH10" s="5">
        <f t="shared" si="15"/>
        <v>0.10518918571428548</v>
      </c>
      <c r="BJ10" s="19">
        <v>9.0599450000000008</v>
      </c>
      <c r="BK10" s="20">
        <v>15.403843</v>
      </c>
      <c r="BL10" s="20">
        <v>15.59465</v>
      </c>
      <c r="BM10" s="21">
        <v>14.843901000000001</v>
      </c>
      <c r="BN10" s="5">
        <f t="shared" si="31"/>
        <v>2.0132626285714288</v>
      </c>
      <c r="BO10" s="5">
        <f t="shared" si="16"/>
        <v>5.1226930285714261</v>
      </c>
      <c r="BP10" s="5">
        <f t="shared" si="17"/>
        <v>4.4685367142857153</v>
      </c>
      <c r="BQ10" s="5">
        <f t="shared" si="18"/>
        <v>3.6398114571428586</v>
      </c>
      <c r="BS10" s="19">
        <v>1.5567340999999999</v>
      </c>
      <c r="BT10" s="20">
        <v>1.7918187000000001</v>
      </c>
      <c r="BU10" s="20">
        <v>1.8030553</v>
      </c>
      <c r="BV10" s="21">
        <v>2.2462718000000002</v>
      </c>
      <c r="BW10" s="5">
        <f t="shared" si="32"/>
        <v>-0.24327734285714286</v>
      </c>
      <c r="BX10" s="5">
        <f t="shared" si="19"/>
        <v>-0.19416515714285709</v>
      </c>
      <c r="BY10" s="5">
        <f t="shared" si="20"/>
        <v>-0.30629532857142827</v>
      </c>
      <c r="BZ10" s="5">
        <f t="shared" si="21"/>
        <v>1.1486457142857009E-2</v>
      </c>
    </row>
    <row r="11" spans="1:78" x14ac:dyDescent="0.25">
      <c r="A11" s="38"/>
      <c r="B11" s="5">
        <v>31.15</v>
      </c>
      <c r="C11" s="5">
        <v>31.6</v>
      </c>
      <c r="D11" s="5">
        <v>30.95</v>
      </c>
      <c r="E11" s="5">
        <v>30.5</v>
      </c>
      <c r="F11" s="18">
        <v>16</v>
      </c>
      <c r="H11" s="19">
        <v>86.612335000000002</v>
      </c>
      <c r="I11" s="20">
        <v>86.709909999999994</v>
      </c>
      <c r="J11" s="20">
        <v>86.247985999999997</v>
      </c>
      <c r="K11" s="21">
        <v>86.253739999999993</v>
      </c>
      <c r="L11" s="5">
        <f t="shared" si="22"/>
        <v>9.0636428571428951E-2</v>
      </c>
      <c r="M11" s="5">
        <f t="shared" si="23"/>
        <v>0.30990157142855423</v>
      </c>
      <c r="N11" s="5">
        <f t="shared" si="24"/>
        <v>0.14459657142856486</v>
      </c>
      <c r="O11" s="5">
        <f t="shared" si="25"/>
        <v>6.5884285714290058E-2</v>
      </c>
      <c r="P11" s="5"/>
      <c r="Q11" s="19">
        <v>72.254760000000005</v>
      </c>
      <c r="R11" s="20">
        <v>71.911270000000002</v>
      </c>
      <c r="S11" s="20">
        <v>72.696370000000002</v>
      </c>
      <c r="T11" s="21">
        <v>72.360039999999998</v>
      </c>
      <c r="U11" s="5">
        <f t="shared" si="26"/>
        <v>0.16002371428572815</v>
      </c>
      <c r="V11" s="5">
        <f t="shared" si="1"/>
        <v>-0.12320085714284801</v>
      </c>
      <c r="W11" s="5">
        <f t="shared" si="2"/>
        <v>0.55039428571429028</v>
      </c>
      <c r="X11" s="5">
        <f t="shared" si="3"/>
        <v>0.17291000000000167</v>
      </c>
      <c r="Y11" s="5"/>
      <c r="Z11" s="19">
        <v>10.254633999999999</v>
      </c>
      <c r="AA11" s="20">
        <v>22.348337000000001</v>
      </c>
      <c r="AB11" s="20">
        <v>22.287455000000001</v>
      </c>
      <c r="AC11" s="21">
        <v>23.243068999999998</v>
      </c>
      <c r="AD11" s="5">
        <f t="shared" si="27"/>
        <v>-3.0610382857142859</v>
      </c>
      <c r="AE11" s="5">
        <f t="shared" si="4"/>
        <v>3.0807452857142863</v>
      </c>
      <c r="AF11" s="5">
        <f t="shared" si="5"/>
        <v>3.509367000000001</v>
      </c>
      <c r="AG11" s="5">
        <f t="shared" si="6"/>
        <v>3.4823252857142819</v>
      </c>
      <c r="AH11" s="5"/>
      <c r="AI11" s="19">
        <v>6.4116970000000002</v>
      </c>
      <c r="AJ11" s="20">
        <v>6.9902100000000003</v>
      </c>
      <c r="AK11" s="20">
        <v>7.0243362999999999</v>
      </c>
      <c r="AL11" s="21">
        <v>7.0480140000000002</v>
      </c>
      <c r="AM11" s="5">
        <f t="shared" si="28"/>
        <v>-0.23927652857142778</v>
      </c>
      <c r="AN11" s="5">
        <f t="shared" si="7"/>
        <v>0.18172361428571371</v>
      </c>
      <c r="AO11" s="5">
        <f t="shared" si="8"/>
        <v>7.9623014285714611E-2</v>
      </c>
      <c r="AP11" s="5">
        <f t="shared" si="9"/>
        <v>0.10729065714285735</v>
      </c>
      <c r="AR11" s="19">
        <v>9.8137290000000004</v>
      </c>
      <c r="AS11" s="20">
        <v>9.7249199999999991</v>
      </c>
      <c r="AT11" s="20">
        <v>9.8018675000000002</v>
      </c>
      <c r="AU11" s="21">
        <v>9.8473000000000006</v>
      </c>
      <c r="AV11" s="5">
        <f t="shared" si="29"/>
        <v>-0.20230464285714156</v>
      </c>
      <c r="AW11" s="5">
        <f t="shared" si="10"/>
        <v>-0.3082205714285724</v>
      </c>
      <c r="AX11" s="5">
        <f t="shared" si="11"/>
        <v>-0.18391707142857072</v>
      </c>
      <c r="AY11" s="5">
        <f t="shared" si="12"/>
        <v>-0.18943728571428409</v>
      </c>
      <c r="BA11" s="19">
        <v>1.3718984000000001</v>
      </c>
      <c r="BB11" s="20">
        <v>1.7739640000000001</v>
      </c>
      <c r="BC11" s="20">
        <v>1.7739640000000001</v>
      </c>
      <c r="BD11" s="21">
        <v>1.7739640000000001</v>
      </c>
      <c r="BE11" s="5">
        <f t="shared" si="30"/>
        <v>-0.13332448571428568</v>
      </c>
      <c r="BF11" s="5">
        <f t="shared" si="13"/>
        <v>0.10945310000000008</v>
      </c>
      <c r="BG11" s="5">
        <f t="shared" si="14"/>
        <v>0.11317319999999986</v>
      </c>
      <c r="BH11" s="5">
        <f t="shared" si="15"/>
        <v>8.9376785714285534E-2</v>
      </c>
      <c r="BJ11" s="19">
        <v>6.4377456000000004</v>
      </c>
      <c r="BK11" s="20">
        <v>9.1309009999999997</v>
      </c>
      <c r="BL11" s="20">
        <v>13.515757000000001</v>
      </c>
      <c r="BM11" s="21">
        <v>13.104310999999999</v>
      </c>
      <c r="BN11" s="5">
        <f t="shared" si="31"/>
        <v>-0.60893677142857161</v>
      </c>
      <c r="BO11" s="5">
        <f t="shared" si="16"/>
        <v>-1.1502489714285744</v>
      </c>
      <c r="BP11" s="5">
        <f t="shared" si="17"/>
        <v>2.3896437142857163</v>
      </c>
      <c r="BQ11" s="5">
        <f t="shared" si="18"/>
        <v>1.9002214571428571</v>
      </c>
      <c r="BS11" s="19">
        <v>1.5135137999999999</v>
      </c>
      <c r="BT11" s="20">
        <v>1.9676563</v>
      </c>
      <c r="BU11" s="20">
        <v>1.7040259</v>
      </c>
      <c r="BV11" s="21">
        <v>1.9334855</v>
      </c>
      <c r="BW11" s="5">
        <f t="shared" si="32"/>
        <v>-0.28649764285714285</v>
      </c>
      <c r="BX11" s="5">
        <f t="shared" si="19"/>
        <v>-1.8327557142857165E-2</v>
      </c>
      <c r="BY11" s="5">
        <f t="shared" si="20"/>
        <v>-0.40532472857142832</v>
      </c>
      <c r="BZ11" s="5">
        <f t="shared" si="21"/>
        <v>-0.30129984285714317</v>
      </c>
    </row>
    <row r="12" spans="1:78" x14ac:dyDescent="0.25">
      <c r="A12" s="38"/>
      <c r="B12" s="5">
        <v>24.2</v>
      </c>
      <c r="C12" s="5">
        <v>24.2</v>
      </c>
      <c r="D12" s="5">
        <v>24.1</v>
      </c>
      <c r="E12" s="5">
        <v>24</v>
      </c>
      <c r="F12" s="18">
        <v>21</v>
      </c>
      <c r="H12" s="19">
        <v>86.670540000000003</v>
      </c>
      <c r="I12" s="20">
        <v>86.820340000000002</v>
      </c>
      <c r="J12" s="20">
        <v>86.656684999999996</v>
      </c>
      <c r="K12" s="21">
        <v>86.71848</v>
      </c>
      <c r="L12" s="5">
        <f t="shared" si="22"/>
        <v>0.1488414285714299</v>
      </c>
      <c r="M12" s="5">
        <f t="shared" si="23"/>
        <v>0.42033157142856226</v>
      </c>
      <c r="N12" s="5">
        <f t="shared" si="24"/>
        <v>0.55329557142856345</v>
      </c>
      <c r="O12" s="5">
        <f t="shared" si="25"/>
        <v>0.53062428571429621</v>
      </c>
      <c r="P12" s="5"/>
      <c r="Q12" s="19">
        <v>71.155169999999998</v>
      </c>
      <c r="R12" s="20">
        <v>71.021349999999998</v>
      </c>
      <c r="S12" s="20">
        <v>71.329840000000004</v>
      </c>
      <c r="T12" s="21">
        <v>71.580344999999994</v>
      </c>
      <c r="U12" s="5">
        <f t="shared" si="26"/>
        <v>-0.93956628571427814</v>
      </c>
      <c r="V12" s="5">
        <f t="shared" si="1"/>
        <v>-1.0131208571428516</v>
      </c>
      <c r="W12" s="5">
        <f t="shared" si="2"/>
        <v>-0.81613571428570708</v>
      </c>
      <c r="X12" s="5">
        <f t="shared" si="3"/>
        <v>-0.60678500000000213</v>
      </c>
      <c r="Y12" s="5"/>
      <c r="Z12" s="19">
        <v>8.9260520000000003</v>
      </c>
      <c r="AA12" s="20">
        <v>10.798907</v>
      </c>
      <c r="AB12" s="20">
        <v>10.855884</v>
      </c>
      <c r="AC12" s="21">
        <v>11.001068</v>
      </c>
      <c r="AD12" s="5">
        <f t="shared" si="27"/>
        <v>-4.389620285714285</v>
      </c>
      <c r="AE12" s="5">
        <f t="shared" si="4"/>
        <v>-8.4686847142857147</v>
      </c>
      <c r="AF12" s="5">
        <f t="shared" si="5"/>
        <v>-7.9222040000000007</v>
      </c>
      <c r="AG12" s="5">
        <f t="shared" si="6"/>
        <v>-8.7596757142857165</v>
      </c>
      <c r="AH12" s="5"/>
      <c r="AI12" s="19">
        <v>6.2978800000000001</v>
      </c>
      <c r="AJ12" s="20">
        <v>6.870082</v>
      </c>
      <c r="AK12" s="20">
        <v>6.9675984</v>
      </c>
      <c r="AL12" s="21">
        <v>6.9793729999999998</v>
      </c>
      <c r="AM12" s="5">
        <f t="shared" si="28"/>
        <v>-0.35309352857142784</v>
      </c>
      <c r="AN12" s="5">
        <f t="shared" si="7"/>
        <v>6.1595614285713474E-2</v>
      </c>
      <c r="AO12" s="5">
        <f t="shared" si="8"/>
        <v>2.2885114285714714E-2</v>
      </c>
      <c r="AP12" s="5">
        <f t="shared" si="9"/>
        <v>3.8649657142856952E-2</v>
      </c>
      <c r="AR12" s="19">
        <v>10.348371500000001</v>
      </c>
      <c r="AS12" s="20">
        <v>10.155937</v>
      </c>
      <c r="AT12" s="20">
        <v>10.072768</v>
      </c>
      <c r="AU12" s="21">
        <v>10.122484999999999</v>
      </c>
      <c r="AV12" s="5">
        <f t="shared" si="29"/>
        <v>0.33233785714285879</v>
      </c>
      <c r="AW12" s="5">
        <f t="shared" si="10"/>
        <v>0.12279642857142825</v>
      </c>
      <c r="AX12" s="5">
        <f t="shared" si="11"/>
        <v>8.6983428571429044E-2</v>
      </c>
      <c r="AY12" s="5">
        <f t="shared" si="12"/>
        <v>8.5747714285714594E-2</v>
      </c>
      <c r="BA12" s="19">
        <v>1.3578348</v>
      </c>
      <c r="BB12" s="20">
        <v>1.4936955999999999</v>
      </c>
      <c r="BC12" s="20">
        <v>1.4824364999999999</v>
      </c>
      <c r="BD12" s="21">
        <v>1.4930483000000001</v>
      </c>
      <c r="BE12" s="5">
        <f t="shared" si="30"/>
        <v>-0.14738808571428574</v>
      </c>
      <c r="BF12" s="5">
        <f t="shared" si="13"/>
        <v>-0.17081530000000011</v>
      </c>
      <c r="BG12" s="5">
        <f t="shared" si="14"/>
        <v>-0.1783543000000003</v>
      </c>
      <c r="BH12" s="5">
        <f t="shared" si="15"/>
        <v>-0.19153891428571446</v>
      </c>
      <c r="BJ12" s="19">
        <v>3.6319620000000001</v>
      </c>
      <c r="BK12" s="20">
        <v>6.8279123000000004</v>
      </c>
      <c r="BL12" s="20">
        <v>7.0665509999999996</v>
      </c>
      <c r="BM12" s="21">
        <v>7.9321264999999999</v>
      </c>
      <c r="BN12" s="5">
        <f t="shared" si="31"/>
        <v>-3.4147203714285719</v>
      </c>
      <c r="BO12" s="5">
        <f t="shared" si="16"/>
        <v>-3.4532376714285737</v>
      </c>
      <c r="BP12" s="5">
        <f t="shared" si="17"/>
        <v>-4.0595622857142848</v>
      </c>
      <c r="BQ12" s="5">
        <f t="shared" si="18"/>
        <v>-3.2719630428571422</v>
      </c>
      <c r="BS12" s="19">
        <v>1.6129184999999999</v>
      </c>
      <c r="BT12" s="20">
        <v>1.6781166999999999</v>
      </c>
      <c r="BU12" s="20">
        <v>1.8659467000000001</v>
      </c>
      <c r="BV12" s="21">
        <v>1.9186548999999999</v>
      </c>
      <c r="BW12" s="5">
        <f t="shared" si="32"/>
        <v>-0.18709294285714284</v>
      </c>
      <c r="BX12" s="5">
        <f t="shared" si="19"/>
        <v>-0.30786715714285728</v>
      </c>
      <c r="BY12" s="5">
        <f t="shared" si="20"/>
        <v>-0.24340392857142823</v>
      </c>
      <c r="BZ12" s="5">
        <f t="shared" si="21"/>
        <v>-0.3161304428571432</v>
      </c>
    </row>
    <row r="13" spans="1:78" x14ac:dyDescent="0.25">
      <c r="A13" s="38"/>
      <c r="B13" s="5">
        <v>19.7</v>
      </c>
      <c r="C13" s="5">
        <v>19.75</v>
      </c>
      <c r="D13" s="5">
        <v>19.55</v>
      </c>
      <c r="E13" s="5">
        <v>19.5</v>
      </c>
      <c r="F13" s="18">
        <v>26</v>
      </c>
      <c r="H13" s="19">
        <v>87.229860000000002</v>
      </c>
      <c r="I13" s="20">
        <v>86.945700000000002</v>
      </c>
      <c r="J13" s="20">
        <v>86.781845000000004</v>
      </c>
      <c r="K13" s="21">
        <v>86.723129999999998</v>
      </c>
      <c r="L13" s="5">
        <f t="shared" si="22"/>
        <v>0.7081614285714295</v>
      </c>
      <c r="M13" s="5">
        <f t="shared" si="23"/>
        <v>0.54569157142856284</v>
      </c>
      <c r="N13" s="5">
        <f t="shared" si="24"/>
        <v>0.6784555714285716</v>
      </c>
      <c r="O13" s="5">
        <f t="shared" si="25"/>
        <v>0.53527428571429425</v>
      </c>
      <c r="P13" s="5"/>
      <c r="Q13" s="19">
        <v>71.257279999999994</v>
      </c>
      <c r="R13" s="20">
        <v>71.199160000000006</v>
      </c>
      <c r="S13" s="20">
        <v>71.200779999999995</v>
      </c>
      <c r="T13" s="21">
        <v>71.37567</v>
      </c>
      <c r="U13" s="5">
        <f t="shared" si="26"/>
        <v>-0.83745628571428199</v>
      </c>
      <c r="V13" s="5">
        <f t="shared" si="1"/>
        <v>-0.83531085714284359</v>
      </c>
      <c r="W13" s="5">
        <f t="shared" si="2"/>
        <v>-0.9451957142857168</v>
      </c>
      <c r="X13" s="5">
        <f t="shared" si="3"/>
        <v>-0.81145999999999674</v>
      </c>
      <c r="Y13" s="5"/>
      <c r="Z13" s="19">
        <v>8.7213980000000006</v>
      </c>
      <c r="AA13" s="20">
        <v>10.567418999999999</v>
      </c>
      <c r="AB13" s="20">
        <v>10.745934999999999</v>
      </c>
      <c r="AC13" s="21">
        <v>10.598466999999999</v>
      </c>
      <c r="AD13" s="5">
        <f t="shared" si="27"/>
        <v>-4.5942742857142846</v>
      </c>
      <c r="AE13" s="5">
        <f t="shared" si="4"/>
        <v>-8.7001727142857153</v>
      </c>
      <c r="AF13" s="5">
        <f t="shared" si="5"/>
        <v>-8.032153000000001</v>
      </c>
      <c r="AG13" s="5">
        <f t="shared" si="6"/>
        <v>-9.1622767142857171</v>
      </c>
      <c r="AH13" s="5"/>
      <c r="AI13" s="19">
        <v>6.2860765000000001</v>
      </c>
      <c r="AJ13" s="20">
        <v>6.2876133999999997</v>
      </c>
      <c r="AK13" s="20">
        <v>6.8675857000000002</v>
      </c>
      <c r="AL13" s="21">
        <v>6.8062882</v>
      </c>
      <c r="AM13" s="5">
        <f t="shared" si="28"/>
        <v>-0.36489702857142792</v>
      </c>
      <c r="AN13" s="5">
        <f t="shared" si="7"/>
        <v>-0.52087298571428686</v>
      </c>
      <c r="AO13" s="5">
        <f t="shared" si="8"/>
        <v>-7.7127585714285019E-2</v>
      </c>
      <c r="AP13" s="5">
        <f t="shared" si="9"/>
        <v>-0.13443514285714286</v>
      </c>
      <c r="AR13" s="19">
        <v>10.249428</v>
      </c>
      <c r="AS13" s="20">
        <v>10.180142999999999</v>
      </c>
      <c r="AT13" s="20">
        <v>10.284368499999999</v>
      </c>
      <c r="AU13" s="21">
        <v>10.30495</v>
      </c>
      <c r="AV13" s="5">
        <f t="shared" si="29"/>
        <v>0.23339435714285806</v>
      </c>
      <c r="AW13" s="5">
        <f t="shared" si="10"/>
        <v>0.14700242857142776</v>
      </c>
      <c r="AX13" s="5">
        <f t="shared" si="11"/>
        <v>0.29858392857142846</v>
      </c>
      <c r="AY13" s="5">
        <f t="shared" si="12"/>
        <v>0.26821271428571514</v>
      </c>
      <c r="BA13" s="19">
        <v>1.3448169999999999</v>
      </c>
      <c r="BB13" s="20">
        <v>1.3569057</v>
      </c>
      <c r="BC13" s="20">
        <v>1.3569057</v>
      </c>
      <c r="BD13" s="21">
        <v>1.4824364999999999</v>
      </c>
      <c r="BE13" s="5">
        <f t="shared" si="30"/>
        <v>-0.16040588571428582</v>
      </c>
      <c r="BF13" s="5">
        <f t="shared" si="13"/>
        <v>-0.30760520000000002</v>
      </c>
      <c r="BG13" s="5">
        <f t="shared" si="14"/>
        <v>-0.30388510000000024</v>
      </c>
      <c r="BH13" s="5">
        <f t="shared" si="15"/>
        <v>-0.20215071428571463</v>
      </c>
      <c r="BJ13" s="19">
        <v>4.399349</v>
      </c>
      <c r="BK13" s="20">
        <v>7.2034345000000002</v>
      </c>
      <c r="BL13" s="20">
        <v>7.4776734999999999</v>
      </c>
      <c r="BM13" s="21">
        <v>7.2242445999999996</v>
      </c>
      <c r="BN13" s="5">
        <f t="shared" si="31"/>
        <v>-2.6473333714285721</v>
      </c>
      <c r="BO13" s="5">
        <f t="shared" si="16"/>
        <v>-3.0777154714285739</v>
      </c>
      <c r="BP13" s="5">
        <f t="shared" si="17"/>
        <v>-3.6484397857142845</v>
      </c>
      <c r="BQ13" s="5">
        <f t="shared" si="18"/>
        <v>-3.9798449428571425</v>
      </c>
      <c r="BS13" s="19">
        <v>1.6760060999999999</v>
      </c>
      <c r="BT13" s="20">
        <v>1.7390116</v>
      </c>
      <c r="BU13" s="20">
        <v>1.5951755000000001</v>
      </c>
      <c r="BV13" s="21">
        <v>1.7628318000000001</v>
      </c>
      <c r="BW13" s="5">
        <f t="shared" si="32"/>
        <v>-0.12400534285714282</v>
      </c>
      <c r="BX13" s="5">
        <f t="shared" si="19"/>
        <v>-0.2469722571428572</v>
      </c>
      <c r="BY13" s="5">
        <f t="shared" si="20"/>
        <v>-0.51417512857142822</v>
      </c>
      <c r="BZ13" s="5">
        <f t="shared" si="21"/>
        <v>-0.47195354285714308</v>
      </c>
    </row>
    <row r="14" spans="1:78" x14ac:dyDescent="0.25">
      <c r="A14" s="38"/>
      <c r="B14" s="5">
        <v>11.6</v>
      </c>
      <c r="C14" s="5">
        <v>11.5</v>
      </c>
      <c r="D14" s="5">
        <v>11.85</v>
      </c>
      <c r="E14" s="5">
        <v>11.9</v>
      </c>
      <c r="F14" s="18">
        <v>31</v>
      </c>
      <c r="H14" s="19">
        <v>87.347629999999995</v>
      </c>
      <c r="I14" s="20">
        <v>87.392769999999999</v>
      </c>
      <c r="J14" s="20">
        <v>86.861069999999998</v>
      </c>
      <c r="K14" s="21">
        <v>86.805109999999999</v>
      </c>
      <c r="L14" s="5">
        <f t="shared" si="22"/>
        <v>0.82593142857142254</v>
      </c>
      <c r="M14" s="5">
        <f t="shared" si="23"/>
        <v>0.99276157142855936</v>
      </c>
      <c r="N14" s="5">
        <f t="shared" si="24"/>
        <v>0.75768057142856549</v>
      </c>
      <c r="O14" s="5">
        <f t="shared" si="25"/>
        <v>0.61725428571429575</v>
      </c>
      <c r="P14" s="5"/>
      <c r="Q14" s="19">
        <v>71.408529999999999</v>
      </c>
      <c r="R14" s="20">
        <v>71.288070000000005</v>
      </c>
      <c r="S14" s="20">
        <v>71.364789999999999</v>
      </c>
      <c r="T14" s="21">
        <v>71.184105000000002</v>
      </c>
      <c r="U14" s="5">
        <f t="shared" si="26"/>
        <v>-0.68620628571427744</v>
      </c>
      <c r="V14" s="5">
        <f t="shared" si="1"/>
        <v>-0.7464008571428451</v>
      </c>
      <c r="W14" s="5">
        <f t="shared" si="2"/>
        <v>-0.78118571428571215</v>
      </c>
      <c r="X14" s="5">
        <f t="shared" si="3"/>
        <v>-1.0030249999999938</v>
      </c>
      <c r="Y14" s="5"/>
      <c r="Z14" s="19">
        <v>8.7971489999999992</v>
      </c>
      <c r="AA14" s="20">
        <v>8.8925979999999996</v>
      </c>
      <c r="AB14" s="20">
        <v>10.934245000000001</v>
      </c>
      <c r="AC14" s="21">
        <v>10.800506</v>
      </c>
      <c r="AD14" s="5">
        <f t="shared" si="27"/>
        <v>-4.5185232857142861</v>
      </c>
      <c r="AE14" s="5">
        <f t="shared" si="4"/>
        <v>-10.374993714285715</v>
      </c>
      <c r="AF14" s="5">
        <f t="shared" si="5"/>
        <v>-7.8438429999999997</v>
      </c>
      <c r="AG14" s="5">
        <f t="shared" si="6"/>
        <v>-8.9602377142857161</v>
      </c>
      <c r="AH14" s="5"/>
      <c r="AI14" s="19">
        <v>6.2709675000000002</v>
      </c>
      <c r="AJ14" s="20">
        <v>6.2719126000000003</v>
      </c>
      <c r="AK14" s="20">
        <v>6.2800703000000002</v>
      </c>
      <c r="AL14" s="21">
        <v>6.23719</v>
      </c>
      <c r="AM14" s="5">
        <f t="shared" si="28"/>
        <v>-0.38000602857142773</v>
      </c>
      <c r="AN14" s="5">
        <f t="shared" si="7"/>
        <v>-0.53657378571428627</v>
      </c>
      <c r="AO14" s="5">
        <f t="shared" si="8"/>
        <v>-0.66464298571428504</v>
      </c>
      <c r="AP14" s="5">
        <f t="shared" si="9"/>
        <v>-0.70353334285714286</v>
      </c>
      <c r="AR14" s="19">
        <v>9.9220889999999997</v>
      </c>
      <c r="AS14" s="20">
        <v>9.9891109999999994</v>
      </c>
      <c r="AT14" s="20">
        <v>10.091367</v>
      </c>
      <c r="AU14" s="21">
        <v>10.188167</v>
      </c>
      <c r="AV14" s="5">
        <f t="shared" si="29"/>
        <v>-9.3944642857142213E-2</v>
      </c>
      <c r="AW14" s="5">
        <f t="shared" si="10"/>
        <v>-4.4029571428572112E-2</v>
      </c>
      <c r="AX14" s="5">
        <f t="shared" si="11"/>
        <v>0.10558242857142908</v>
      </c>
      <c r="AY14" s="5">
        <f t="shared" si="12"/>
        <v>0.15142971428571528</v>
      </c>
      <c r="BA14" s="19">
        <v>1.2908971</v>
      </c>
      <c r="BB14" s="20">
        <v>1.2974654000000001</v>
      </c>
      <c r="BC14" s="20">
        <v>1.3300774</v>
      </c>
      <c r="BD14" s="21">
        <v>1.3489263</v>
      </c>
      <c r="BE14" s="5">
        <f t="shared" si="30"/>
        <v>-0.21432578571428573</v>
      </c>
      <c r="BF14" s="5">
        <f t="shared" si="13"/>
        <v>-0.36704549999999991</v>
      </c>
      <c r="BG14" s="5">
        <f t="shared" si="14"/>
        <v>-0.33071340000000027</v>
      </c>
      <c r="BH14" s="5">
        <f t="shared" si="15"/>
        <v>-0.33566091428571454</v>
      </c>
      <c r="BJ14" s="19">
        <v>5.1761489999999997</v>
      </c>
      <c r="BK14" s="20">
        <v>4.8111360000000003</v>
      </c>
      <c r="BL14" s="20">
        <v>7.4368410000000003</v>
      </c>
      <c r="BM14" s="21">
        <v>7.1246767000000002</v>
      </c>
      <c r="BN14" s="5">
        <f t="shared" si="31"/>
        <v>-1.8705333714285723</v>
      </c>
      <c r="BO14" s="5">
        <f t="shared" si="16"/>
        <v>-5.4700139714285738</v>
      </c>
      <c r="BP14" s="5">
        <f t="shared" si="17"/>
        <v>-3.6892722857142841</v>
      </c>
      <c r="BQ14" s="5">
        <f t="shared" si="18"/>
        <v>-4.0794128428571419</v>
      </c>
      <c r="BS14" s="19">
        <v>1.6768247999999999</v>
      </c>
      <c r="BT14" s="20">
        <v>1.7906321999999999</v>
      </c>
      <c r="BU14" s="20">
        <v>1.7154697999999999</v>
      </c>
      <c r="BV14" s="21">
        <v>1.6933024000000001</v>
      </c>
      <c r="BW14" s="5">
        <f t="shared" si="32"/>
        <v>-0.12318664285714287</v>
      </c>
      <c r="BX14" s="5">
        <f t="shared" si="19"/>
        <v>-0.19535165714285729</v>
      </c>
      <c r="BY14" s="5">
        <f t="shared" si="20"/>
        <v>-0.39388082857142837</v>
      </c>
      <c r="BZ14" s="5">
        <f t="shared" si="21"/>
        <v>-0.54148294285714305</v>
      </c>
    </row>
    <row r="15" spans="1:78" x14ac:dyDescent="0.25">
      <c r="A15" s="48">
        <v>2</v>
      </c>
      <c r="B15" s="12">
        <v>56.25</v>
      </c>
      <c r="C15" s="12">
        <v>57.05</v>
      </c>
      <c r="D15" s="12">
        <v>56.1</v>
      </c>
      <c r="E15" s="12">
        <v>56</v>
      </c>
      <c r="F15" s="13">
        <v>2</v>
      </c>
      <c r="H15" s="14">
        <v>80.023894999999996</v>
      </c>
      <c r="I15" s="15">
        <v>78.43844</v>
      </c>
      <c r="J15" s="15">
        <v>80.436485000000005</v>
      </c>
      <c r="K15" s="16">
        <v>80.217735000000005</v>
      </c>
      <c r="L15" s="5">
        <f t="shared" ref="L15:L18" si="33">IF(OR(H15="",H15="NaN"),"",H15-AVERAGE(H$15:H$21))</f>
        <v>-2.6428042857143055</v>
      </c>
      <c r="M15" s="5">
        <f t="shared" ref="M15" si="34">IF(OR(I15="",I15="NaN"),"",I15-AVERAGE(I$15:I$21))</f>
        <v>-3.7633478571428753</v>
      </c>
      <c r="N15" s="5">
        <f t="shared" ref="N15" si="35">IF(OR(J15="",J15="NaN"),"",J15-AVERAGE(J$15:J$21))</f>
        <v>-1.5766299999999944</v>
      </c>
      <c r="O15" s="5">
        <f t="shared" ref="O15" si="36">IF(OR(K15="",K15="NaN"),"",K15-AVERAGE(K$15:K$21))</f>
        <v>-2.1159214285714114</v>
      </c>
      <c r="P15" s="5"/>
      <c r="Q15" s="14">
        <v>70.026560000000003</v>
      </c>
      <c r="R15" s="15">
        <v>70.1023</v>
      </c>
      <c r="S15" s="15">
        <v>70.093289999999996</v>
      </c>
      <c r="T15" s="16">
        <v>70.481560000000002</v>
      </c>
      <c r="U15" s="5">
        <f t="shared" ref="U15:U21" si="37">IF(OR(Q15="",Q15="NaN"),"",Q15-AVERAGE(Q$15:Q$21))</f>
        <v>-1.9860014285714271</v>
      </c>
      <c r="V15" s="5">
        <f t="shared" ref="V15:V21" si="38">IF(OR(R15="",R15="NaN"),"",R15-AVERAGE(R$15:R$21))</f>
        <v>-1.8385085714285623</v>
      </c>
      <c r="W15" s="5">
        <f t="shared" ref="W15:W21" si="39">IF(OR(S15="",S15="NaN"),"",S15-AVERAGE(S$15:S$21))</f>
        <v>-1.8637478571428545</v>
      </c>
      <c r="X15" s="5">
        <f t="shared" ref="X15:X21" si="40">IF(OR(T15="",T15="NaN"),"",T15-AVERAGE(T$15:T$21))</f>
        <v>-1.3652979999999957</v>
      </c>
      <c r="Y15" s="5"/>
      <c r="Z15" s="14">
        <v>28.666758000000002</v>
      </c>
      <c r="AA15" s="15">
        <v>26.168194</v>
      </c>
      <c r="AB15" s="15">
        <v>28.182846000000001</v>
      </c>
      <c r="AC15" s="16">
        <v>29.533121000000001</v>
      </c>
      <c r="AD15" s="5">
        <f t="shared" ref="AD15:AD21" si="41">IF(OR(Z15="",Z15="NaN"),"",Z15-AVERAGE(Z$15:Z$21))</f>
        <v>10.007288571428571</v>
      </c>
      <c r="AE15" s="5">
        <f t="shared" ref="AE15:AE21" si="42">IF(OR(AA15="",AA15="NaN"),"",AA15-AVERAGE(AA$15:AA$21))</f>
        <v>4.4313648571428566</v>
      </c>
      <c r="AF15" s="5">
        <f t="shared" ref="AF15:AF21" si="43">IF(OR(AB15="",AB15="NaN"),"",AB15-AVERAGE(AB$15:AB$21))</f>
        <v>6.158017571428573</v>
      </c>
      <c r="AG15" s="5">
        <f t="shared" ref="AG15:AG21" si="44">IF(OR(AC15="",AC15="NaN"),"",AC15-AVERAGE(AC$15:AC$21))</f>
        <v>5.4016735714285744</v>
      </c>
      <c r="AH15" s="5"/>
      <c r="AI15" s="14">
        <v>7.3551383000000001</v>
      </c>
      <c r="AJ15" s="15">
        <v>7.3773980000000003</v>
      </c>
      <c r="AK15" s="15">
        <v>7.1411829999999998</v>
      </c>
      <c r="AL15" s="16">
        <v>6.9254870000000004</v>
      </c>
      <c r="AM15" s="5">
        <f t="shared" ref="AM15:AM21" si="45">IF(OR(AI15="",AI15="NaN"),"",AI15-AVERAGE(AI$15:AI$21))</f>
        <v>0.10596600000000045</v>
      </c>
      <c r="AN15" s="5">
        <f t="shared" ref="AN15:AN21" si="46">IF(OR(AJ15="",AJ15="NaN"),"",AJ15-AVERAGE(AJ$15:AJ$21))</f>
        <v>0.2293503285714289</v>
      </c>
      <c r="AO15" s="5">
        <f t="shared" ref="AO15:AO21" si="47">IF(OR(AK15="",AK15="NaN"),"",AK15-AVERAGE(AK$15:AK$21))</f>
        <v>-0.18505552857142948</v>
      </c>
      <c r="AP15" s="5">
        <f t="shared" ref="AP15:AP21" si="48">IF(OR(AL15="",AL15="NaN"),"",AL15-AVERAGE(AL$15:AL$21))</f>
        <v>-0.3211334285714269</v>
      </c>
      <c r="AR15" s="14">
        <v>12.115133</v>
      </c>
      <c r="AS15" s="15">
        <v>12.125292999999999</v>
      </c>
      <c r="AT15" s="15">
        <v>11.753503</v>
      </c>
      <c r="AU15" s="16">
        <v>11.734916</v>
      </c>
      <c r="AV15" s="5">
        <f t="shared" ref="AV15:AV21" si="49">IF(OR(AR15="",AR15="NaN"),"",AR15-AVERAGE(AR$15:AR$21))</f>
        <v>1.2710054285714278</v>
      </c>
      <c r="AW15" s="5">
        <f t="shared" ref="AW15:AW21" si="50">IF(OR(AS15="",AS15="NaN"),"",AS15-AVERAGE(AS$15:AS$21))</f>
        <v>1.0860281428571419</v>
      </c>
      <c r="AX15" s="5">
        <f t="shared" ref="AX15:AX21" si="51">IF(OR(AT15="",AT15="NaN"),"",AT15-AVERAGE(AT$15:AT$21))</f>
        <v>0.97912028571428777</v>
      </c>
      <c r="AY15" s="5">
        <f t="shared" ref="AY15:AY21" si="52">IF(OR(AU15="",AU15="NaN"),"",AU15-AVERAGE(AU$15:AU$21))</f>
        <v>0.79715500000000183</v>
      </c>
      <c r="BA15" s="14">
        <v>2.1683245000000002</v>
      </c>
      <c r="BB15" s="15">
        <v>2.1910896000000002</v>
      </c>
      <c r="BC15" s="15">
        <v>2.2136722</v>
      </c>
      <c r="BD15" s="16">
        <v>2.2058816000000001</v>
      </c>
      <c r="BE15" s="5">
        <f t="shared" ref="BE15:BE21" si="53">IF(OR(BA15="",BA15="NaN"),"",BA15-AVERAGE(BA$15:BA$21))</f>
        <v>0.38765071428571463</v>
      </c>
      <c r="BF15" s="5">
        <f t="shared" ref="BF15:BF21" si="54">IF(OR(BB15="",BB15="NaN"),"",BB15-AVERAGE(BB$15:BB$21))</f>
        <v>0.30697314285714317</v>
      </c>
      <c r="BG15" s="5">
        <f t="shared" ref="BG15:BG21" si="55">IF(OR(BC15="",BC15="NaN"),"",BC15-AVERAGE(BC$15:BC$21))</f>
        <v>0.29624391428571406</v>
      </c>
      <c r="BH15" s="5">
        <f t="shared" ref="BH15:BH21" si="56">IF(OR(BD15="",BD15="NaN"),"",BD15-AVERAGE(BD$15:BD$21))</f>
        <v>0.27672825714285709</v>
      </c>
      <c r="BJ15" s="14">
        <v>14.550755499999999</v>
      </c>
      <c r="BK15" s="15">
        <v>13.116880999999999</v>
      </c>
      <c r="BL15" s="15">
        <v>15.053388</v>
      </c>
      <c r="BM15" s="16">
        <v>13.879913999999999</v>
      </c>
      <c r="BN15" s="5">
        <f t="shared" ref="BN15:BN21" si="57">IF(OR(BJ15="",BJ15="NaN"),"",BJ15-AVERAGE(BJ$15:BJ$21))</f>
        <v>5.4548238571428556</v>
      </c>
      <c r="BO15" s="5">
        <f t="shared" ref="BO15:BO21" si="58">IF(OR(BK15="",BK15="NaN"),"",BK15-AVERAGE(BK$15:BK$21))</f>
        <v>2.8167270428571438</v>
      </c>
      <c r="BP15" s="5">
        <f t="shared" ref="BP15:BP21" si="59">IF(OR(BL15="",BL15="NaN"),"",BL15-AVERAGE(BL$15:BL$21))</f>
        <v>3.5731184999999979</v>
      </c>
      <c r="BQ15" s="5">
        <f t="shared" ref="BQ15:BQ21" si="60">IF(OR(BM15="",BM15="NaN"),"",BM15-AVERAGE(BM$15:BM$21))</f>
        <v>2.3835580714285705</v>
      </c>
      <c r="BS15" s="14">
        <v>2.9537331999999998</v>
      </c>
      <c r="BT15" s="15">
        <v>3.0852233999999998</v>
      </c>
      <c r="BU15" s="15">
        <v>3.1150446000000001</v>
      </c>
      <c r="BV15" s="16">
        <v>3.0998009999999998</v>
      </c>
      <c r="BW15" s="5">
        <f t="shared" ref="BW15:BW21" si="61">IF(OR(BS15="",BS15="NaN"),"",BS15-AVERAGE(BS$15:BS$21))</f>
        <v>0.94905411428571407</v>
      </c>
      <c r="BX15" s="5">
        <f t="shared" ref="BX15:BX21" si="62">IF(OR(BT15="",BT15="NaN"),"",BT15-AVERAGE(BT$15:BT$21))</f>
        <v>0.73824930000000011</v>
      </c>
      <c r="BY15" s="5">
        <f t="shared" ref="BY15:BY21" si="63">IF(OR(BU15="",BU15="NaN"),"",BU15-AVERAGE(BU$15:BU$21))</f>
        <v>0.7421831000000001</v>
      </c>
      <c r="BZ15" s="5">
        <f t="shared" ref="BZ15:BZ21" si="64">IF(OR(BV15="",BV15="NaN"),"",BV15-AVERAGE(BV$15:BV$21))</f>
        <v>0.68635197142857107</v>
      </c>
    </row>
    <row r="16" spans="1:78" x14ac:dyDescent="0.25">
      <c r="A16" s="38"/>
      <c r="B16" s="5">
        <v>49.5</v>
      </c>
      <c r="C16" s="5">
        <v>49.4</v>
      </c>
      <c r="D16" s="5">
        <v>49.45</v>
      </c>
      <c r="E16" s="5">
        <v>49.150000000000013</v>
      </c>
      <c r="F16" s="18">
        <v>7</v>
      </c>
      <c r="H16" s="19">
        <v>81.607900000000001</v>
      </c>
      <c r="I16" s="20">
        <v>81.114170000000001</v>
      </c>
      <c r="J16" s="20">
        <v>80.057109999999994</v>
      </c>
      <c r="K16" s="21">
        <v>80.516890000000004</v>
      </c>
      <c r="L16" s="5">
        <f t="shared" ref="L16:L21" si="65">IF(OR(H16="",H16="NaN"),"",H16-AVERAGE(H$15:H$21))</f>
        <v>-1.0587992857143007</v>
      </c>
      <c r="M16" s="5">
        <f t="shared" ref="M16:M21" si="66">IF(OR(I16="",I16="NaN"),"",I16-AVERAGE(I$15:I$21))</f>
        <v>-1.0876178571428738</v>
      </c>
      <c r="N16" s="5">
        <f t="shared" ref="N16:N21" si="67">IF(OR(J16="",J16="NaN"),"",J16-AVERAGE(J$15:J$21))</f>
        <v>-1.9560050000000047</v>
      </c>
      <c r="O16" s="5">
        <f t="shared" ref="O16:O21" si="68">IF(OR(K16="",K16="NaN"),"",K16-AVERAGE(K$15:K$21))</f>
        <v>-1.8167664285714125</v>
      </c>
      <c r="P16" s="5"/>
      <c r="Q16" s="19">
        <v>69.707229999999996</v>
      </c>
      <c r="R16" s="20">
        <v>69.785849999999996</v>
      </c>
      <c r="S16" s="20">
        <v>69.772170000000003</v>
      </c>
      <c r="T16" s="21">
        <v>70.131775000000005</v>
      </c>
      <c r="U16" s="5">
        <f t="shared" si="37"/>
        <v>-2.305331428571435</v>
      </c>
      <c r="V16" s="5">
        <f t="shared" si="38"/>
        <v>-2.1549585714285655</v>
      </c>
      <c r="W16" s="5">
        <f t="shared" si="39"/>
        <v>-2.1848678571428479</v>
      </c>
      <c r="X16" s="5">
        <f t="shared" si="40"/>
        <v>-1.7150829999999928</v>
      </c>
      <c r="Y16" s="5"/>
      <c r="Z16" s="19">
        <v>27.569109999999998</v>
      </c>
      <c r="AA16" s="20">
        <v>24.525176999999999</v>
      </c>
      <c r="AB16" s="20">
        <v>25.116099999999999</v>
      </c>
      <c r="AC16" s="21">
        <v>27.853704</v>
      </c>
      <c r="AD16" s="5">
        <f t="shared" si="41"/>
        <v>8.909640571428568</v>
      </c>
      <c r="AE16" s="5">
        <f t="shared" si="42"/>
        <v>2.7883478571428562</v>
      </c>
      <c r="AF16" s="5">
        <f t="shared" si="43"/>
        <v>3.091271571428571</v>
      </c>
      <c r="AG16" s="5">
        <f t="shared" si="44"/>
        <v>3.7222565714285736</v>
      </c>
      <c r="AH16" s="5"/>
      <c r="AI16" s="19">
        <v>7.3963865999999996</v>
      </c>
      <c r="AJ16" s="20">
        <v>7.4315280000000001</v>
      </c>
      <c r="AK16" s="20">
        <v>7.3360190000000003</v>
      </c>
      <c r="AL16" s="21">
        <v>7.2234387</v>
      </c>
      <c r="AM16" s="5">
        <f t="shared" si="45"/>
        <v>0.14721429999999991</v>
      </c>
      <c r="AN16" s="5">
        <f t="shared" si="46"/>
        <v>0.28348032857142869</v>
      </c>
      <c r="AO16" s="5">
        <f t="shared" si="47"/>
        <v>9.7804714285709693E-3</v>
      </c>
      <c r="AP16" s="5">
        <f t="shared" si="48"/>
        <v>-2.3181728571427307E-2</v>
      </c>
      <c r="AR16" s="19">
        <v>12.050511</v>
      </c>
      <c r="AS16" s="20">
        <v>12.244702</v>
      </c>
      <c r="AT16" s="20">
        <v>11.876229</v>
      </c>
      <c r="AU16" s="21">
        <v>11.720177</v>
      </c>
      <c r="AV16" s="5">
        <f t="shared" si="49"/>
        <v>1.2063834285714279</v>
      </c>
      <c r="AW16" s="5">
        <f t="shared" si="50"/>
        <v>1.2054371428571429</v>
      </c>
      <c r="AX16" s="5">
        <f t="shared" si="51"/>
        <v>1.1018462857142879</v>
      </c>
      <c r="AY16" s="5">
        <f t="shared" si="52"/>
        <v>0.78241600000000133</v>
      </c>
      <c r="BA16" s="19">
        <v>2.1552709999999999</v>
      </c>
      <c r="BB16" s="20">
        <v>2.1727325999999998</v>
      </c>
      <c r="BC16" s="20">
        <v>2.1552709999999999</v>
      </c>
      <c r="BD16" s="21">
        <v>2.1552709999999999</v>
      </c>
      <c r="BE16" s="5">
        <f t="shared" si="53"/>
        <v>0.37459721428571435</v>
      </c>
      <c r="BF16" s="5">
        <f t="shared" si="54"/>
        <v>0.28861614285714277</v>
      </c>
      <c r="BG16" s="5">
        <f t="shared" si="55"/>
        <v>0.23784271428571402</v>
      </c>
      <c r="BH16" s="5">
        <f t="shared" si="56"/>
        <v>0.22611765714285692</v>
      </c>
      <c r="BJ16" s="19">
        <v>13.77758</v>
      </c>
      <c r="BK16" s="20">
        <v>13.581034000000001</v>
      </c>
      <c r="BL16" s="20">
        <v>12.441636000000001</v>
      </c>
      <c r="BM16" s="21">
        <v>13.130953999999999</v>
      </c>
      <c r="BN16" s="5">
        <f t="shared" si="57"/>
        <v>4.6816483571428567</v>
      </c>
      <c r="BO16" s="5">
        <f t="shared" si="58"/>
        <v>3.2808800428571452</v>
      </c>
      <c r="BP16" s="5">
        <f t="shared" si="59"/>
        <v>0.96136649999999868</v>
      </c>
      <c r="BQ16" s="5">
        <f t="shared" si="60"/>
        <v>1.6345980714285702</v>
      </c>
      <c r="BS16" s="19">
        <v>2.9862785000000001</v>
      </c>
      <c r="BT16" s="20">
        <v>3.0330021</v>
      </c>
      <c r="BU16" s="20">
        <v>2.9762368000000001</v>
      </c>
      <c r="BV16" s="21">
        <v>3.111507</v>
      </c>
      <c r="BW16" s="5">
        <f t="shared" si="61"/>
        <v>0.98159941428571429</v>
      </c>
      <c r="BX16" s="5">
        <f t="shared" si="62"/>
        <v>0.6860280000000003</v>
      </c>
      <c r="BY16" s="5">
        <f t="shared" si="63"/>
        <v>0.60337530000000017</v>
      </c>
      <c r="BZ16" s="5">
        <f t="shared" si="64"/>
        <v>0.69805797142857129</v>
      </c>
    </row>
    <row r="17" spans="1:78" x14ac:dyDescent="0.25">
      <c r="A17" s="38"/>
      <c r="B17" s="5">
        <v>42.150000000000013</v>
      </c>
      <c r="C17" s="5">
        <v>42.65</v>
      </c>
      <c r="D17" s="5">
        <v>42.1</v>
      </c>
      <c r="E17" s="5">
        <v>41.95</v>
      </c>
      <c r="F17" s="18">
        <v>12</v>
      </c>
      <c r="H17" s="19">
        <v>80.944090000000003</v>
      </c>
      <c r="I17" s="20">
        <v>80.700130000000001</v>
      </c>
      <c r="J17" s="20">
        <v>79.940399999999997</v>
      </c>
      <c r="K17" s="21">
        <v>81.188699999999997</v>
      </c>
      <c r="L17" s="5">
        <f t="shared" si="65"/>
        <v>-1.7226092857142987</v>
      </c>
      <c r="M17" s="5">
        <f t="shared" si="66"/>
        <v>-1.5016578571428738</v>
      </c>
      <c r="N17" s="5">
        <f t="shared" si="67"/>
        <v>-2.0727150000000023</v>
      </c>
      <c r="O17" s="5">
        <f t="shared" si="68"/>
        <v>-1.1449564285714189</v>
      </c>
      <c r="P17" s="5"/>
      <c r="Q17" s="19">
        <v>72.480459999999994</v>
      </c>
      <c r="R17" s="20">
        <v>72.730649999999997</v>
      </c>
      <c r="S17" s="20">
        <v>72.536029999999997</v>
      </c>
      <c r="T17" s="21">
        <v>69.668914999999998</v>
      </c>
      <c r="U17" s="5">
        <f t="shared" si="37"/>
        <v>0.46789857142856306</v>
      </c>
      <c r="V17" s="5">
        <f t="shared" si="38"/>
        <v>0.78984142857143524</v>
      </c>
      <c r="W17" s="5">
        <f t="shared" si="39"/>
        <v>0.57899214285714606</v>
      </c>
      <c r="X17" s="5">
        <f t="shared" si="40"/>
        <v>-2.1779429999999991</v>
      </c>
      <c r="Y17" s="5"/>
      <c r="Z17" s="19">
        <v>24.939050000000002</v>
      </c>
      <c r="AA17" s="20">
        <v>23.974177999999998</v>
      </c>
      <c r="AB17" s="20">
        <v>24.108152</v>
      </c>
      <c r="AC17" s="21">
        <v>26.72906</v>
      </c>
      <c r="AD17" s="5">
        <f t="shared" si="41"/>
        <v>6.2795805714285713</v>
      </c>
      <c r="AE17" s="5">
        <f t="shared" si="42"/>
        <v>2.2373488571428553</v>
      </c>
      <c r="AF17" s="5">
        <f t="shared" si="43"/>
        <v>2.0833235714285721</v>
      </c>
      <c r="AG17" s="5">
        <f t="shared" si="44"/>
        <v>2.5976125714285736</v>
      </c>
      <c r="AH17" s="5"/>
      <c r="AI17" s="19">
        <v>7.6017412999999996</v>
      </c>
      <c r="AJ17" s="20">
        <v>7.3259189999999998</v>
      </c>
      <c r="AK17" s="20">
        <v>7.7065077000000004</v>
      </c>
      <c r="AL17" s="21">
        <v>7.328201</v>
      </c>
      <c r="AM17" s="5">
        <f t="shared" si="45"/>
        <v>0.35256899999999991</v>
      </c>
      <c r="AN17" s="5">
        <f t="shared" si="46"/>
        <v>0.1778713285714284</v>
      </c>
      <c r="AO17" s="5">
        <f t="shared" si="47"/>
        <v>0.38026917142857108</v>
      </c>
      <c r="AP17" s="5">
        <f t="shared" si="48"/>
        <v>8.1580571428572668E-2</v>
      </c>
      <c r="AR17" s="19">
        <v>11.676645000000001</v>
      </c>
      <c r="AS17" s="20">
        <v>12.011991</v>
      </c>
      <c r="AT17" s="20">
        <v>11.732578</v>
      </c>
      <c r="AU17" s="21">
        <v>12.300253</v>
      </c>
      <c r="AV17" s="5">
        <f t="shared" si="49"/>
        <v>0.8325174285714283</v>
      </c>
      <c r="AW17" s="5">
        <f t="shared" si="50"/>
        <v>0.97272614285714276</v>
      </c>
      <c r="AX17" s="5">
        <f t="shared" si="51"/>
        <v>0.95819528571428769</v>
      </c>
      <c r="AY17" s="5">
        <f t="shared" si="52"/>
        <v>1.3624920000000014</v>
      </c>
      <c r="BA17" s="19">
        <v>1.9403349000000001</v>
      </c>
      <c r="BB17" s="20">
        <v>2.0181345999999998</v>
      </c>
      <c r="BC17" s="20">
        <v>1.9896480999999999</v>
      </c>
      <c r="BD17" s="21">
        <v>2.1140416000000002</v>
      </c>
      <c r="BE17" s="5">
        <f t="shared" si="53"/>
        <v>0.1596611142857145</v>
      </c>
      <c r="BF17" s="5">
        <f t="shared" si="54"/>
        <v>0.13401814285714275</v>
      </c>
      <c r="BG17" s="5">
        <f t="shared" si="55"/>
        <v>7.2219814285714001E-2</v>
      </c>
      <c r="BH17" s="5">
        <f t="shared" si="56"/>
        <v>0.18488825714285717</v>
      </c>
      <c r="BJ17" s="19">
        <v>11.404780000000001</v>
      </c>
      <c r="BK17" s="20">
        <v>11.282159999999999</v>
      </c>
      <c r="BL17" s="20">
        <v>10.478033999999999</v>
      </c>
      <c r="BM17" s="21">
        <v>11.694744999999999</v>
      </c>
      <c r="BN17" s="5">
        <f t="shared" si="57"/>
        <v>2.3088483571428569</v>
      </c>
      <c r="BO17" s="5">
        <f t="shared" si="58"/>
        <v>0.98200604285714377</v>
      </c>
      <c r="BP17" s="5">
        <f t="shared" si="59"/>
        <v>-1.0022355000000029</v>
      </c>
      <c r="BQ17" s="5">
        <f t="shared" si="60"/>
        <v>0.19838907142857032</v>
      </c>
      <c r="BS17" s="19">
        <v>2.7718742000000001</v>
      </c>
      <c r="BT17" s="20">
        <v>2.9320765</v>
      </c>
      <c r="BU17" s="20">
        <v>2.7787955000000002</v>
      </c>
      <c r="BV17" s="21">
        <v>2.9440732000000001</v>
      </c>
      <c r="BW17" s="5">
        <f t="shared" si="61"/>
        <v>0.7671951142857143</v>
      </c>
      <c r="BX17" s="5">
        <f t="shared" si="62"/>
        <v>0.58510240000000024</v>
      </c>
      <c r="BY17" s="5">
        <f t="shared" si="63"/>
        <v>0.40593400000000024</v>
      </c>
      <c r="BZ17" s="5">
        <f t="shared" si="64"/>
        <v>0.53062417142857132</v>
      </c>
    </row>
    <row r="18" spans="1:78" x14ac:dyDescent="0.25">
      <c r="A18" s="38"/>
      <c r="B18" s="5">
        <v>32.650000000000013</v>
      </c>
      <c r="C18" s="5">
        <v>32.9</v>
      </c>
      <c r="D18" s="5">
        <v>32.549999999999997</v>
      </c>
      <c r="E18" s="5">
        <v>32.349999999999987</v>
      </c>
      <c r="F18" s="18">
        <v>17</v>
      </c>
      <c r="H18" s="19">
        <v>81.790633999999997</v>
      </c>
      <c r="I18" s="20">
        <v>81.041595000000001</v>
      </c>
      <c r="J18" s="20">
        <v>80.817459999999997</v>
      </c>
      <c r="K18" s="21">
        <v>81.392570000000006</v>
      </c>
      <c r="L18" s="5">
        <f t="shared" si="65"/>
        <v>-0.87606528571430431</v>
      </c>
      <c r="M18" s="5">
        <f t="shared" si="66"/>
        <v>-1.1601928571428743</v>
      </c>
      <c r="N18" s="5">
        <f t="shared" si="67"/>
        <v>-1.1956550000000021</v>
      </c>
      <c r="O18" s="5">
        <f t="shared" si="68"/>
        <v>-0.94108642857140978</v>
      </c>
      <c r="P18" s="5"/>
      <c r="Q18" s="19">
        <v>73.771510000000006</v>
      </c>
      <c r="R18" s="20">
        <v>73.248980000000003</v>
      </c>
      <c r="S18" s="20">
        <v>73.474654999999998</v>
      </c>
      <c r="T18" s="21">
        <v>73.780320000000003</v>
      </c>
      <c r="U18" s="5">
        <f t="shared" si="37"/>
        <v>1.7589485714285757</v>
      </c>
      <c r="V18" s="5">
        <f t="shared" si="38"/>
        <v>1.3081714285714412</v>
      </c>
      <c r="W18" s="5">
        <f t="shared" si="39"/>
        <v>1.5176171428571479</v>
      </c>
      <c r="X18" s="5">
        <f t="shared" si="40"/>
        <v>1.9334620000000058</v>
      </c>
      <c r="Y18" s="5"/>
      <c r="Z18" s="19">
        <v>21.712185000000002</v>
      </c>
      <c r="AA18" s="20">
        <v>24.54561</v>
      </c>
      <c r="AB18" s="20">
        <v>24.781578</v>
      </c>
      <c r="AC18" s="21">
        <v>22.855373</v>
      </c>
      <c r="AD18" s="5">
        <f t="shared" si="41"/>
        <v>3.0527155714285712</v>
      </c>
      <c r="AE18" s="5">
        <f t="shared" si="42"/>
        <v>2.8087808571428567</v>
      </c>
      <c r="AF18" s="5">
        <f t="shared" si="43"/>
        <v>2.7567495714285712</v>
      </c>
      <c r="AG18" s="5">
        <f t="shared" si="44"/>
        <v>-1.2760744285714267</v>
      </c>
      <c r="AH18" s="5"/>
      <c r="AI18" s="19">
        <v>7.3652043000000003</v>
      </c>
      <c r="AJ18" s="20">
        <v>7.0358010000000002</v>
      </c>
      <c r="AK18" s="20">
        <v>7.4470660000000004</v>
      </c>
      <c r="AL18" s="21">
        <v>7.5357212999999996</v>
      </c>
      <c r="AM18" s="5">
        <f t="shared" si="45"/>
        <v>0.11603200000000058</v>
      </c>
      <c r="AN18" s="5">
        <f t="shared" si="46"/>
        <v>-0.11224667142857125</v>
      </c>
      <c r="AO18" s="5">
        <f t="shared" si="47"/>
        <v>0.12082747142857109</v>
      </c>
      <c r="AP18" s="5">
        <f t="shared" si="48"/>
        <v>0.28910087142857233</v>
      </c>
      <c r="AR18" s="19">
        <v>10.592446000000001</v>
      </c>
      <c r="AS18" s="20">
        <v>10.854317</v>
      </c>
      <c r="AT18" s="20">
        <v>10.776278</v>
      </c>
      <c r="AU18" s="21">
        <v>10.678303</v>
      </c>
      <c r="AV18" s="5">
        <f t="shared" si="49"/>
        <v>-0.25168157142857162</v>
      </c>
      <c r="AW18" s="5">
        <f t="shared" si="50"/>
        <v>-0.18494785714285733</v>
      </c>
      <c r="AX18" s="5">
        <f t="shared" si="51"/>
        <v>1.8952857142870982E-3</v>
      </c>
      <c r="AY18" s="5">
        <f t="shared" si="52"/>
        <v>-0.25945799999999863</v>
      </c>
      <c r="BA18" s="19">
        <v>1.7556396999999999</v>
      </c>
      <c r="BB18" s="20">
        <v>1.8178989999999999</v>
      </c>
      <c r="BC18" s="20">
        <v>1.8119204</v>
      </c>
      <c r="BD18" s="21">
        <v>1.823885</v>
      </c>
      <c r="BE18" s="5">
        <f t="shared" si="53"/>
        <v>-2.503408571428567E-2</v>
      </c>
      <c r="BF18" s="5">
        <f t="shared" si="54"/>
        <v>-6.6217457142857095E-2</v>
      </c>
      <c r="BG18" s="5">
        <f t="shared" si="55"/>
        <v>-0.10550788571428593</v>
      </c>
      <c r="BH18" s="5">
        <f t="shared" si="56"/>
        <v>-0.10526834285714304</v>
      </c>
      <c r="BJ18" s="19">
        <v>11.043255</v>
      </c>
      <c r="BK18" s="20">
        <v>11.832749</v>
      </c>
      <c r="BL18" s="20">
        <v>12.544110999999999</v>
      </c>
      <c r="BM18" s="21">
        <v>11.661673</v>
      </c>
      <c r="BN18" s="5">
        <f t="shared" si="57"/>
        <v>1.9473233571428565</v>
      </c>
      <c r="BO18" s="5">
        <f t="shared" si="58"/>
        <v>1.5325950428571442</v>
      </c>
      <c r="BP18" s="5">
        <f t="shared" si="59"/>
        <v>1.063841499999997</v>
      </c>
      <c r="BQ18" s="5">
        <f t="shared" si="60"/>
        <v>0.16531707142857144</v>
      </c>
      <c r="BS18" s="19">
        <v>1.8472204999999999</v>
      </c>
      <c r="BT18" s="20">
        <v>2.9877454999999999</v>
      </c>
      <c r="BU18" s="20">
        <v>2.8310754</v>
      </c>
      <c r="BV18" s="21">
        <v>2.9038677000000002</v>
      </c>
      <c r="BW18" s="5">
        <f t="shared" si="61"/>
        <v>-0.15745858571428584</v>
      </c>
      <c r="BX18" s="5">
        <f t="shared" si="62"/>
        <v>0.64077140000000021</v>
      </c>
      <c r="BY18" s="5">
        <f t="shared" si="63"/>
        <v>0.45821390000000006</v>
      </c>
      <c r="BZ18" s="5">
        <f t="shared" si="64"/>
        <v>0.49041867142857143</v>
      </c>
    </row>
    <row r="19" spans="1:78" x14ac:dyDescent="0.25">
      <c r="A19" s="38"/>
      <c r="B19" s="5">
        <v>24.3</v>
      </c>
      <c r="C19" s="5">
        <v>24.3</v>
      </c>
      <c r="D19" s="5">
        <v>24.3</v>
      </c>
      <c r="E19" s="5">
        <v>24.3</v>
      </c>
      <c r="F19" s="18">
        <v>22</v>
      </c>
      <c r="H19" s="19">
        <v>84.108099999999993</v>
      </c>
      <c r="I19" s="20">
        <v>83.854910000000004</v>
      </c>
      <c r="J19" s="20">
        <v>83.159170000000003</v>
      </c>
      <c r="K19" s="21">
        <v>83.5762</v>
      </c>
      <c r="L19" s="5">
        <f t="shared" si="65"/>
        <v>1.4414007142856917</v>
      </c>
      <c r="M19" s="5">
        <f t="shared" si="66"/>
        <v>1.6531221428571286</v>
      </c>
      <c r="N19" s="5">
        <f t="shared" si="67"/>
        <v>1.146055000000004</v>
      </c>
      <c r="O19" s="5">
        <f t="shared" si="68"/>
        <v>1.242543571428584</v>
      </c>
      <c r="P19" s="5"/>
      <c r="Q19" s="19">
        <v>72.812240000000003</v>
      </c>
      <c r="R19" s="20">
        <v>72.574749999999995</v>
      </c>
      <c r="S19" s="20">
        <v>72.560699999999997</v>
      </c>
      <c r="T19" s="21">
        <v>72.815690000000004</v>
      </c>
      <c r="U19" s="5">
        <f t="shared" si="37"/>
        <v>0.79967857142857213</v>
      </c>
      <c r="V19" s="5">
        <f t="shared" si="38"/>
        <v>0.63394142857143265</v>
      </c>
      <c r="W19" s="5">
        <f t="shared" si="39"/>
        <v>0.60366214285714648</v>
      </c>
      <c r="X19" s="5">
        <f t="shared" si="40"/>
        <v>0.96883200000000613</v>
      </c>
      <c r="Y19" s="5"/>
      <c r="Z19" s="19">
        <v>9.1514760000000006</v>
      </c>
      <c r="AA19" s="20">
        <v>23.760967000000001</v>
      </c>
      <c r="AB19" s="20">
        <v>23.676987</v>
      </c>
      <c r="AC19" s="21">
        <v>22.546527999999999</v>
      </c>
      <c r="AD19" s="5">
        <f t="shared" si="41"/>
        <v>-9.5079934285714298</v>
      </c>
      <c r="AE19" s="5">
        <f t="shared" si="42"/>
        <v>2.0241378571428577</v>
      </c>
      <c r="AF19" s="5">
        <f t="shared" si="43"/>
        <v>1.652158571428572</v>
      </c>
      <c r="AG19" s="5">
        <f t="shared" si="44"/>
        <v>-1.5849194285714283</v>
      </c>
      <c r="AH19" s="5"/>
      <c r="AI19" s="19">
        <v>7.4392576000000004</v>
      </c>
      <c r="AJ19" s="20">
        <v>7.0777197000000003</v>
      </c>
      <c r="AK19" s="20">
        <v>7.375604</v>
      </c>
      <c r="AL19" s="21">
        <v>7.167834</v>
      </c>
      <c r="AM19" s="5">
        <f t="shared" si="45"/>
        <v>0.19008530000000068</v>
      </c>
      <c r="AN19" s="5">
        <f t="shared" si="46"/>
        <v>-7.0327971428571168E-2</v>
      </c>
      <c r="AO19" s="5">
        <f t="shared" si="47"/>
        <v>4.9365471428570729E-2</v>
      </c>
      <c r="AP19" s="5">
        <f t="shared" si="48"/>
        <v>-7.8786428571427258E-2</v>
      </c>
      <c r="AR19" s="19">
        <v>9.8407280000000004</v>
      </c>
      <c r="AS19" s="20">
        <v>10.045885</v>
      </c>
      <c r="AT19" s="20">
        <v>9.8430339999999994</v>
      </c>
      <c r="AU19" s="21">
        <v>9.9517779999999991</v>
      </c>
      <c r="AV19" s="5">
        <f t="shared" si="49"/>
        <v>-1.0033995714285719</v>
      </c>
      <c r="AW19" s="5">
        <f t="shared" si="50"/>
        <v>-0.99337985714285715</v>
      </c>
      <c r="AX19" s="5">
        <f t="shared" si="51"/>
        <v>-0.93134871428571309</v>
      </c>
      <c r="AY19" s="5">
        <f t="shared" si="52"/>
        <v>-0.98598299999999917</v>
      </c>
      <c r="BA19" s="19">
        <v>1.7365117999999999</v>
      </c>
      <c r="BB19" s="20">
        <v>1.7491893000000001</v>
      </c>
      <c r="BC19" s="20">
        <v>1.7698756</v>
      </c>
      <c r="BD19" s="21">
        <v>1.7137818</v>
      </c>
      <c r="BE19" s="5">
        <f t="shared" si="53"/>
        <v>-4.4161985714285645E-2</v>
      </c>
      <c r="BF19" s="5">
        <f t="shared" si="54"/>
        <v>-0.13492715714285697</v>
      </c>
      <c r="BG19" s="5">
        <f t="shared" si="55"/>
        <v>-0.14755268571428592</v>
      </c>
      <c r="BH19" s="5">
        <f t="shared" si="56"/>
        <v>-0.21537154285714299</v>
      </c>
      <c r="BJ19" s="19">
        <v>4.2791180000000004</v>
      </c>
      <c r="BK19" s="20">
        <v>11.975035999999999</v>
      </c>
      <c r="BL19" s="20">
        <v>12.6697855</v>
      </c>
      <c r="BM19" s="21">
        <v>12.529201</v>
      </c>
      <c r="BN19" s="5">
        <f t="shared" si="57"/>
        <v>-4.8168136428571433</v>
      </c>
      <c r="BO19" s="5">
        <f t="shared" si="58"/>
        <v>1.6748820428571438</v>
      </c>
      <c r="BP19" s="5">
        <f t="shared" si="59"/>
        <v>1.1895159999999976</v>
      </c>
      <c r="BQ19" s="5">
        <f t="shared" si="60"/>
        <v>1.0328450714285715</v>
      </c>
      <c r="BS19" s="19">
        <v>1.3430823000000001</v>
      </c>
      <c r="BT19" s="20">
        <v>1.6162662999999999</v>
      </c>
      <c r="BU19" s="20">
        <v>1.8663574000000001</v>
      </c>
      <c r="BV19" s="21">
        <v>1.953101</v>
      </c>
      <c r="BW19" s="5">
        <f t="shared" si="61"/>
        <v>-0.66159678571428571</v>
      </c>
      <c r="BX19" s="5">
        <f t="shared" si="62"/>
        <v>-0.7307077999999998</v>
      </c>
      <c r="BY19" s="5">
        <f t="shared" si="63"/>
        <v>-0.5065040999999999</v>
      </c>
      <c r="BZ19" s="5">
        <f t="shared" si="64"/>
        <v>-0.46034802857142876</v>
      </c>
    </row>
    <row r="20" spans="1:78" x14ac:dyDescent="0.25">
      <c r="A20" s="38"/>
      <c r="B20" s="5">
        <v>20.5</v>
      </c>
      <c r="C20" s="5">
        <v>20.75</v>
      </c>
      <c r="D20" s="5">
        <v>20.55</v>
      </c>
      <c r="E20" s="5">
        <v>20.6</v>
      </c>
      <c r="F20" s="18">
        <v>27</v>
      </c>
      <c r="H20" s="19">
        <v>84.947586000000001</v>
      </c>
      <c r="I20" s="20">
        <v>84.821550000000002</v>
      </c>
      <c r="J20" s="20">
        <v>84.631129999999999</v>
      </c>
      <c r="K20" s="21">
        <v>84.470330000000004</v>
      </c>
      <c r="L20" s="5">
        <f t="shared" si="65"/>
        <v>2.2808867142856997</v>
      </c>
      <c r="M20" s="5">
        <f t="shared" si="66"/>
        <v>2.6197621428571267</v>
      </c>
      <c r="N20" s="5">
        <f t="shared" si="67"/>
        <v>2.6180149999999998</v>
      </c>
      <c r="O20" s="5">
        <f t="shared" si="68"/>
        <v>2.136673571428588</v>
      </c>
      <c r="P20" s="5"/>
      <c r="Q20" s="19">
        <v>72.640810000000002</v>
      </c>
      <c r="R20" s="20">
        <v>72.489230000000006</v>
      </c>
      <c r="S20" s="20">
        <v>72.404510000000002</v>
      </c>
      <c r="T20" s="21">
        <v>72.819299999999998</v>
      </c>
      <c r="U20" s="5">
        <f t="shared" si="37"/>
        <v>0.62824857142857127</v>
      </c>
      <c r="V20" s="5">
        <f t="shared" si="38"/>
        <v>0.54842142857144438</v>
      </c>
      <c r="W20" s="5">
        <f t="shared" si="39"/>
        <v>0.44747214285715131</v>
      </c>
      <c r="X20" s="5">
        <f t="shared" si="40"/>
        <v>0.97244200000000092</v>
      </c>
      <c r="Y20" s="5"/>
      <c r="Z20" s="19">
        <v>9.7334329999999998</v>
      </c>
      <c r="AA20" s="20">
        <v>19.41235</v>
      </c>
      <c r="AB20" s="20">
        <v>18.631399999999999</v>
      </c>
      <c r="AC20" s="21">
        <v>18.580819999999999</v>
      </c>
      <c r="AD20" s="5">
        <f t="shared" si="41"/>
        <v>-8.9260364285714306</v>
      </c>
      <c r="AE20" s="5">
        <f t="shared" si="42"/>
        <v>-2.3244791428571432</v>
      </c>
      <c r="AF20" s="5">
        <f t="shared" si="43"/>
        <v>-3.3934284285714291</v>
      </c>
      <c r="AG20" s="5">
        <f t="shared" si="44"/>
        <v>-5.5506274285714277</v>
      </c>
      <c r="AH20" s="5"/>
      <c r="AI20" s="19">
        <v>7.0784729999999998</v>
      </c>
      <c r="AJ20" s="20">
        <v>6.990659</v>
      </c>
      <c r="AK20" s="20">
        <v>7.201117</v>
      </c>
      <c r="AL20" s="21">
        <v>7.4521160000000002</v>
      </c>
      <c r="AM20" s="5">
        <f t="shared" si="45"/>
        <v>-0.17069929999999989</v>
      </c>
      <c r="AN20" s="5">
        <f t="shared" si="46"/>
        <v>-0.15738867142857149</v>
      </c>
      <c r="AO20" s="5">
        <f t="shared" si="47"/>
        <v>-0.12512152857142933</v>
      </c>
      <c r="AP20" s="5">
        <f t="shared" si="48"/>
        <v>0.20549557142857289</v>
      </c>
      <c r="AR20" s="19">
        <v>9.7846679999999999</v>
      </c>
      <c r="AS20" s="20">
        <v>9.9415469999999999</v>
      </c>
      <c r="AT20" s="20">
        <v>9.4563129999999997</v>
      </c>
      <c r="AU20" s="21">
        <v>10.225731</v>
      </c>
      <c r="AV20" s="5">
        <f t="shared" si="49"/>
        <v>-1.0594595714285724</v>
      </c>
      <c r="AW20" s="5">
        <f t="shared" si="50"/>
        <v>-1.0977178571428574</v>
      </c>
      <c r="AX20" s="5">
        <f t="shared" si="51"/>
        <v>-1.3180697142857127</v>
      </c>
      <c r="AY20" s="5">
        <f t="shared" si="52"/>
        <v>-0.71202999999999861</v>
      </c>
      <c r="BA20" s="19">
        <v>1.3543172999999999</v>
      </c>
      <c r="BB20" s="20">
        <v>1.7501736000000001</v>
      </c>
      <c r="BC20" s="20">
        <v>1.7410388000000001</v>
      </c>
      <c r="BD20" s="21">
        <v>1.7410388000000001</v>
      </c>
      <c r="BE20" s="5">
        <f t="shared" si="53"/>
        <v>-0.42635648571428564</v>
      </c>
      <c r="BF20" s="5">
        <f t="shared" si="54"/>
        <v>-0.13394285714285692</v>
      </c>
      <c r="BG20" s="5">
        <f t="shared" si="55"/>
        <v>-0.17638948571428581</v>
      </c>
      <c r="BH20" s="5">
        <f t="shared" si="56"/>
        <v>-0.18811454285714291</v>
      </c>
      <c r="BJ20" s="19">
        <v>4.9893400000000003</v>
      </c>
      <c r="BK20" s="20">
        <v>5.8518109999999997</v>
      </c>
      <c r="BL20" s="20">
        <v>10.952464000000001</v>
      </c>
      <c r="BM20" s="21">
        <v>11.211311</v>
      </c>
      <c r="BN20" s="5">
        <f t="shared" si="57"/>
        <v>-4.1065916428571434</v>
      </c>
      <c r="BO20" s="5">
        <f t="shared" si="58"/>
        <v>-4.4483429571428559</v>
      </c>
      <c r="BP20" s="5">
        <f t="shared" si="59"/>
        <v>-0.52780550000000126</v>
      </c>
      <c r="BQ20" s="5">
        <f t="shared" si="60"/>
        <v>-0.28504492857142871</v>
      </c>
      <c r="BS20" s="19">
        <v>1.0228733000000001</v>
      </c>
      <c r="BT20" s="20">
        <v>1.5639433</v>
      </c>
      <c r="BU20" s="20">
        <v>1.5603482</v>
      </c>
      <c r="BV20" s="21">
        <v>1.4370699</v>
      </c>
      <c r="BW20" s="5">
        <f t="shared" si="61"/>
        <v>-0.98180578571428567</v>
      </c>
      <c r="BX20" s="5">
        <f t="shared" si="62"/>
        <v>-0.78303079999999969</v>
      </c>
      <c r="BY20" s="5">
        <f t="shared" si="63"/>
        <v>-0.81251329999999999</v>
      </c>
      <c r="BZ20" s="5">
        <f t="shared" si="64"/>
        <v>-0.97637912857142872</v>
      </c>
    </row>
    <row r="21" spans="1:78" x14ac:dyDescent="0.25">
      <c r="A21" s="38"/>
      <c r="B21" s="5">
        <v>12.4</v>
      </c>
      <c r="C21" s="5">
        <v>12.4</v>
      </c>
      <c r="D21" s="5">
        <v>12.5</v>
      </c>
      <c r="E21" s="5">
        <v>12.85</v>
      </c>
      <c r="F21" s="18">
        <v>32</v>
      </c>
      <c r="H21" s="19">
        <v>85.244690000000006</v>
      </c>
      <c r="I21" s="20">
        <v>85.441720000000004</v>
      </c>
      <c r="J21" s="20">
        <v>85.050049999999999</v>
      </c>
      <c r="K21" s="21">
        <v>84.973169999999996</v>
      </c>
      <c r="L21" s="5">
        <f t="shared" si="65"/>
        <v>2.5779907142857041</v>
      </c>
      <c r="M21" s="5">
        <f t="shared" si="66"/>
        <v>3.2399321428571284</v>
      </c>
      <c r="N21" s="5">
        <f t="shared" si="67"/>
        <v>3.0369349999999997</v>
      </c>
      <c r="O21" s="5">
        <f t="shared" si="68"/>
        <v>2.63951357142858</v>
      </c>
      <c r="P21" s="5"/>
      <c r="Q21" s="19">
        <v>72.649119999999996</v>
      </c>
      <c r="R21" s="20">
        <v>72.653899999999993</v>
      </c>
      <c r="S21" s="20">
        <v>72.857910000000004</v>
      </c>
      <c r="T21" s="21">
        <v>73.230446000000001</v>
      </c>
      <c r="U21" s="5">
        <f t="shared" si="37"/>
        <v>0.63655857142856576</v>
      </c>
      <c r="V21" s="5">
        <f t="shared" si="38"/>
        <v>0.71309142857143115</v>
      </c>
      <c r="W21" s="5">
        <f t="shared" si="39"/>
        <v>0.90087214285715334</v>
      </c>
      <c r="X21" s="5">
        <f t="shared" si="40"/>
        <v>1.3835880000000031</v>
      </c>
      <c r="Y21" s="5"/>
      <c r="Z21" s="19">
        <v>8.8442740000000004</v>
      </c>
      <c r="AA21" s="20">
        <v>9.7713280000000005</v>
      </c>
      <c r="AB21" s="20">
        <v>9.676736</v>
      </c>
      <c r="AC21" s="21">
        <v>20.821525999999999</v>
      </c>
      <c r="AD21" s="5">
        <f t="shared" si="41"/>
        <v>-9.81519542857143</v>
      </c>
      <c r="AE21" s="5">
        <f t="shared" si="42"/>
        <v>-11.965501142857143</v>
      </c>
      <c r="AF21" s="5">
        <f t="shared" si="43"/>
        <v>-12.348092428571428</v>
      </c>
      <c r="AG21" s="5">
        <f t="shared" si="44"/>
        <v>-3.3099214285714282</v>
      </c>
      <c r="AH21" s="5"/>
      <c r="AI21" s="19">
        <v>6.5080049999999998</v>
      </c>
      <c r="AJ21" s="20">
        <v>6.7973090000000003</v>
      </c>
      <c r="AK21" s="20">
        <v>7.0761729999999998</v>
      </c>
      <c r="AL21" s="21">
        <v>7.0935449999999998</v>
      </c>
      <c r="AM21" s="5">
        <f t="shared" si="45"/>
        <v>-0.74116729999999986</v>
      </c>
      <c r="AN21" s="5">
        <f t="shared" si="46"/>
        <v>-0.35073867142857118</v>
      </c>
      <c r="AO21" s="5">
        <f t="shared" si="47"/>
        <v>-0.2500655285714295</v>
      </c>
      <c r="AP21" s="5">
        <f t="shared" si="48"/>
        <v>-0.15307542857142753</v>
      </c>
      <c r="AR21" s="19">
        <v>9.8487620000000007</v>
      </c>
      <c r="AS21" s="20">
        <v>10.051119</v>
      </c>
      <c r="AT21" s="20">
        <v>9.9827440000000003</v>
      </c>
      <c r="AU21" s="21">
        <v>9.9531690000000008</v>
      </c>
      <c r="AV21" s="5">
        <f t="shared" si="49"/>
        <v>-0.99536557142857163</v>
      </c>
      <c r="AW21" s="5">
        <f t="shared" si="50"/>
        <v>-0.98814585714285741</v>
      </c>
      <c r="AX21" s="5">
        <f t="shared" si="51"/>
        <v>-0.7916387142857122</v>
      </c>
      <c r="AY21" s="5">
        <f t="shared" si="52"/>
        <v>-0.98459199999999747</v>
      </c>
      <c r="BA21" s="19">
        <v>1.3543172999999999</v>
      </c>
      <c r="BB21" s="20">
        <v>1.4895965</v>
      </c>
      <c r="BC21" s="20">
        <v>1.7405718999999999</v>
      </c>
      <c r="BD21" s="21">
        <v>1.7501736000000001</v>
      </c>
      <c r="BE21" s="5">
        <f t="shared" si="53"/>
        <v>-0.42635648571428564</v>
      </c>
      <c r="BF21" s="5">
        <f t="shared" si="54"/>
        <v>-0.39451995714285704</v>
      </c>
      <c r="BG21" s="5">
        <f t="shared" si="55"/>
        <v>-0.17685638571428597</v>
      </c>
      <c r="BH21" s="5">
        <f t="shared" si="56"/>
        <v>-0.17897974285714291</v>
      </c>
      <c r="BJ21" s="19">
        <v>3.6266929999999999</v>
      </c>
      <c r="BK21" s="20">
        <v>4.4614067000000004</v>
      </c>
      <c r="BL21" s="20">
        <v>6.2224680000000001</v>
      </c>
      <c r="BM21" s="21">
        <v>6.3666935000000002</v>
      </c>
      <c r="BN21" s="5">
        <f t="shared" si="57"/>
        <v>-5.4692386428571442</v>
      </c>
      <c r="BO21" s="5">
        <f t="shared" si="58"/>
        <v>-5.8387472571428551</v>
      </c>
      <c r="BP21" s="5">
        <f t="shared" si="59"/>
        <v>-5.257801500000002</v>
      </c>
      <c r="BQ21" s="5">
        <f t="shared" si="60"/>
        <v>-5.1296624285714287</v>
      </c>
      <c r="BS21" s="19">
        <v>1.1076916000000001</v>
      </c>
      <c r="BT21" s="20">
        <v>1.2105615999999999</v>
      </c>
      <c r="BU21" s="20">
        <v>1.4821726</v>
      </c>
      <c r="BV21" s="21">
        <v>1.4447234</v>
      </c>
      <c r="BW21" s="5">
        <f t="shared" si="61"/>
        <v>-0.89698748571428566</v>
      </c>
      <c r="BX21" s="5">
        <f t="shared" si="62"/>
        <v>-1.1364124999999998</v>
      </c>
      <c r="BY21" s="5">
        <f t="shared" si="63"/>
        <v>-0.89068890000000001</v>
      </c>
      <c r="BZ21" s="5">
        <f t="shared" si="64"/>
        <v>-0.96872562857142874</v>
      </c>
    </row>
    <row r="22" spans="1:78" x14ac:dyDescent="0.25">
      <c r="A22" s="37">
        <v>3</v>
      </c>
      <c r="B22" s="12"/>
      <c r="C22" s="12"/>
      <c r="D22" s="12"/>
      <c r="E22" s="12"/>
      <c r="F22" s="13"/>
      <c r="H22" s="14"/>
      <c r="I22" s="15"/>
      <c r="J22" s="15"/>
      <c r="K22" s="16"/>
      <c r="L22" s="12" t="str">
        <f t="shared" ref="L22:O28" si="69">IF(OR(H22="",H22="NaN"),"",H22-AVERAGE(H$22:H$28))</f>
        <v/>
      </c>
      <c r="M22" s="12" t="str">
        <f t="shared" si="69"/>
        <v/>
      </c>
      <c r="N22" s="12" t="str">
        <f t="shared" si="69"/>
        <v/>
      </c>
      <c r="O22" s="17" t="str">
        <f t="shared" si="69"/>
        <v/>
      </c>
      <c r="P22" s="5"/>
      <c r="Q22" s="14"/>
      <c r="R22" s="15"/>
      <c r="S22" s="15"/>
      <c r="T22" s="16"/>
      <c r="U22" s="12" t="str">
        <f t="shared" ref="U22:X28" si="70">IF(OR(Q22="",Q22="NaN"),"",Q22-AVERAGE(Q$22:Q$28))</f>
        <v/>
      </c>
      <c r="V22" s="12" t="str">
        <f t="shared" si="70"/>
        <v/>
      </c>
      <c r="W22" s="12" t="str">
        <f t="shared" si="70"/>
        <v/>
      </c>
      <c r="X22" s="17" t="str">
        <f t="shared" si="70"/>
        <v/>
      </c>
      <c r="Y22" s="5"/>
      <c r="Z22" s="14"/>
      <c r="AA22" s="15"/>
      <c r="AB22" s="15"/>
      <c r="AC22" s="16"/>
      <c r="AD22" s="12" t="str">
        <f t="shared" ref="AD22:AG28" si="71">IF(OR(Z22="",Z22="NaN"),"",Z22-AVERAGE(Z$22:Z$28))</f>
        <v/>
      </c>
      <c r="AE22" s="12" t="str">
        <f t="shared" si="71"/>
        <v/>
      </c>
      <c r="AF22" s="12" t="str">
        <f t="shared" si="71"/>
        <v/>
      </c>
      <c r="AG22" s="17" t="str">
        <f t="shared" si="71"/>
        <v/>
      </c>
      <c r="AH22" s="5"/>
      <c r="AI22" s="14"/>
      <c r="AJ22" s="15"/>
      <c r="AK22" s="15"/>
      <c r="AL22" s="16"/>
      <c r="AM22" s="12" t="str">
        <f t="shared" ref="AM22:AP28" si="72">IF(OR(AI22="",AI22="NaN"),"",AI22-AVERAGE(AI$22:AI$28))</f>
        <v/>
      </c>
      <c r="AN22" s="12" t="str">
        <f t="shared" si="72"/>
        <v/>
      </c>
      <c r="AO22" s="12" t="str">
        <f t="shared" si="72"/>
        <v/>
      </c>
      <c r="AP22" s="17" t="str">
        <f t="shared" si="72"/>
        <v/>
      </c>
      <c r="AR22" s="14"/>
      <c r="AS22" s="15"/>
      <c r="AT22" s="15"/>
      <c r="AU22" s="16"/>
      <c r="AV22" s="12" t="str">
        <f t="shared" ref="AV22:AY28" si="73">IF(OR(AR22="",AR22="NaN"),"",AR22-AVERAGE(AR$22:AR$28))</f>
        <v/>
      </c>
      <c r="AW22" s="12" t="str">
        <f t="shared" si="73"/>
        <v/>
      </c>
      <c r="AX22" s="12" t="str">
        <f t="shared" si="73"/>
        <v/>
      </c>
      <c r="AY22" s="17" t="str">
        <f t="shared" si="73"/>
        <v/>
      </c>
      <c r="BA22" s="14"/>
      <c r="BB22" s="15"/>
      <c r="BC22" s="15"/>
      <c r="BD22" s="16"/>
      <c r="BE22" s="12" t="str">
        <f t="shared" ref="BE22:BH28" si="74">IF(OR(BA22="",BA22="NaN"),"",BA22-AVERAGE(BA$22:BA$28))</f>
        <v/>
      </c>
      <c r="BF22" s="12" t="str">
        <f t="shared" si="74"/>
        <v/>
      </c>
      <c r="BG22" s="12" t="str">
        <f t="shared" si="74"/>
        <v/>
      </c>
      <c r="BH22" s="17" t="str">
        <f t="shared" si="74"/>
        <v/>
      </c>
      <c r="BJ22" s="14"/>
      <c r="BK22" s="15"/>
      <c r="BL22" s="15"/>
      <c r="BM22" s="16"/>
      <c r="BN22" s="12" t="str">
        <f t="shared" ref="BN22:BQ28" si="75">IF(OR(BJ22="",BJ22="NaN"),"",BJ22-AVERAGE(BJ$22:BJ$28))</f>
        <v/>
      </c>
      <c r="BO22" s="12" t="str">
        <f t="shared" si="75"/>
        <v/>
      </c>
      <c r="BP22" s="12" t="str">
        <f t="shared" si="75"/>
        <v/>
      </c>
      <c r="BQ22" s="17" t="str">
        <f t="shared" si="75"/>
        <v/>
      </c>
      <c r="BS22" s="14"/>
      <c r="BT22" s="15"/>
      <c r="BU22" s="15"/>
      <c r="BV22" s="16"/>
      <c r="BW22" s="12" t="str">
        <f t="shared" ref="BW22:BZ28" si="76">IF(OR(BS22="",BS22="NaN"),"",BS22-AVERAGE(BS$22:BS$28))</f>
        <v/>
      </c>
      <c r="BX22" s="12" t="str">
        <f t="shared" si="76"/>
        <v/>
      </c>
      <c r="BY22" s="12" t="str">
        <f t="shared" si="76"/>
        <v/>
      </c>
      <c r="BZ22" s="17" t="str">
        <f t="shared" si="76"/>
        <v/>
      </c>
    </row>
    <row r="23" spans="1:78" x14ac:dyDescent="0.25">
      <c r="A23" s="38"/>
      <c r="B23" s="5"/>
      <c r="C23" s="5"/>
      <c r="D23" s="5"/>
      <c r="E23" s="5"/>
      <c r="F23" s="18"/>
      <c r="H23" s="19"/>
      <c r="I23" s="20"/>
      <c r="J23" s="20"/>
      <c r="K23" s="21"/>
      <c r="L23" s="5" t="str">
        <f t="shared" si="69"/>
        <v/>
      </c>
      <c r="M23" s="5" t="str">
        <f t="shared" si="69"/>
        <v/>
      </c>
      <c r="N23" s="5" t="str">
        <f t="shared" si="69"/>
        <v/>
      </c>
      <c r="O23" s="22" t="str">
        <f t="shared" si="69"/>
        <v/>
      </c>
      <c r="P23" s="5"/>
      <c r="Q23" s="19"/>
      <c r="R23" s="20"/>
      <c r="S23" s="20"/>
      <c r="T23" s="21"/>
      <c r="U23" s="5" t="str">
        <f t="shared" si="70"/>
        <v/>
      </c>
      <c r="V23" s="5" t="str">
        <f t="shared" si="70"/>
        <v/>
      </c>
      <c r="W23" s="5" t="str">
        <f t="shared" si="70"/>
        <v/>
      </c>
      <c r="X23" s="22" t="str">
        <f t="shared" si="70"/>
        <v/>
      </c>
      <c r="Y23" s="5"/>
      <c r="Z23" s="19"/>
      <c r="AA23" s="20"/>
      <c r="AB23" s="20"/>
      <c r="AC23" s="21"/>
      <c r="AD23" s="5" t="str">
        <f t="shared" si="71"/>
        <v/>
      </c>
      <c r="AE23" s="5" t="str">
        <f t="shared" si="71"/>
        <v/>
      </c>
      <c r="AF23" s="5" t="str">
        <f t="shared" si="71"/>
        <v/>
      </c>
      <c r="AG23" s="22" t="str">
        <f t="shared" si="71"/>
        <v/>
      </c>
      <c r="AH23" s="5"/>
      <c r="AI23" s="19"/>
      <c r="AJ23" s="20"/>
      <c r="AK23" s="20"/>
      <c r="AL23" s="21"/>
      <c r="AM23" s="5" t="str">
        <f t="shared" si="72"/>
        <v/>
      </c>
      <c r="AN23" s="5" t="str">
        <f t="shared" si="72"/>
        <v/>
      </c>
      <c r="AO23" s="5" t="str">
        <f t="shared" si="72"/>
        <v/>
      </c>
      <c r="AP23" s="22" t="str">
        <f t="shared" si="72"/>
        <v/>
      </c>
      <c r="AR23" s="19"/>
      <c r="AS23" s="20"/>
      <c r="AT23" s="20"/>
      <c r="AU23" s="21"/>
      <c r="AV23" s="5" t="str">
        <f t="shared" si="73"/>
        <v/>
      </c>
      <c r="AW23" s="5" t="str">
        <f t="shared" si="73"/>
        <v/>
      </c>
      <c r="AX23" s="5" t="str">
        <f t="shared" si="73"/>
        <v/>
      </c>
      <c r="AY23" s="22" t="str">
        <f t="shared" si="73"/>
        <v/>
      </c>
      <c r="BA23" s="19"/>
      <c r="BB23" s="20"/>
      <c r="BC23" s="20"/>
      <c r="BD23" s="21"/>
      <c r="BE23" s="5" t="str">
        <f t="shared" si="74"/>
        <v/>
      </c>
      <c r="BF23" s="5" t="str">
        <f t="shared" si="74"/>
        <v/>
      </c>
      <c r="BG23" s="5" t="str">
        <f t="shared" si="74"/>
        <v/>
      </c>
      <c r="BH23" s="22" t="str">
        <f t="shared" si="74"/>
        <v/>
      </c>
      <c r="BJ23" s="19"/>
      <c r="BK23" s="20"/>
      <c r="BL23" s="20"/>
      <c r="BM23" s="21"/>
      <c r="BN23" s="5" t="str">
        <f t="shared" si="75"/>
        <v/>
      </c>
      <c r="BO23" s="5" t="str">
        <f t="shared" si="75"/>
        <v/>
      </c>
      <c r="BP23" s="5" t="str">
        <f t="shared" si="75"/>
        <v/>
      </c>
      <c r="BQ23" s="22" t="str">
        <f t="shared" si="75"/>
        <v/>
      </c>
      <c r="BS23" s="19"/>
      <c r="BT23" s="20"/>
      <c r="BU23" s="20"/>
      <c r="BV23" s="21"/>
      <c r="BW23" s="5" t="str">
        <f t="shared" si="76"/>
        <v/>
      </c>
      <c r="BX23" s="5" t="str">
        <f t="shared" si="76"/>
        <v/>
      </c>
      <c r="BY23" s="5" t="str">
        <f t="shared" si="76"/>
        <v/>
      </c>
      <c r="BZ23" s="22" t="str">
        <f t="shared" si="76"/>
        <v/>
      </c>
    </row>
    <row r="24" spans="1:78" x14ac:dyDescent="0.25">
      <c r="A24" s="38"/>
      <c r="B24" s="5"/>
      <c r="C24" s="5"/>
      <c r="D24" s="5"/>
      <c r="E24" s="5"/>
      <c r="F24" s="18"/>
      <c r="H24" s="19"/>
      <c r="I24" s="20"/>
      <c r="J24" s="20"/>
      <c r="K24" s="21"/>
      <c r="L24" s="5" t="str">
        <f t="shared" si="69"/>
        <v/>
      </c>
      <c r="M24" s="5" t="str">
        <f t="shared" si="69"/>
        <v/>
      </c>
      <c r="N24" s="5" t="str">
        <f t="shared" si="69"/>
        <v/>
      </c>
      <c r="O24" s="22" t="str">
        <f t="shared" si="69"/>
        <v/>
      </c>
      <c r="P24" s="5"/>
      <c r="Q24" s="19"/>
      <c r="R24" s="20"/>
      <c r="S24" s="20"/>
      <c r="T24" s="21"/>
      <c r="U24" s="5" t="str">
        <f t="shared" si="70"/>
        <v/>
      </c>
      <c r="V24" s="5" t="str">
        <f t="shared" si="70"/>
        <v/>
      </c>
      <c r="W24" s="5" t="str">
        <f t="shared" si="70"/>
        <v/>
      </c>
      <c r="X24" s="22" t="str">
        <f t="shared" si="70"/>
        <v/>
      </c>
      <c r="Y24" s="5"/>
      <c r="Z24" s="19"/>
      <c r="AA24" s="20"/>
      <c r="AB24" s="20"/>
      <c r="AC24" s="21"/>
      <c r="AD24" s="5" t="str">
        <f t="shared" si="71"/>
        <v/>
      </c>
      <c r="AE24" s="5" t="str">
        <f t="shared" si="71"/>
        <v/>
      </c>
      <c r="AF24" s="5" t="str">
        <f t="shared" si="71"/>
        <v/>
      </c>
      <c r="AG24" s="22" t="str">
        <f t="shared" si="71"/>
        <v/>
      </c>
      <c r="AH24" s="5"/>
      <c r="AI24" s="19"/>
      <c r="AJ24" s="20"/>
      <c r="AK24" s="20"/>
      <c r="AL24" s="21"/>
      <c r="AM24" s="5" t="str">
        <f t="shared" si="72"/>
        <v/>
      </c>
      <c r="AN24" s="5" t="str">
        <f t="shared" si="72"/>
        <v/>
      </c>
      <c r="AO24" s="5" t="str">
        <f t="shared" si="72"/>
        <v/>
      </c>
      <c r="AP24" s="22" t="str">
        <f t="shared" si="72"/>
        <v/>
      </c>
      <c r="AR24" s="19"/>
      <c r="AS24" s="20"/>
      <c r="AT24" s="20"/>
      <c r="AU24" s="21"/>
      <c r="AV24" s="5" t="str">
        <f t="shared" si="73"/>
        <v/>
      </c>
      <c r="AW24" s="5" t="str">
        <f t="shared" si="73"/>
        <v/>
      </c>
      <c r="AX24" s="5" t="str">
        <f t="shared" si="73"/>
        <v/>
      </c>
      <c r="AY24" s="22" t="str">
        <f t="shared" si="73"/>
        <v/>
      </c>
      <c r="BA24" s="19"/>
      <c r="BB24" s="20"/>
      <c r="BC24" s="20"/>
      <c r="BD24" s="21"/>
      <c r="BE24" s="5" t="str">
        <f t="shared" si="74"/>
        <v/>
      </c>
      <c r="BF24" s="5" t="str">
        <f t="shared" si="74"/>
        <v/>
      </c>
      <c r="BG24" s="5" t="str">
        <f t="shared" si="74"/>
        <v/>
      </c>
      <c r="BH24" s="22" t="str">
        <f t="shared" si="74"/>
        <v/>
      </c>
      <c r="BJ24" s="19"/>
      <c r="BK24" s="20"/>
      <c r="BL24" s="20"/>
      <c r="BM24" s="21"/>
      <c r="BN24" s="5" t="str">
        <f t="shared" si="75"/>
        <v/>
      </c>
      <c r="BO24" s="5" t="str">
        <f t="shared" si="75"/>
        <v/>
      </c>
      <c r="BP24" s="5" t="str">
        <f t="shared" si="75"/>
        <v/>
      </c>
      <c r="BQ24" s="22" t="str">
        <f t="shared" si="75"/>
        <v/>
      </c>
      <c r="BS24" s="19"/>
      <c r="BT24" s="20"/>
      <c r="BU24" s="20"/>
      <c r="BV24" s="21"/>
      <c r="BW24" s="5" t="str">
        <f t="shared" si="76"/>
        <v/>
      </c>
      <c r="BX24" s="5" t="str">
        <f t="shared" si="76"/>
        <v/>
      </c>
      <c r="BY24" s="5" t="str">
        <f t="shared" si="76"/>
        <v/>
      </c>
      <c r="BZ24" s="22" t="str">
        <f t="shared" si="76"/>
        <v/>
      </c>
    </row>
    <row r="25" spans="1:78" x14ac:dyDescent="0.25">
      <c r="A25" s="38"/>
      <c r="B25" s="5"/>
      <c r="C25" s="5"/>
      <c r="D25" s="5"/>
      <c r="E25" s="5"/>
      <c r="F25" s="18"/>
      <c r="H25" s="19"/>
      <c r="I25" s="20"/>
      <c r="J25" s="20"/>
      <c r="K25" s="21"/>
      <c r="L25" s="5" t="str">
        <f t="shared" si="69"/>
        <v/>
      </c>
      <c r="M25" s="5" t="str">
        <f t="shared" si="69"/>
        <v/>
      </c>
      <c r="N25" s="5" t="str">
        <f t="shared" si="69"/>
        <v/>
      </c>
      <c r="O25" s="22" t="str">
        <f t="shared" si="69"/>
        <v/>
      </c>
      <c r="P25" s="5"/>
      <c r="Q25" s="19"/>
      <c r="R25" s="20"/>
      <c r="S25" s="20"/>
      <c r="T25" s="21"/>
      <c r="U25" s="5" t="str">
        <f t="shared" si="70"/>
        <v/>
      </c>
      <c r="V25" s="5" t="str">
        <f t="shared" si="70"/>
        <v/>
      </c>
      <c r="W25" s="5" t="str">
        <f t="shared" si="70"/>
        <v/>
      </c>
      <c r="X25" s="22" t="str">
        <f t="shared" si="70"/>
        <v/>
      </c>
      <c r="Y25" s="5"/>
      <c r="Z25" s="19"/>
      <c r="AA25" s="20"/>
      <c r="AB25" s="20"/>
      <c r="AC25" s="21"/>
      <c r="AD25" s="5" t="str">
        <f t="shared" si="71"/>
        <v/>
      </c>
      <c r="AE25" s="5" t="str">
        <f t="shared" si="71"/>
        <v/>
      </c>
      <c r="AF25" s="5" t="str">
        <f t="shared" si="71"/>
        <v/>
      </c>
      <c r="AG25" s="22" t="str">
        <f t="shared" si="71"/>
        <v/>
      </c>
      <c r="AH25" s="5"/>
      <c r="AI25" s="19"/>
      <c r="AJ25" s="20"/>
      <c r="AK25" s="20"/>
      <c r="AL25" s="21"/>
      <c r="AM25" s="5" t="str">
        <f t="shared" si="72"/>
        <v/>
      </c>
      <c r="AN25" s="5" t="str">
        <f t="shared" si="72"/>
        <v/>
      </c>
      <c r="AO25" s="5" t="str">
        <f t="shared" si="72"/>
        <v/>
      </c>
      <c r="AP25" s="22" t="str">
        <f t="shared" si="72"/>
        <v/>
      </c>
      <c r="AR25" s="19"/>
      <c r="AS25" s="20"/>
      <c r="AT25" s="20"/>
      <c r="AU25" s="21"/>
      <c r="AV25" s="5" t="str">
        <f t="shared" si="73"/>
        <v/>
      </c>
      <c r="AW25" s="5" t="str">
        <f t="shared" si="73"/>
        <v/>
      </c>
      <c r="AX25" s="5" t="str">
        <f t="shared" si="73"/>
        <v/>
      </c>
      <c r="AY25" s="22" t="str">
        <f t="shared" si="73"/>
        <v/>
      </c>
      <c r="BA25" s="19"/>
      <c r="BB25" s="20"/>
      <c r="BC25" s="20"/>
      <c r="BD25" s="21"/>
      <c r="BE25" s="5" t="str">
        <f t="shared" si="74"/>
        <v/>
      </c>
      <c r="BF25" s="5" t="str">
        <f t="shared" si="74"/>
        <v/>
      </c>
      <c r="BG25" s="5" t="str">
        <f t="shared" si="74"/>
        <v/>
      </c>
      <c r="BH25" s="22" t="str">
        <f t="shared" si="74"/>
        <v/>
      </c>
      <c r="BJ25" s="19"/>
      <c r="BK25" s="20"/>
      <c r="BL25" s="20"/>
      <c r="BM25" s="21"/>
      <c r="BN25" s="5" t="str">
        <f t="shared" si="75"/>
        <v/>
      </c>
      <c r="BO25" s="5" t="str">
        <f t="shared" si="75"/>
        <v/>
      </c>
      <c r="BP25" s="5" t="str">
        <f t="shared" si="75"/>
        <v/>
      </c>
      <c r="BQ25" s="22" t="str">
        <f t="shared" si="75"/>
        <v/>
      </c>
      <c r="BS25" s="19"/>
      <c r="BT25" s="20"/>
      <c r="BU25" s="20"/>
      <c r="BV25" s="21"/>
      <c r="BW25" s="5" t="str">
        <f t="shared" si="76"/>
        <v/>
      </c>
      <c r="BX25" s="5" t="str">
        <f t="shared" si="76"/>
        <v/>
      </c>
      <c r="BY25" s="5" t="str">
        <f t="shared" si="76"/>
        <v/>
      </c>
      <c r="BZ25" s="22" t="str">
        <f t="shared" si="76"/>
        <v/>
      </c>
    </row>
    <row r="26" spans="1:78" x14ac:dyDescent="0.25">
      <c r="A26" s="38"/>
      <c r="B26" s="5"/>
      <c r="C26" s="5"/>
      <c r="D26" s="5"/>
      <c r="E26" s="5"/>
      <c r="F26" s="18"/>
      <c r="H26" s="19"/>
      <c r="I26" s="20"/>
      <c r="J26" s="20"/>
      <c r="K26" s="21"/>
      <c r="L26" s="5" t="str">
        <f t="shared" si="69"/>
        <v/>
      </c>
      <c r="M26" s="5" t="str">
        <f t="shared" si="69"/>
        <v/>
      </c>
      <c r="N26" s="5" t="str">
        <f t="shared" si="69"/>
        <v/>
      </c>
      <c r="O26" s="22" t="str">
        <f t="shared" si="69"/>
        <v/>
      </c>
      <c r="P26" s="5"/>
      <c r="Q26" s="19"/>
      <c r="R26" s="20"/>
      <c r="S26" s="20"/>
      <c r="T26" s="21"/>
      <c r="U26" s="5" t="str">
        <f t="shared" si="70"/>
        <v/>
      </c>
      <c r="V26" s="5" t="str">
        <f t="shared" si="70"/>
        <v/>
      </c>
      <c r="W26" s="5" t="str">
        <f t="shared" si="70"/>
        <v/>
      </c>
      <c r="X26" s="22" t="str">
        <f t="shared" si="70"/>
        <v/>
      </c>
      <c r="Y26" s="5"/>
      <c r="Z26" s="19"/>
      <c r="AA26" s="20"/>
      <c r="AB26" s="20"/>
      <c r="AC26" s="21"/>
      <c r="AD26" s="5" t="str">
        <f t="shared" si="71"/>
        <v/>
      </c>
      <c r="AE26" s="5" t="str">
        <f t="shared" si="71"/>
        <v/>
      </c>
      <c r="AF26" s="5" t="str">
        <f t="shared" si="71"/>
        <v/>
      </c>
      <c r="AG26" s="22" t="str">
        <f t="shared" si="71"/>
        <v/>
      </c>
      <c r="AH26" s="5"/>
      <c r="AI26" s="19"/>
      <c r="AJ26" s="20"/>
      <c r="AK26" s="20"/>
      <c r="AL26" s="21"/>
      <c r="AM26" s="5" t="str">
        <f t="shared" si="72"/>
        <v/>
      </c>
      <c r="AN26" s="5" t="str">
        <f t="shared" si="72"/>
        <v/>
      </c>
      <c r="AO26" s="5" t="str">
        <f t="shared" si="72"/>
        <v/>
      </c>
      <c r="AP26" s="22" t="str">
        <f t="shared" si="72"/>
        <v/>
      </c>
      <c r="AR26" s="19"/>
      <c r="AS26" s="20"/>
      <c r="AT26" s="20"/>
      <c r="AU26" s="21"/>
      <c r="AV26" s="5" t="str">
        <f t="shared" si="73"/>
        <v/>
      </c>
      <c r="AW26" s="5" t="str">
        <f t="shared" si="73"/>
        <v/>
      </c>
      <c r="AX26" s="5" t="str">
        <f t="shared" si="73"/>
        <v/>
      </c>
      <c r="AY26" s="22" t="str">
        <f t="shared" si="73"/>
        <v/>
      </c>
      <c r="BA26" s="19"/>
      <c r="BB26" s="20"/>
      <c r="BC26" s="20"/>
      <c r="BD26" s="21"/>
      <c r="BE26" s="5" t="str">
        <f t="shared" si="74"/>
        <v/>
      </c>
      <c r="BF26" s="5" t="str">
        <f t="shared" si="74"/>
        <v/>
      </c>
      <c r="BG26" s="5" t="str">
        <f t="shared" si="74"/>
        <v/>
      </c>
      <c r="BH26" s="22" t="str">
        <f t="shared" si="74"/>
        <v/>
      </c>
      <c r="BJ26" s="19"/>
      <c r="BK26" s="20"/>
      <c r="BL26" s="20"/>
      <c r="BM26" s="21"/>
      <c r="BN26" s="5" t="str">
        <f t="shared" si="75"/>
        <v/>
      </c>
      <c r="BO26" s="5" t="str">
        <f t="shared" si="75"/>
        <v/>
      </c>
      <c r="BP26" s="5" t="str">
        <f t="shared" si="75"/>
        <v/>
      </c>
      <c r="BQ26" s="22" t="str">
        <f t="shared" si="75"/>
        <v/>
      </c>
      <c r="BS26" s="19"/>
      <c r="BT26" s="20"/>
      <c r="BU26" s="20"/>
      <c r="BV26" s="21"/>
      <c r="BW26" s="5" t="str">
        <f t="shared" si="76"/>
        <v/>
      </c>
      <c r="BX26" s="5" t="str">
        <f t="shared" si="76"/>
        <v/>
      </c>
      <c r="BY26" s="5" t="str">
        <f t="shared" si="76"/>
        <v/>
      </c>
      <c r="BZ26" s="22" t="str">
        <f t="shared" si="76"/>
        <v/>
      </c>
    </row>
    <row r="27" spans="1:78" x14ac:dyDescent="0.25">
      <c r="A27" s="38"/>
      <c r="B27" s="5"/>
      <c r="C27" s="5"/>
      <c r="D27" s="5"/>
      <c r="E27" s="5"/>
      <c r="F27" s="18"/>
      <c r="H27" s="19"/>
      <c r="I27" s="20"/>
      <c r="J27" s="20"/>
      <c r="K27" s="21"/>
      <c r="L27" s="5" t="str">
        <f t="shared" si="69"/>
        <v/>
      </c>
      <c r="M27" s="5" t="str">
        <f t="shared" si="69"/>
        <v/>
      </c>
      <c r="N27" s="5" t="str">
        <f t="shared" si="69"/>
        <v/>
      </c>
      <c r="O27" s="22" t="str">
        <f t="shared" si="69"/>
        <v/>
      </c>
      <c r="P27" s="5"/>
      <c r="Q27" s="19"/>
      <c r="R27" s="20"/>
      <c r="S27" s="20"/>
      <c r="T27" s="21"/>
      <c r="U27" s="5" t="str">
        <f t="shared" si="70"/>
        <v/>
      </c>
      <c r="V27" s="5" t="str">
        <f t="shared" si="70"/>
        <v/>
      </c>
      <c r="W27" s="5" t="str">
        <f t="shared" si="70"/>
        <v/>
      </c>
      <c r="X27" s="22" t="str">
        <f t="shared" si="70"/>
        <v/>
      </c>
      <c r="Y27" s="5"/>
      <c r="Z27" s="19"/>
      <c r="AA27" s="20"/>
      <c r="AB27" s="20"/>
      <c r="AC27" s="21"/>
      <c r="AD27" s="5" t="str">
        <f t="shared" si="71"/>
        <v/>
      </c>
      <c r="AE27" s="5" t="str">
        <f t="shared" si="71"/>
        <v/>
      </c>
      <c r="AF27" s="5" t="str">
        <f t="shared" si="71"/>
        <v/>
      </c>
      <c r="AG27" s="22" t="str">
        <f t="shared" si="71"/>
        <v/>
      </c>
      <c r="AH27" s="5"/>
      <c r="AI27" s="19"/>
      <c r="AJ27" s="20"/>
      <c r="AK27" s="20"/>
      <c r="AL27" s="21"/>
      <c r="AM27" s="5" t="str">
        <f t="shared" si="72"/>
        <v/>
      </c>
      <c r="AN27" s="5" t="str">
        <f t="shared" si="72"/>
        <v/>
      </c>
      <c r="AO27" s="5" t="str">
        <f t="shared" si="72"/>
        <v/>
      </c>
      <c r="AP27" s="22" t="str">
        <f t="shared" si="72"/>
        <v/>
      </c>
      <c r="AR27" s="19"/>
      <c r="AS27" s="20"/>
      <c r="AT27" s="20"/>
      <c r="AU27" s="21"/>
      <c r="AV27" s="5" t="str">
        <f t="shared" si="73"/>
        <v/>
      </c>
      <c r="AW27" s="5" t="str">
        <f t="shared" si="73"/>
        <v/>
      </c>
      <c r="AX27" s="5" t="str">
        <f t="shared" si="73"/>
        <v/>
      </c>
      <c r="AY27" s="22" t="str">
        <f t="shared" si="73"/>
        <v/>
      </c>
      <c r="BA27" s="19"/>
      <c r="BB27" s="20"/>
      <c r="BC27" s="20"/>
      <c r="BD27" s="21"/>
      <c r="BE27" s="5" t="str">
        <f t="shared" si="74"/>
        <v/>
      </c>
      <c r="BF27" s="5" t="str">
        <f t="shared" si="74"/>
        <v/>
      </c>
      <c r="BG27" s="5" t="str">
        <f t="shared" si="74"/>
        <v/>
      </c>
      <c r="BH27" s="22" t="str">
        <f t="shared" si="74"/>
        <v/>
      </c>
      <c r="BJ27" s="19"/>
      <c r="BK27" s="20"/>
      <c r="BL27" s="20"/>
      <c r="BM27" s="21"/>
      <c r="BN27" s="5" t="str">
        <f t="shared" si="75"/>
        <v/>
      </c>
      <c r="BO27" s="5" t="str">
        <f t="shared" si="75"/>
        <v/>
      </c>
      <c r="BP27" s="5" t="str">
        <f t="shared" si="75"/>
        <v/>
      </c>
      <c r="BQ27" s="22" t="str">
        <f t="shared" si="75"/>
        <v/>
      </c>
      <c r="BS27" s="19"/>
      <c r="BT27" s="20"/>
      <c r="BU27" s="20"/>
      <c r="BV27" s="21"/>
      <c r="BW27" s="5" t="str">
        <f t="shared" si="76"/>
        <v/>
      </c>
      <c r="BX27" s="5" t="str">
        <f t="shared" si="76"/>
        <v/>
      </c>
      <c r="BY27" s="5" t="str">
        <f t="shared" si="76"/>
        <v/>
      </c>
      <c r="BZ27" s="22" t="str">
        <f t="shared" si="76"/>
        <v/>
      </c>
    </row>
    <row r="28" spans="1:78" x14ac:dyDescent="0.25">
      <c r="A28" s="39"/>
      <c r="B28" s="23"/>
      <c r="C28" s="23"/>
      <c r="D28" s="23"/>
      <c r="E28" s="23"/>
      <c r="F28" s="24"/>
      <c r="H28" s="25"/>
      <c r="I28" s="26"/>
      <c r="J28" s="26"/>
      <c r="K28" s="27"/>
      <c r="L28" s="23" t="str">
        <f t="shared" si="69"/>
        <v/>
      </c>
      <c r="M28" s="23" t="str">
        <f t="shared" si="69"/>
        <v/>
      </c>
      <c r="N28" s="23" t="str">
        <f t="shared" si="69"/>
        <v/>
      </c>
      <c r="O28" s="28" t="str">
        <f t="shared" si="69"/>
        <v/>
      </c>
      <c r="P28" s="5"/>
      <c r="Q28" s="25"/>
      <c r="R28" s="26"/>
      <c r="S28" s="26"/>
      <c r="T28" s="27"/>
      <c r="U28" s="23" t="str">
        <f t="shared" si="70"/>
        <v/>
      </c>
      <c r="V28" s="23" t="str">
        <f t="shared" si="70"/>
        <v/>
      </c>
      <c r="W28" s="23" t="str">
        <f t="shared" si="70"/>
        <v/>
      </c>
      <c r="X28" s="28" t="str">
        <f t="shared" si="70"/>
        <v/>
      </c>
      <c r="Y28" s="5"/>
      <c r="Z28" s="25"/>
      <c r="AA28" s="26"/>
      <c r="AB28" s="26"/>
      <c r="AC28" s="27"/>
      <c r="AD28" s="23" t="str">
        <f t="shared" si="71"/>
        <v/>
      </c>
      <c r="AE28" s="23" t="str">
        <f t="shared" si="71"/>
        <v/>
      </c>
      <c r="AF28" s="23" t="str">
        <f t="shared" si="71"/>
        <v/>
      </c>
      <c r="AG28" s="28" t="str">
        <f t="shared" si="71"/>
        <v/>
      </c>
      <c r="AH28" s="5"/>
      <c r="AI28" s="25"/>
      <c r="AJ28" s="26"/>
      <c r="AK28" s="26"/>
      <c r="AL28" s="27"/>
      <c r="AM28" s="23" t="str">
        <f t="shared" si="72"/>
        <v/>
      </c>
      <c r="AN28" s="23" t="str">
        <f t="shared" si="72"/>
        <v/>
      </c>
      <c r="AO28" s="23" t="str">
        <f t="shared" si="72"/>
        <v/>
      </c>
      <c r="AP28" s="28" t="str">
        <f t="shared" si="72"/>
        <v/>
      </c>
      <c r="AR28" s="25"/>
      <c r="AS28" s="26"/>
      <c r="AT28" s="26"/>
      <c r="AU28" s="27"/>
      <c r="AV28" s="23" t="str">
        <f t="shared" si="73"/>
        <v/>
      </c>
      <c r="AW28" s="23" t="str">
        <f t="shared" si="73"/>
        <v/>
      </c>
      <c r="AX28" s="23" t="str">
        <f t="shared" si="73"/>
        <v/>
      </c>
      <c r="AY28" s="28" t="str">
        <f t="shared" si="73"/>
        <v/>
      </c>
      <c r="BA28" s="25"/>
      <c r="BB28" s="26"/>
      <c r="BC28" s="26"/>
      <c r="BD28" s="27"/>
      <c r="BE28" s="23" t="str">
        <f t="shared" si="74"/>
        <v/>
      </c>
      <c r="BF28" s="23" t="str">
        <f t="shared" si="74"/>
        <v/>
      </c>
      <c r="BG28" s="23" t="str">
        <f t="shared" si="74"/>
        <v/>
      </c>
      <c r="BH28" s="28" t="str">
        <f t="shared" si="74"/>
        <v/>
      </c>
      <c r="BJ28" s="25"/>
      <c r="BK28" s="26"/>
      <c r="BL28" s="26"/>
      <c r="BM28" s="27"/>
      <c r="BN28" s="23" t="str">
        <f t="shared" si="75"/>
        <v/>
      </c>
      <c r="BO28" s="23" t="str">
        <f t="shared" si="75"/>
        <v/>
      </c>
      <c r="BP28" s="23" t="str">
        <f t="shared" si="75"/>
        <v/>
      </c>
      <c r="BQ28" s="28" t="str">
        <f t="shared" si="75"/>
        <v/>
      </c>
      <c r="BS28" s="25"/>
      <c r="BT28" s="26"/>
      <c r="BU28" s="26"/>
      <c r="BV28" s="27"/>
      <c r="BW28" s="23" t="str">
        <f t="shared" si="76"/>
        <v/>
      </c>
      <c r="BX28" s="23" t="str">
        <f t="shared" si="76"/>
        <v/>
      </c>
      <c r="BY28" s="23" t="str">
        <f t="shared" si="76"/>
        <v/>
      </c>
      <c r="BZ28" s="28" t="str">
        <f t="shared" si="76"/>
        <v/>
      </c>
    </row>
    <row r="30" spans="1:78" x14ac:dyDescent="0.25">
      <c r="B30" s="29">
        <f>(AVERAGE(B8,B15,B22)-AVERAGE(B14,B21,B28))/10</f>
        <v>4.3925000000000001</v>
      </c>
      <c r="C30" s="29">
        <f>(AVERAGE(C8,C15,C22)-AVERAGE(C14,C21,C28))/10</f>
        <v>4.5250000000000004</v>
      </c>
      <c r="D30" s="29">
        <f>(AVERAGE(D8,D15,D22)-AVERAGE(D14,D21,D28))/10</f>
        <v>4.3624999999999998</v>
      </c>
      <c r="E30" s="29">
        <f>(AVERAGE(E8,E15,E22)-AVERAGE(E14,E21,E28))/10</f>
        <v>4.3325000000000005</v>
      </c>
      <c r="F30" s="30"/>
      <c r="L30" s="5">
        <f t="shared" ref="L30:O36" si="77">AVERAGE(L8,L15,L22)</f>
        <v>-1.8808964285714396</v>
      </c>
      <c r="M30" s="5">
        <f t="shared" si="77"/>
        <v>-2.4638611428571551</v>
      </c>
      <c r="N30" s="5">
        <f t="shared" si="77"/>
        <v>-1.4670597142857105</v>
      </c>
      <c r="O30" s="5">
        <f t="shared" si="77"/>
        <v>-1.6757760714285581</v>
      </c>
      <c r="U30" s="5">
        <f t="shared" ref="U30:X36" si="78">AVERAGE(U8,U15,U22)</f>
        <v>-0.64422385714285468</v>
      </c>
      <c r="V30" s="5">
        <f t="shared" si="78"/>
        <v>-0.37404671428570424</v>
      </c>
      <c r="W30" s="5">
        <f t="shared" si="78"/>
        <v>-0.56295678571428454</v>
      </c>
      <c r="X30" s="5">
        <f t="shared" si="78"/>
        <v>-0.27960399999999908</v>
      </c>
      <c r="AD30" s="5">
        <f t="shared" ref="AD30:AG36" si="79">AVERAGE(AD8,AD15,AD22)</f>
        <v>11.140169142857143</v>
      </c>
      <c r="AE30" s="5">
        <f t="shared" si="79"/>
        <v>5.2985385714285709</v>
      </c>
      <c r="AF30" s="5">
        <f t="shared" si="79"/>
        <v>5.8408027857142866</v>
      </c>
      <c r="AG30" s="5">
        <f t="shared" si="79"/>
        <v>5.6529434285714295</v>
      </c>
      <c r="AM30" s="5">
        <f t="shared" ref="AM30:AP36" si="80">AVERAGE(AM8,AM15,AM22)</f>
        <v>0.22045833571428641</v>
      </c>
      <c r="AN30" s="5">
        <f t="shared" si="80"/>
        <v>0.27560747142857123</v>
      </c>
      <c r="AO30" s="5">
        <f t="shared" si="80"/>
        <v>1.8603928571425676E-3</v>
      </c>
      <c r="AP30" s="5">
        <f t="shared" si="80"/>
        <v>-1.7582785714284732E-2</v>
      </c>
      <c r="AV30" s="5">
        <f t="shared" ref="AV30:AY36" si="81">AVERAGE(AV8,AV15,AV22)</f>
        <v>0.68232489285714326</v>
      </c>
      <c r="AW30" s="5">
        <f t="shared" si="81"/>
        <v>0.77549428571428525</v>
      </c>
      <c r="AX30" s="5">
        <f t="shared" si="81"/>
        <v>0.67655985714285816</v>
      </c>
      <c r="AY30" s="5">
        <f t="shared" si="81"/>
        <v>0.57756985714285847</v>
      </c>
      <c r="BE30" s="5">
        <f t="shared" ref="BE30:BH36" si="82">AVERAGE(BE8,BE15,BE22)</f>
        <v>0.37886586428571445</v>
      </c>
      <c r="BF30" s="5">
        <f t="shared" si="82"/>
        <v>0.35262097142857163</v>
      </c>
      <c r="BG30" s="5">
        <f t="shared" si="82"/>
        <v>0.33504265714285686</v>
      </c>
      <c r="BH30" s="5">
        <f t="shared" si="82"/>
        <v>0.33163952142857123</v>
      </c>
      <c r="BN30" s="5">
        <f t="shared" ref="BN30:BQ36" si="83">AVERAGE(BN8,BN15,BN22)</f>
        <v>5.1331897428571418</v>
      </c>
      <c r="BO30" s="5">
        <f t="shared" si="83"/>
        <v>2.9913335357142845</v>
      </c>
      <c r="BP30" s="5">
        <f t="shared" si="83"/>
        <v>2.4497818571428569</v>
      </c>
      <c r="BQ30" s="5">
        <f t="shared" si="83"/>
        <v>2.254360764285714</v>
      </c>
      <c r="BW30" s="5">
        <f t="shared" ref="BW30:BZ36" si="84">AVERAGE(BW8,BW15,BW22)</f>
        <v>1.0425008357142858</v>
      </c>
      <c r="BX30" s="5">
        <f t="shared" si="84"/>
        <v>0.94598292142857154</v>
      </c>
      <c r="BY30" s="5">
        <f t="shared" si="84"/>
        <v>0.88392483571428593</v>
      </c>
      <c r="BZ30" s="5">
        <f t="shared" si="84"/>
        <v>0.78546981428571394</v>
      </c>
    </row>
    <row r="31" spans="1:78" x14ac:dyDescent="0.25">
      <c r="L31" s="5">
        <f t="shared" si="77"/>
        <v>-0.66129392857143898</v>
      </c>
      <c r="M31" s="5">
        <f t="shared" si="77"/>
        <v>-0.91690314285715857</v>
      </c>
      <c r="N31" s="5">
        <f t="shared" si="77"/>
        <v>-1.2982672142857155</v>
      </c>
      <c r="O31" s="5">
        <f t="shared" si="77"/>
        <v>-1.053996071428557</v>
      </c>
      <c r="U31" s="5">
        <f t="shared" si="78"/>
        <v>-0.74368185714285318</v>
      </c>
      <c r="V31" s="5">
        <f t="shared" si="78"/>
        <v>-0.6870347142857085</v>
      </c>
      <c r="W31" s="5">
        <f t="shared" si="78"/>
        <v>-0.73867178571428127</v>
      </c>
      <c r="X31" s="5">
        <f t="shared" si="78"/>
        <v>-0.49086649999999565</v>
      </c>
      <c r="AD31" s="5">
        <f t="shared" si="79"/>
        <v>7.6414666428571412</v>
      </c>
      <c r="AE31" s="5">
        <f t="shared" si="79"/>
        <v>6.8242905714285715</v>
      </c>
      <c r="AF31" s="5">
        <f t="shared" si="79"/>
        <v>5.7525057857142858</v>
      </c>
      <c r="AG31" s="5">
        <f t="shared" si="79"/>
        <v>6.9238304285714278</v>
      </c>
      <c r="AM31" s="5">
        <f t="shared" si="80"/>
        <v>0.34533913571428609</v>
      </c>
      <c r="AN31" s="5">
        <f t="shared" si="80"/>
        <v>0.24747597142857103</v>
      </c>
      <c r="AO31" s="5">
        <f t="shared" si="80"/>
        <v>0.11480444285714286</v>
      </c>
      <c r="AP31" s="5">
        <f t="shared" si="80"/>
        <v>9.0077764285715123E-2</v>
      </c>
      <c r="AV31" s="5">
        <f t="shared" si="81"/>
        <v>0.56286489285714314</v>
      </c>
      <c r="AW31" s="5">
        <f t="shared" si="81"/>
        <v>0.52469328571428608</v>
      </c>
      <c r="AX31" s="5">
        <f t="shared" si="81"/>
        <v>0.30814585714285858</v>
      </c>
      <c r="AY31" s="5">
        <f t="shared" si="81"/>
        <v>0.21874135714285803</v>
      </c>
      <c r="BE31" s="5">
        <f t="shared" si="82"/>
        <v>0.3282475142857143</v>
      </c>
      <c r="BF31" s="5">
        <f t="shared" si="82"/>
        <v>0.23837042142857134</v>
      </c>
      <c r="BG31" s="5">
        <f t="shared" si="82"/>
        <v>0.2108193071428569</v>
      </c>
      <c r="BH31" s="5">
        <f t="shared" si="82"/>
        <v>0.1871757214285712</v>
      </c>
      <c r="BN31" s="5">
        <f t="shared" si="83"/>
        <v>3.1991769928571427</v>
      </c>
      <c r="BO31" s="5">
        <f t="shared" si="83"/>
        <v>4.0717315357142851</v>
      </c>
      <c r="BP31" s="5">
        <f t="shared" si="83"/>
        <v>2.0870076071428567</v>
      </c>
      <c r="BQ31" s="5">
        <f t="shared" si="83"/>
        <v>2.6503112642857136</v>
      </c>
      <c r="BW31" s="5">
        <f t="shared" si="84"/>
        <v>0.40485588571428577</v>
      </c>
      <c r="BX31" s="5">
        <f t="shared" si="84"/>
        <v>0.24749762142857157</v>
      </c>
      <c r="BY31" s="5">
        <f t="shared" si="84"/>
        <v>0.7203943357142859</v>
      </c>
      <c r="BZ31" s="5">
        <f t="shared" si="84"/>
        <v>0.71642531428571399</v>
      </c>
    </row>
    <row r="32" spans="1:78" x14ac:dyDescent="0.25">
      <c r="L32" s="5">
        <f t="shared" si="77"/>
        <v>-1.0567014285714365</v>
      </c>
      <c r="M32" s="5">
        <f t="shared" si="77"/>
        <v>-0.92989064285715983</v>
      </c>
      <c r="N32" s="5">
        <f t="shared" si="77"/>
        <v>-1.1043622142857146</v>
      </c>
      <c r="O32" s="5">
        <f t="shared" si="77"/>
        <v>-0.68356857142855887</v>
      </c>
      <c r="U32" s="5">
        <f t="shared" si="78"/>
        <v>0.62779114285714144</v>
      </c>
      <c r="V32" s="5">
        <f t="shared" si="78"/>
        <v>0.81828528571429615</v>
      </c>
      <c r="W32" s="5">
        <f t="shared" si="78"/>
        <v>0.5628782142857176</v>
      </c>
      <c r="X32" s="5">
        <f t="shared" si="78"/>
        <v>-0.73451149999999643</v>
      </c>
      <c r="AD32" s="5">
        <f t="shared" si="79"/>
        <v>2.0983471428571434</v>
      </c>
      <c r="AE32" s="5">
        <f t="shared" si="79"/>
        <v>4.83725457142857</v>
      </c>
      <c r="AF32" s="5">
        <f t="shared" si="79"/>
        <v>4.2174142857142858</v>
      </c>
      <c r="AG32" s="5">
        <f t="shared" si="79"/>
        <v>4.9839299285714294</v>
      </c>
      <c r="AM32" s="5">
        <f t="shared" si="80"/>
        <v>0.40571373571428593</v>
      </c>
      <c r="AN32" s="5">
        <f t="shared" si="80"/>
        <v>0.22933132142857104</v>
      </c>
      <c r="AO32" s="5">
        <f t="shared" si="80"/>
        <v>0.305463442857143</v>
      </c>
      <c r="AP32" s="5">
        <f t="shared" si="80"/>
        <v>0.14215181428571499</v>
      </c>
      <c r="AV32" s="5">
        <f t="shared" si="81"/>
        <v>0.27502189285714351</v>
      </c>
      <c r="AW32" s="5">
        <f t="shared" si="81"/>
        <v>0.37313378571428579</v>
      </c>
      <c r="AX32" s="5">
        <f t="shared" si="81"/>
        <v>0.38125885714285879</v>
      </c>
      <c r="AY32" s="5">
        <f t="shared" si="81"/>
        <v>0.51674385714285798</v>
      </c>
      <c r="BE32" s="5">
        <f t="shared" si="82"/>
        <v>8.1563264285714365E-2</v>
      </c>
      <c r="BF32" s="5">
        <f t="shared" si="82"/>
        <v>0.14181877142857136</v>
      </c>
      <c r="BG32" s="5">
        <f t="shared" si="82"/>
        <v>0.10718105714285686</v>
      </c>
      <c r="BH32" s="5">
        <f t="shared" si="82"/>
        <v>0.14503872142857133</v>
      </c>
      <c r="BN32" s="5">
        <f t="shared" si="83"/>
        <v>2.1610554928571428</v>
      </c>
      <c r="BO32" s="5">
        <f t="shared" si="83"/>
        <v>3.0523495357142849</v>
      </c>
      <c r="BP32" s="5">
        <f t="shared" si="83"/>
        <v>1.7331506071428562</v>
      </c>
      <c r="BQ32" s="5">
        <f t="shared" si="83"/>
        <v>1.9191002642857145</v>
      </c>
      <c r="BW32" s="5">
        <f t="shared" si="84"/>
        <v>0.26195888571428572</v>
      </c>
      <c r="BX32" s="5">
        <f t="shared" si="84"/>
        <v>0.19546862142857158</v>
      </c>
      <c r="BY32" s="5">
        <f t="shared" si="84"/>
        <v>4.9819335714285984E-2</v>
      </c>
      <c r="BZ32" s="5">
        <f t="shared" si="84"/>
        <v>0.27105531428571417</v>
      </c>
    </row>
    <row r="33" spans="12:78" x14ac:dyDescent="0.25">
      <c r="L33" s="5">
        <f t="shared" si="77"/>
        <v>-0.39271442857143768</v>
      </c>
      <c r="M33" s="5">
        <f t="shared" si="77"/>
        <v>-0.42514564285716006</v>
      </c>
      <c r="N33" s="5">
        <f t="shared" si="77"/>
        <v>-0.52552921428571864</v>
      </c>
      <c r="O33" s="5">
        <f t="shared" si="77"/>
        <v>-0.43760107142855986</v>
      </c>
      <c r="U33" s="5">
        <f t="shared" si="78"/>
        <v>0.95948614285715195</v>
      </c>
      <c r="V33" s="5">
        <f t="shared" si="78"/>
        <v>0.59248528571429659</v>
      </c>
      <c r="W33" s="5">
        <f t="shared" si="78"/>
        <v>1.0340057142857191</v>
      </c>
      <c r="X33" s="5">
        <f t="shared" si="78"/>
        <v>1.0531860000000037</v>
      </c>
      <c r="AD33" s="5">
        <f t="shared" si="79"/>
        <v>-4.1613571428573692E-3</v>
      </c>
      <c r="AE33" s="5">
        <f t="shared" si="79"/>
        <v>2.9447630714285715</v>
      </c>
      <c r="AF33" s="5">
        <f t="shared" si="79"/>
        <v>3.1330582857142861</v>
      </c>
      <c r="AG33" s="5">
        <f t="shared" si="79"/>
        <v>1.1031254285714276</v>
      </c>
      <c r="AM33" s="5">
        <f t="shared" si="80"/>
        <v>-6.1622264285713602E-2</v>
      </c>
      <c r="AN33" s="5">
        <f t="shared" si="80"/>
        <v>3.4738471428571227E-2</v>
      </c>
      <c r="AO33" s="5">
        <f t="shared" si="80"/>
        <v>0.10022524285714285</v>
      </c>
      <c r="AP33" s="5">
        <f t="shared" si="80"/>
        <v>0.19819576428571484</v>
      </c>
      <c r="AV33" s="5">
        <f t="shared" si="81"/>
        <v>-0.22699310714285659</v>
      </c>
      <c r="AW33" s="5">
        <f t="shared" si="81"/>
        <v>-0.24658421428571486</v>
      </c>
      <c r="AX33" s="5">
        <f t="shared" si="81"/>
        <v>-9.1010892857141812E-2</v>
      </c>
      <c r="AY33" s="5">
        <f t="shared" si="81"/>
        <v>-0.22444764285714136</v>
      </c>
      <c r="BE33" s="5">
        <f t="shared" si="82"/>
        <v>-7.9179285714285674E-2</v>
      </c>
      <c r="BF33" s="5">
        <f t="shared" si="82"/>
        <v>2.1617821428571493E-2</v>
      </c>
      <c r="BG33" s="5">
        <f t="shared" si="82"/>
        <v>3.8326571428569656E-3</v>
      </c>
      <c r="BH33" s="5">
        <f t="shared" si="82"/>
        <v>-7.9457785714287521E-3</v>
      </c>
      <c r="BN33" s="5">
        <f t="shared" si="83"/>
        <v>0.66919329285714246</v>
      </c>
      <c r="BO33" s="5">
        <f t="shared" si="83"/>
        <v>0.1911730357142849</v>
      </c>
      <c r="BP33" s="5">
        <f t="shared" si="83"/>
        <v>1.7267426071428567</v>
      </c>
      <c r="BQ33" s="5">
        <f t="shared" si="83"/>
        <v>1.0327692642857143</v>
      </c>
      <c r="BW33" s="5">
        <f t="shared" si="84"/>
        <v>-0.22197811428571435</v>
      </c>
      <c r="BX33" s="5">
        <f t="shared" si="84"/>
        <v>0.31122192142857152</v>
      </c>
      <c r="BY33" s="5">
        <f t="shared" si="84"/>
        <v>2.6444585714285873E-2</v>
      </c>
      <c r="BZ33" s="5">
        <f t="shared" si="84"/>
        <v>9.4559414285714127E-2</v>
      </c>
    </row>
    <row r="34" spans="12:78" x14ac:dyDescent="0.25">
      <c r="L34" s="5">
        <f t="shared" si="77"/>
        <v>0.79512107142856081</v>
      </c>
      <c r="M34" s="5">
        <f t="shared" si="77"/>
        <v>1.0367268571428454</v>
      </c>
      <c r="N34" s="5">
        <f t="shared" si="77"/>
        <v>0.84967528571428375</v>
      </c>
      <c r="O34" s="5">
        <f t="shared" si="77"/>
        <v>0.88658392857144008</v>
      </c>
      <c r="U34" s="5">
        <f t="shared" si="78"/>
        <v>-6.9943857142853005E-2</v>
      </c>
      <c r="V34" s="5">
        <f t="shared" si="78"/>
        <v>-0.18958971428570948</v>
      </c>
      <c r="W34" s="5">
        <f t="shared" si="78"/>
        <v>-0.1062367857142803</v>
      </c>
      <c r="X34" s="5">
        <f t="shared" si="78"/>
        <v>0.181023500000002</v>
      </c>
      <c r="AD34" s="5">
        <f t="shared" si="79"/>
        <v>-6.9488068571428574</v>
      </c>
      <c r="AE34" s="5">
        <f t="shared" si="79"/>
        <v>-3.2222734285714285</v>
      </c>
      <c r="AF34" s="5">
        <f t="shared" si="79"/>
        <v>-3.1350227142857143</v>
      </c>
      <c r="AG34" s="5">
        <f t="shared" si="79"/>
        <v>-5.1722975714285724</v>
      </c>
      <c r="AM34" s="5">
        <f t="shared" si="80"/>
        <v>-8.150411428571358E-2</v>
      </c>
      <c r="AN34" s="5">
        <f t="shared" si="80"/>
        <v>-4.366178571428847E-3</v>
      </c>
      <c r="AO34" s="5">
        <f t="shared" si="80"/>
        <v>3.6125292857142721E-2</v>
      </c>
      <c r="AP34" s="5">
        <f t="shared" si="80"/>
        <v>-2.0068385714285153E-2</v>
      </c>
      <c r="AV34" s="5">
        <f t="shared" si="81"/>
        <v>-0.33553085714285658</v>
      </c>
      <c r="AW34" s="5">
        <f t="shared" si="81"/>
        <v>-0.43529171428571445</v>
      </c>
      <c r="AX34" s="5">
        <f t="shared" si="81"/>
        <v>-0.42218264285714202</v>
      </c>
      <c r="AY34" s="5">
        <f t="shared" si="81"/>
        <v>-0.45011764285714229</v>
      </c>
      <c r="BE34" s="5">
        <f t="shared" si="82"/>
        <v>-9.5775035714285695E-2</v>
      </c>
      <c r="BF34" s="5">
        <f t="shared" si="82"/>
        <v>-0.15287122857142854</v>
      </c>
      <c r="BG34" s="5">
        <f t="shared" si="82"/>
        <v>-0.16295349285714311</v>
      </c>
      <c r="BH34" s="5">
        <f t="shared" si="82"/>
        <v>-0.20345522857142873</v>
      </c>
      <c r="BN34" s="5">
        <f t="shared" si="83"/>
        <v>-4.1157670071428578</v>
      </c>
      <c r="BO34" s="5">
        <f t="shared" si="83"/>
        <v>-0.88917781428571496</v>
      </c>
      <c r="BP34" s="5">
        <f t="shared" si="83"/>
        <v>-1.4350231428571436</v>
      </c>
      <c r="BQ34" s="5">
        <f t="shared" si="83"/>
        <v>-1.1195589857142854</v>
      </c>
      <c r="BW34" s="5">
        <f t="shared" si="84"/>
        <v>-0.42434486428571427</v>
      </c>
      <c r="BX34" s="5">
        <f t="shared" si="84"/>
        <v>-0.51928747857142854</v>
      </c>
      <c r="BY34" s="5">
        <f t="shared" si="84"/>
        <v>-0.37495401428571407</v>
      </c>
      <c r="BZ34" s="5">
        <f t="shared" si="84"/>
        <v>-0.38823923571428598</v>
      </c>
    </row>
    <row r="35" spans="12:78" x14ac:dyDescent="0.25">
      <c r="L35" s="5">
        <f t="shared" si="77"/>
        <v>1.4945240714285646</v>
      </c>
      <c r="M35" s="5">
        <f t="shared" si="77"/>
        <v>1.5827268571428448</v>
      </c>
      <c r="N35" s="5">
        <f t="shared" si="77"/>
        <v>1.6482352857142857</v>
      </c>
      <c r="O35" s="5">
        <f t="shared" si="77"/>
        <v>1.3359739285714411</v>
      </c>
      <c r="U35" s="5">
        <f t="shared" si="78"/>
        <v>-0.10460385714285536</v>
      </c>
      <c r="V35" s="5">
        <f t="shared" si="78"/>
        <v>-0.1434447142856996</v>
      </c>
      <c r="W35" s="5">
        <f t="shared" si="78"/>
        <v>-0.24886178571428275</v>
      </c>
      <c r="X35" s="5">
        <f t="shared" si="78"/>
        <v>8.0491000000002089E-2</v>
      </c>
      <c r="AD35" s="5">
        <f t="shared" si="79"/>
        <v>-6.7601553571428576</v>
      </c>
      <c r="AE35" s="5">
        <f t="shared" si="79"/>
        <v>-5.5123259285714292</v>
      </c>
      <c r="AF35" s="5">
        <f t="shared" si="79"/>
        <v>-5.7127907142857151</v>
      </c>
      <c r="AG35" s="5">
        <f t="shared" si="79"/>
        <v>-7.3564520714285724</v>
      </c>
      <c r="AM35" s="5">
        <f t="shared" si="80"/>
        <v>-0.2677981642857139</v>
      </c>
      <c r="AN35" s="5">
        <f t="shared" si="80"/>
        <v>-0.33913082857142918</v>
      </c>
      <c r="AO35" s="5">
        <f t="shared" si="80"/>
        <v>-0.10112455714285717</v>
      </c>
      <c r="AP35" s="5">
        <f t="shared" si="80"/>
        <v>3.5530214285715012E-2</v>
      </c>
      <c r="AV35" s="5">
        <f t="shared" si="81"/>
        <v>-0.41303260714285717</v>
      </c>
      <c r="AW35" s="5">
        <f t="shared" si="81"/>
        <v>-0.47535771428571483</v>
      </c>
      <c r="AX35" s="5">
        <f t="shared" si="81"/>
        <v>-0.50974289285714214</v>
      </c>
      <c r="AY35" s="5">
        <f t="shared" si="81"/>
        <v>-0.22190864285714174</v>
      </c>
      <c r="BE35" s="5">
        <f t="shared" si="82"/>
        <v>-0.29338118571428573</v>
      </c>
      <c r="BF35" s="5">
        <f t="shared" si="82"/>
        <v>-0.22077402857142847</v>
      </c>
      <c r="BG35" s="5">
        <f t="shared" si="82"/>
        <v>-0.24013729285714303</v>
      </c>
      <c r="BH35" s="5">
        <f t="shared" si="82"/>
        <v>-0.19513262857142877</v>
      </c>
      <c r="BN35" s="5">
        <f t="shared" si="83"/>
        <v>-3.3769625071428577</v>
      </c>
      <c r="BO35" s="5">
        <f t="shared" si="83"/>
        <v>-3.7630292142857149</v>
      </c>
      <c r="BP35" s="5">
        <f t="shared" si="83"/>
        <v>-2.0881226428571429</v>
      </c>
      <c r="BQ35" s="5">
        <f t="shared" si="83"/>
        <v>-2.1324449357142856</v>
      </c>
      <c r="BW35" s="5">
        <f t="shared" si="84"/>
        <v>-0.55290556428571425</v>
      </c>
      <c r="BX35" s="5">
        <f t="shared" si="84"/>
        <v>-0.51500152857142845</v>
      </c>
      <c r="BY35" s="5">
        <f t="shared" si="84"/>
        <v>-0.66334421428571411</v>
      </c>
      <c r="BZ35" s="5">
        <f t="shared" si="84"/>
        <v>-0.7241663357142859</v>
      </c>
    </row>
    <row r="36" spans="12:78" x14ac:dyDescent="0.25">
      <c r="L36" s="5">
        <f t="shared" si="77"/>
        <v>1.7019610714285633</v>
      </c>
      <c r="M36" s="5">
        <f t="shared" si="77"/>
        <v>2.1163468571428439</v>
      </c>
      <c r="N36" s="5">
        <f t="shared" si="77"/>
        <v>1.8973077857142826</v>
      </c>
      <c r="O36" s="5">
        <f t="shared" si="77"/>
        <v>1.6283839285714379</v>
      </c>
      <c r="U36" s="5">
        <f t="shared" si="78"/>
        <v>-2.4823857142855843E-2</v>
      </c>
      <c r="V36" s="5">
        <f t="shared" si="78"/>
        <v>-1.6654714285706973E-2</v>
      </c>
      <c r="W36" s="5">
        <f t="shared" si="78"/>
        <v>5.9843214285720592E-2</v>
      </c>
      <c r="X36" s="5">
        <f t="shared" si="78"/>
        <v>0.19028150000000466</v>
      </c>
      <c r="AD36" s="5">
        <f t="shared" si="79"/>
        <v>-7.166859357142858</v>
      </c>
      <c r="AE36" s="5">
        <f t="shared" si="79"/>
        <v>-11.170247428571429</v>
      </c>
      <c r="AF36" s="5">
        <f t="shared" si="79"/>
        <v>-10.095967714285713</v>
      </c>
      <c r="AG36" s="5">
        <f t="shared" si="79"/>
        <v>-6.1350795714285722</v>
      </c>
      <c r="AM36" s="5">
        <f t="shared" si="80"/>
        <v>-0.5605866642857138</v>
      </c>
      <c r="AN36" s="5">
        <f t="shared" si="80"/>
        <v>-0.44365622857142872</v>
      </c>
      <c r="AO36" s="5">
        <f t="shared" si="80"/>
        <v>-0.45735425714285727</v>
      </c>
      <c r="AP36" s="5">
        <f t="shared" si="80"/>
        <v>-0.4283043857142852</v>
      </c>
      <c r="AV36" s="5">
        <f t="shared" si="81"/>
        <v>-0.54465510714285692</v>
      </c>
      <c r="AW36" s="5">
        <f t="shared" si="81"/>
        <v>-0.51608771428571476</v>
      </c>
      <c r="AX36" s="5">
        <f t="shared" si="81"/>
        <v>-0.34302814285714156</v>
      </c>
      <c r="AY36" s="5">
        <f t="shared" si="81"/>
        <v>-0.4165811428571411</v>
      </c>
      <c r="BE36" s="5">
        <f t="shared" si="82"/>
        <v>-0.32034113571428569</v>
      </c>
      <c r="BF36" s="5">
        <f t="shared" si="82"/>
        <v>-0.38078272857142847</v>
      </c>
      <c r="BG36" s="5">
        <f t="shared" si="82"/>
        <v>-0.25378489285714312</v>
      </c>
      <c r="BH36" s="5">
        <f t="shared" si="82"/>
        <v>-0.25732032857142872</v>
      </c>
      <c r="BN36" s="5">
        <f t="shared" si="83"/>
        <v>-3.6698860071428583</v>
      </c>
      <c r="BO36" s="5">
        <f t="shared" si="83"/>
        <v>-5.6543806142857145</v>
      </c>
      <c r="BP36" s="5">
        <f t="shared" si="83"/>
        <v>-4.4735368928571431</v>
      </c>
      <c r="BQ36" s="5">
        <f t="shared" si="83"/>
        <v>-4.6045376357142853</v>
      </c>
      <c r="BW36" s="5">
        <f t="shared" si="84"/>
        <v>-0.51008706428571426</v>
      </c>
      <c r="BX36" s="5">
        <f t="shared" si="84"/>
        <v>-0.66588207857142856</v>
      </c>
      <c r="BY36" s="5">
        <f t="shared" si="84"/>
        <v>-0.64228486428571419</v>
      </c>
      <c r="BZ36" s="5">
        <f t="shared" si="84"/>
        <v>-0.75510428571428589</v>
      </c>
    </row>
  </sheetData>
  <mergeCells count="30">
    <mergeCell ref="BS6:BV6"/>
    <mergeCell ref="AR6:AU6"/>
    <mergeCell ref="A22:A28"/>
    <mergeCell ref="Z6:AC6"/>
    <mergeCell ref="BE6:BH6"/>
    <mergeCell ref="U6:X6"/>
    <mergeCell ref="BS1:BZ1"/>
    <mergeCell ref="A15:A21"/>
    <mergeCell ref="BW6:BZ6"/>
    <mergeCell ref="Q1:X1"/>
    <mergeCell ref="H6:K6"/>
    <mergeCell ref="BJ6:BM6"/>
    <mergeCell ref="AI6:AL6"/>
    <mergeCell ref="AD6:AG6"/>
    <mergeCell ref="Z1:AG1"/>
    <mergeCell ref="BA1:BH1"/>
    <mergeCell ref="Q6:T6"/>
    <mergeCell ref="AR1:AY1"/>
    <mergeCell ref="B6:E6"/>
    <mergeCell ref="H1:O1"/>
    <mergeCell ref="A8:A14"/>
    <mergeCell ref="L6:O6"/>
    <mergeCell ref="BJ1:BQ1"/>
    <mergeCell ref="AI1:AP1"/>
    <mergeCell ref="A6:A7"/>
    <mergeCell ref="AV6:AY6"/>
    <mergeCell ref="BN6:BQ6"/>
    <mergeCell ref="AM6:AP6"/>
    <mergeCell ref="BA6:BD6"/>
    <mergeCell ref="F6:F7"/>
  </mergeCells>
  <conditionalFormatting sqref="H3:K3 Z3:AC3 AI3:AL3 AR3:AU3 BA3:BD3 BJ3:BM3 BS3:BV3">
    <cfRule type="cellIs" dxfId="5" priority="2" operator="greaterThan">
      <formula>$F$4</formula>
    </cfRule>
  </conditionalFormatting>
  <conditionalFormatting sqref="Q3:T3">
    <cfRule type="cellIs" dxfId="4" priority="1" operator="greaterThan">
      <formula>$F$4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62"/>
  <sheetViews>
    <sheetView workbookViewId="0">
      <selection activeCell="E3" sqref="E3:E7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92" ht="21.75" customHeight="1" thickBot="1" x14ac:dyDescent="0.4">
      <c r="E1" s="44" t="s">
        <v>0</v>
      </c>
      <c r="F1" s="45"/>
      <c r="G1" s="45"/>
      <c r="H1" s="45"/>
      <c r="I1" s="45"/>
      <c r="J1" s="45"/>
      <c r="K1" s="45"/>
      <c r="L1" s="46"/>
      <c r="O1" s="44" t="s">
        <v>1</v>
      </c>
      <c r="P1" s="45"/>
      <c r="Q1" s="45"/>
      <c r="R1" s="45"/>
      <c r="S1" s="45"/>
      <c r="T1" s="45"/>
      <c r="U1" s="45"/>
      <c r="V1" s="46"/>
      <c r="Y1" s="44" t="s">
        <v>2</v>
      </c>
      <c r="Z1" s="45"/>
      <c r="AA1" s="45"/>
      <c r="AB1" s="45"/>
      <c r="AC1" s="45"/>
      <c r="AD1" s="45"/>
      <c r="AE1" s="45"/>
      <c r="AF1" s="46"/>
      <c r="AI1" s="44" t="s">
        <v>3</v>
      </c>
      <c r="AJ1" s="45"/>
      <c r="AK1" s="45"/>
      <c r="AL1" s="45"/>
      <c r="AM1" s="45"/>
      <c r="AN1" s="45"/>
      <c r="AO1" s="45"/>
      <c r="AP1" s="46"/>
      <c r="AS1" s="44" t="s">
        <v>4</v>
      </c>
      <c r="AT1" s="45"/>
      <c r="AU1" s="45"/>
      <c r="AV1" s="45"/>
      <c r="AW1" s="45"/>
      <c r="AX1" s="45"/>
      <c r="AY1" s="45"/>
      <c r="AZ1" s="46"/>
      <c r="BC1" s="44" t="s">
        <v>5</v>
      </c>
      <c r="BD1" s="45"/>
      <c r="BE1" s="45"/>
      <c r="BF1" s="45"/>
      <c r="BG1" s="45"/>
      <c r="BH1" s="45"/>
      <c r="BI1" s="45"/>
      <c r="BJ1" s="46"/>
      <c r="BM1" s="44" t="s">
        <v>6</v>
      </c>
      <c r="BN1" s="45"/>
      <c r="BO1" s="45"/>
      <c r="BP1" s="45"/>
      <c r="BQ1" s="45"/>
      <c r="BR1" s="45"/>
      <c r="BS1" s="45"/>
      <c r="BT1" s="46"/>
      <c r="BW1" s="44" t="s">
        <v>7</v>
      </c>
      <c r="BX1" s="45"/>
      <c r="BY1" s="45"/>
      <c r="BZ1" s="45"/>
      <c r="CA1" s="45"/>
      <c r="CB1" s="45"/>
      <c r="CC1" s="45"/>
      <c r="CD1" s="46"/>
    </row>
    <row r="2" spans="1:92" x14ac:dyDescent="0.25">
      <c r="D2" s="1" t="s">
        <v>8</v>
      </c>
      <c r="E2" s="2" t="s">
        <v>9</v>
      </c>
      <c r="F2" s="3">
        <v>249063</v>
      </c>
      <c r="G2" s="3">
        <v>249062</v>
      </c>
      <c r="H2" s="4">
        <v>249061</v>
      </c>
      <c r="N2" s="1" t="s">
        <v>8</v>
      </c>
      <c r="O2" s="2" t="s">
        <v>9</v>
      </c>
      <c r="P2" s="3">
        <v>249063</v>
      </c>
      <c r="Q2" s="3">
        <v>249062</v>
      </c>
      <c r="R2" s="4">
        <v>249061</v>
      </c>
      <c r="X2" s="1" t="s">
        <v>8</v>
      </c>
      <c r="Y2" s="2" t="s">
        <v>9</v>
      </c>
      <c r="Z2" s="3">
        <v>249063</v>
      </c>
      <c r="AA2" s="3">
        <v>249062</v>
      </c>
      <c r="AB2" s="4">
        <v>249061</v>
      </c>
      <c r="AH2" s="1" t="s">
        <v>8</v>
      </c>
      <c r="AI2" s="2" t="s">
        <v>9</v>
      </c>
      <c r="AJ2" s="3">
        <v>249063</v>
      </c>
      <c r="AK2" s="3">
        <v>249062</v>
      </c>
      <c r="AL2" s="4">
        <v>249061</v>
      </c>
      <c r="AR2" s="1" t="s">
        <v>8</v>
      </c>
      <c r="AS2" s="2" t="s">
        <v>9</v>
      </c>
      <c r="AT2" s="3">
        <v>249063</v>
      </c>
      <c r="AU2" s="3">
        <v>249062</v>
      </c>
      <c r="AV2" s="4">
        <v>249061</v>
      </c>
      <c r="BB2" s="1" t="s">
        <v>8</v>
      </c>
      <c r="BC2" s="2" t="s">
        <v>9</v>
      </c>
      <c r="BD2" s="3">
        <v>249063</v>
      </c>
      <c r="BE2" s="3">
        <v>249062</v>
      </c>
      <c r="BF2" s="4">
        <v>249061</v>
      </c>
      <c r="BL2" s="1" t="s">
        <v>8</v>
      </c>
      <c r="BM2" s="2" t="s">
        <v>9</v>
      </c>
      <c r="BN2" s="3">
        <v>249063</v>
      </c>
      <c r="BO2" s="3">
        <v>249062</v>
      </c>
      <c r="BP2" s="4">
        <v>249061</v>
      </c>
      <c r="BV2" s="1" t="s">
        <v>8</v>
      </c>
      <c r="BW2" s="2" t="s">
        <v>9</v>
      </c>
      <c r="BX2" s="3">
        <v>249063</v>
      </c>
      <c r="BY2" s="3">
        <v>249062</v>
      </c>
      <c r="BZ2" s="4">
        <v>249061</v>
      </c>
    </row>
    <row r="3" spans="1:92" x14ac:dyDescent="0.25">
      <c r="D3" s="5">
        <v>1</v>
      </c>
      <c r="E3" s="31">
        <f>IF((MAX(I13:I22)-MIN(I13:I22))/2=0,"",(MAX(I13:I22)-MIN(I13:I22))/2)</f>
        <v>4.5370300000000015</v>
      </c>
      <c r="F3" s="32">
        <f>IF((MAX(J13:J22)-MIN(J13:J22))/2=0,"",(MAX(J13:J22)-MIN(J13:J22))/2)</f>
        <v>43.429753224365228</v>
      </c>
      <c r="G3" s="32">
        <f>IF((MAX(K13:K22)-MIN(K13:K22))/2=0,"",(MAX(K13:K22)-MIN(K13:K22))/2)</f>
        <v>43.133481728222655</v>
      </c>
      <c r="H3" s="33">
        <f>IF((MAX(L13:L22)-MIN(L13:L22))/2=0,"",(MAX(L13:L22)-MIN(L13:L22))/2)</f>
        <v>3.34417724609375</v>
      </c>
      <c r="N3" s="5">
        <v>1</v>
      </c>
      <c r="O3" s="31">
        <f>IF((MAX(S13:S22)-MIN(S13:S22))/2=0,"",(MAX(S13:S22)-MIN(S13:S22))/2)</f>
        <v>4.5814615000000032</v>
      </c>
      <c r="P3" s="32">
        <f>IF((MAX(T13:T22)-MIN(T13:T22))/2=0,"",(MAX(T13:T22)-MIN(T13:T22))/2)</f>
        <v>35.931890768994144</v>
      </c>
      <c r="Q3" s="32">
        <f>IF((MAX(U13:U22)-MIN(U13:U22))/2=0,"",(MAX(U13:U22)-MIN(U13:U22))/2)</f>
        <v>36.113153010888674</v>
      </c>
      <c r="R3" s="33">
        <f>IF((MAX(V13:V22)-MIN(V13:V22))/2=0,"",(MAX(V13:V22)-MIN(V13:V22))/2)</f>
        <v>4.9622287750244141</v>
      </c>
      <c r="X3" s="5">
        <v>1</v>
      </c>
      <c r="Y3" s="31">
        <f>IF((MAX(AC13:AC22)-MIN(AC13:AC22))/2=0,"",(MAX(AC13:AC22)-MIN(AC13:AC22))/2)</f>
        <v>6.4659009999999988</v>
      </c>
      <c r="Z3" s="32">
        <f>IF((MAX(AD13:AD22)-MIN(AD13:AD22))/2=0,"",(MAX(AD13:AD22)-MIN(AD13:AD22))/2)</f>
        <v>7.6493664765014655</v>
      </c>
      <c r="AA3" s="32">
        <f>IF((MAX(AE13:AE22)-MIN(AE13:AE22))/2=0,"",(MAX(AE13:AE22)-MIN(AE13:AE22))/2)</f>
        <v>11.502237469323731</v>
      </c>
      <c r="AB3" s="33">
        <f>IF((MAX(AF13:AF22)-MIN(AF13:AF22))/2=0,"",(MAX(AF13:AF22)-MIN(AF13:AF22))/2)</f>
        <v>6.1777887344360352</v>
      </c>
      <c r="AH3" s="5">
        <v>1</v>
      </c>
      <c r="AI3" s="31">
        <f>IF((MAX(AM13:AM22)-MIN(AM13:AM22))/2=0,"",(MAX(AM13:AM22)-MIN(AM13:AM22))/2)</f>
        <v>1.0778252499999996</v>
      </c>
      <c r="AJ3" s="32">
        <f>IF((MAX(AN13:AN22)-MIN(AN13:AN22))/2=0,"",(MAX(AN13:AN22)-MIN(AN13:AN22))/2)</f>
        <v>3.4649317046020509</v>
      </c>
      <c r="AK3" s="32">
        <f>IF((MAX(AO13:AO22)-MIN(AO13:AO22))/2=0,"",(MAX(AO13:AO22)-MIN(AO13:AO22))/2)</f>
        <v>4.247577841269532</v>
      </c>
      <c r="AL3" s="33">
        <f>IF((MAX(AP13:AP22)-MIN(AP13:AP22))/2=0,"",(MAX(AP13:AP22)-MIN(AP13:AP22))/2)</f>
        <v>0.7287905216217041</v>
      </c>
      <c r="AR3" s="5">
        <v>1</v>
      </c>
      <c r="AS3" s="31">
        <f>IF((MAX(AW13:AW22)-MIN(AW13:AW22))/2=0,"",(MAX(AW13:AW22)-MIN(AW13:AW22))/2)</f>
        <v>3.8957360000000003</v>
      </c>
      <c r="AT3" s="32">
        <f>IF((MAX(AX13:AX22)-MIN(AX13:AX22))/2=0,"",(MAX(AX13:AX22)-MIN(AX13:AX22))/2)</f>
        <v>5.2035430382629402</v>
      </c>
      <c r="AU3" s="32">
        <f>IF((MAX(AY13:AY22)-MIN(AY13:AY22))/2=0,"",(MAX(AY13:AY22)-MIN(AY13:AY22))/2)</f>
        <v>9.0046881028686503</v>
      </c>
      <c r="AV3" s="33">
        <f>IF((MAX(AZ13:AZ22)-MIN(AZ13:AZ22))/2=0,"",(MAX(AZ13:AZ22)-MIN(AZ13:AZ22))/2)</f>
        <v>4.5265398025512678</v>
      </c>
      <c r="BB3" s="5">
        <v>1</v>
      </c>
      <c r="BC3" s="31">
        <f>IF((MAX(BG13:BG22)-MIN(BG13:BG22))/2=0,"",(MAX(BG13:BG22)-MIN(BG13:BG22))/2)</f>
        <v>0.63718830000000004</v>
      </c>
      <c r="BD3" s="32">
        <f>IF((MAX(BH13:BH22)-MIN(BH13:BH22))/2=0,"",(MAX(BH13:BH22)-MIN(BH13:BH22))/2)</f>
        <v>0.858696658715973</v>
      </c>
      <c r="BE3" s="32">
        <f>IF((MAX(BI13:BI22)-MIN(BI13:BI22))/2=0,"",(MAX(BI13:BI22)-MIN(BI13:BI22))/2)</f>
        <v>1.3789573896496581</v>
      </c>
      <c r="BF3" s="33">
        <f>IF((MAX(BJ13:BJ22)-MIN(BJ13:BJ22))/2=0,"",(MAX(BJ13:BJ22)-MIN(BJ13:BJ22))/2)</f>
        <v>0.49364733695983853</v>
      </c>
      <c r="BL3" s="5">
        <v>1</v>
      </c>
      <c r="BM3" s="31">
        <f>IF((MAX(BQ13:BQ22)-MIN(BQ13:BQ22))/2=0,"",(MAX(BQ13:BQ22)-MIN(BQ13:BQ22))/2)</f>
        <v>5.8009953999999997</v>
      </c>
      <c r="BN3" s="32">
        <f>IF((MAX(BR13:BR22)-MIN(BR13:BR22))/2=0,"",(MAX(BR13:BR22)-MIN(BR13:BR22))/2)</f>
        <v>3.7298784741284181</v>
      </c>
      <c r="BO3" s="32">
        <f>IF((MAX(BS13:BS22)-MIN(BS13:BS22))/2=0,"",(MAX(BS13:BS22)-MIN(BS13:BS22))/2)</f>
        <v>7.5021996314880361</v>
      </c>
      <c r="BP3" s="33">
        <f>IF((MAX(BT13:BT22)-MIN(BT13:BT22))/2=0,"",(MAX(BT13:BT22)-MIN(BT13:BT22))/2)</f>
        <v>5.8110526800155622</v>
      </c>
      <c r="BV3" s="5">
        <v>1</v>
      </c>
      <c r="BW3" s="31">
        <f>IF((MAX(CA13:CA22)-MIN(CA13:CA22))/2=0,"",(MAX(CA13:CA22)-MIN(CA13:CA22))/2)</f>
        <v>0.96241765000000001</v>
      </c>
      <c r="BX3" s="32">
        <f>IF((MAX(CB13:CB22)-MIN(CB13:CB22))/2=0,"",(MAX(CB13:CB22)-MIN(CB13:CB22))/2)</f>
        <v>0.97135889233840955</v>
      </c>
      <c r="BY3" s="32">
        <f>IF((MAX(CC13:CC22)-MIN(CC13:CC22))/2=0,"",(MAX(CC13:CC22)-MIN(CC13:CC22))/2)</f>
        <v>1.8128881061230471</v>
      </c>
      <c r="BZ3" s="33">
        <f>IF((MAX(CD13:CD22)-MIN(CD13:CD22))/2=0,"",(MAX(CD13:CD22)-MIN(CD13:CD22))/2)</f>
        <v>1.0899153351783757</v>
      </c>
    </row>
    <row r="4" spans="1:92" x14ac:dyDescent="0.25">
      <c r="D4" s="5">
        <v>2</v>
      </c>
      <c r="E4" s="31" t="str">
        <f>IF((MAX(I23:I32)-MIN(I23:I32))/2=0,"",(MAX(I23:I32)-MIN(I23:I32))/2)</f>
        <v/>
      </c>
      <c r="F4" s="32" t="str">
        <f>IF((MAX(J23:J32)-MIN(J23:J32))/2=0,"",(MAX(J23:J32)-MIN(J23:J32))/2)</f>
        <v/>
      </c>
      <c r="G4" s="32" t="str">
        <f>IF((MAX(K23:K32)-MIN(K23:K32))/2=0,"",(MAX(K23:K32)-MIN(K23:K32))/2)</f>
        <v/>
      </c>
      <c r="H4" s="33">
        <f>IF((MAX(L23:L32)-MIN(L23:L32))/2=0,"",(MAX(L23:L32)-MIN(L23:L32))/2)</f>
        <v>0.82392120361328125</v>
      </c>
      <c r="N4" s="5">
        <v>2</v>
      </c>
      <c r="O4" s="31" t="str">
        <f>IF((MAX(S23:S32)-MIN(S23:S32))/2=0,"",(MAX(S23:S32)-MIN(S23:S32))/2)</f>
        <v/>
      </c>
      <c r="P4" s="32" t="str">
        <f>IF((MAX(T23:T32)-MIN(T23:T32))/2=0,"",(MAX(T23:T32)-MIN(T23:T32))/2)</f>
        <v/>
      </c>
      <c r="Q4" s="32" t="str">
        <f>IF((MAX(U23:U32)-MIN(U23:U32))/2=0,"",(MAX(U23:U32)-MIN(U23:U32))/2)</f>
        <v/>
      </c>
      <c r="R4" s="33">
        <f>IF((MAX(V23:V32)-MIN(V23:V32))/2=0,"",(MAX(V23:V32)-MIN(V23:V32))/2)</f>
        <v>6.0044422149658203</v>
      </c>
      <c r="X4" s="5">
        <v>2</v>
      </c>
      <c r="Y4" s="31" t="str">
        <f>IF((MAX(AC23:AC32)-MIN(AC23:AC32))/2=0,"",(MAX(AC23:AC32)-MIN(AC23:AC32))/2)</f>
        <v/>
      </c>
      <c r="Z4" s="32" t="str">
        <f>IF((MAX(AD23:AD32)-MIN(AD23:AD32))/2=0,"",(MAX(AD23:AD32)-MIN(AD23:AD32))/2)</f>
        <v/>
      </c>
      <c r="AA4" s="32" t="str">
        <f>IF((MAX(AE23:AE32)-MIN(AE23:AE32))/2=0,"",(MAX(AE23:AE32)-MIN(AE23:AE32))/2)</f>
        <v/>
      </c>
      <c r="AB4" s="33">
        <f>IF((MAX(AF23:AF32)-MIN(AF23:AF32))/2=0,"",(MAX(AF23:AF32)-MIN(AF23:AF32))/2)</f>
        <v>0.94345426559447976</v>
      </c>
      <c r="AH4" s="5">
        <v>2</v>
      </c>
      <c r="AI4" s="31" t="str">
        <f>IF((MAX(AM23:AM32)-MIN(AM23:AM32))/2=0,"",(MAX(AM23:AM32)-MIN(AM23:AM32))/2)</f>
        <v/>
      </c>
      <c r="AJ4" s="32" t="str">
        <f>IF((MAX(AN23:AN32)-MIN(AN23:AN32))/2=0,"",(MAX(AN23:AN32)-MIN(AN23:AN32))/2)</f>
        <v/>
      </c>
      <c r="AK4" s="32" t="str">
        <f>IF((MAX(AO23:AO32)-MIN(AO23:AO32))/2=0,"",(MAX(AO23:AO32)-MIN(AO23:AO32))/2)</f>
        <v/>
      </c>
      <c r="AL4" s="33">
        <f>IF((MAX(AP23:AP32)-MIN(AP23:AP32))/2=0,"",(MAX(AP23:AP32)-MIN(AP23:AP32))/2)</f>
        <v>0.18106460571289063</v>
      </c>
      <c r="AR4" s="5">
        <v>2</v>
      </c>
      <c r="AS4" s="31" t="str">
        <f>IF((MAX(AW23:AW32)-MIN(AW23:AW32))/2=0,"",(MAX(AW23:AW32)-MIN(AW23:AW32))/2)</f>
        <v/>
      </c>
      <c r="AT4" s="32" t="str">
        <f>IF((MAX(AX23:AX32)-MIN(AX23:AX32))/2=0,"",(MAX(AX23:AX32)-MIN(AX23:AX32))/2)</f>
        <v/>
      </c>
      <c r="AU4" s="32" t="str">
        <f>IF((MAX(AY23:AY32)-MIN(AY23:AY32))/2=0,"",(MAX(AY23:AY32)-MIN(AY23:AY32))/2)</f>
        <v/>
      </c>
      <c r="AV4" s="33">
        <f>IF((MAX(AZ23:AZ32)-MIN(AZ23:AZ32))/2=0,"",(MAX(AZ23:AZ32)-MIN(AZ23:AZ32))/2)</f>
        <v>2.3547272682189933</v>
      </c>
      <c r="BB4" s="5">
        <v>2</v>
      </c>
      <c r="BC4" s="31" t="str">
        <f>IF((MAX(BG23:BG32)-MIN(BG23:BG32))/2=0,"",(MAX(BG23:BG32)-MIN(BG23:BG32))/2)</f>
        <v/>
      </c>
      <c r="BD4" s="32" t="str">
        <f>IF((MAX(BH23:BH32)-MIN(BH23:BH32))/2=0,"",(MAX(BH23:BH32)-MIN(BH23:BH32))/2)</f>
        <v/>
      </c>
      <c r="BE4" s="32" t="str">
        <f>IF((MAX(BI23:BI32)-MIN(BI23:BI32))/2=0,"",(MAX(BI23:BI32)-MIN(BI23:BI32))/2)</f>
        <v/>
      </c>
      <c r="BF4" s="33">
        <f>IF((MAX(BJ23:BJ32)-MIN(BJ23:BJ32))/2=0,"",(MAX(BJ23:BJ32)-MIN(BJ23:BJ32))/2)</f>
        <v>1.2371498942375183</v>
      </c>
      <c r="BL4" s="5">
        <v>2</v>
      </c>
      <c r="BM4" s="31" t="str">
        <f>IF((MAX(BQ23:BQ32)-MIN(BQ23:BQ32))/2=0,"",(MAX(BQ23:BQ32)-MIN(BQ23:BQ32))/2)</f>
        <v/>
      </c>
      <c r="BN4" s="32" t="str">
        <f>IF((MAX(BR23:BR32)-MIN(BR23:BR32))/2=0,"",(MAX(BR23:BR32)-MIN(BR23:BR32))/2)</f>
        <v/>
      </c>
      <c r="BO4" s="32" t="str">
        <f>IF((MAX(BS23:BS32)-MIN(BS23:BS32))/2=0,"",(MAX(BS23:BS32)-MIN(BS23:BS32))/2)</f>
        <v/>
      </c>
      <c r="BP4" s="33">
        <f>IF((MAX(BT23:BT32)-MIN(BT23:BT32))/2=0,"",(MAX(BT23:BT32)-MIN(BT23:BT32))/2)</f>
        <v>1.1134338378906248</v>
      </c>
      <c r="BV4" s="5">
        <v>2</v>
      </c>
      <c r="BW4" s="31" t="str">
        <f>IF((MAX(CA23:CA32)-MIN(CA23:CA32))/2=0,"",(MAX(CA23:CA32)-MIN(CA23:CA32))/2)</f>
        <v/>
      </c>
      <c r="BX4" s="32" t="str">
        <f>IF((MAX(CB23:CB32)-MIN(CB23:CB32))/2=0,"",(MAX(CB23:CB32)-MIN(CB23:CB32))/2)</f>
        <v/>
      </c>
      <c r="BY4" s="32" t="str">
        <f>IF((MAX(CC23:CC32)-MIN(CC23:CC32))/2=0,"",(MAX(CC23:CC32)-MIN(CC23:CC32))/2)</f>
        <v/>
      </c>
      <c r="BZ4" s="33">
        <f>IF((MAX(CD23:CD32)-MIN(CD23:CD32))/2=0,"",(MAX(CD23:CD32)-MIN(CD23:CD32))/2)</f>
        <v>1.6309412121772766</v>
      </c>
    </row>
    <row r="5" spans="1:92" x14ac:dyDescent="0.25">
      <c r="D5" s="5">
        <v>3</v>
      </c>
      <c r="E5" s="31">
        <f>IF((MAX(I33:I42)-MIN(I33:I42))/2=0,"",(MAX(I33:I42)-MIN(I33:I42))/2)</f>
        <v>3.4168820000000011</v>
      </c>
      <c r="F5" s="32">
        <f>IF((MAX(J33:J42)-MIN(J33:J42))/2=0,"",(MAX(J33:J42)-MIN(J33:J42))/2)</f>
        <v>0.55271250000000549</v>
      </c>
      <c r="G5" s="32">
        <f>IF((MAX(K33:K42)-MIN(K33:K42))/2=0,"",(MAX(K33:K42)-MIN(K33:K42))/2)</f>
        <v>0.30593499999999807</v>
      </c>
      <c r="H5" s="33">
        <f>IF((MAX(L33:L42)-MIN(L33:L42))/2=0,"",(MAX(L33:L42)-MIN(L33:L42))/2)</f>
        <v>0.772003173828125</v>
      </c>
      <c r="N5" s="5">
        <v>3</v>
      </c>
      <c r="O5" s="31">
        <f>IF((MAX(S33:S42)-MIN(S33:S42))/2=0,"",(MAX(S33:S42)-MIN(S33:S42))/2)</f>
        <v>5.0144964999999999</v>
      </c>
      <c r="P5" s="32">
        <f>IF((MAX(T33:T42)-MIN(T33:T42))/2=0,"",(MAX(T33:T42)-MIN(T33:T42))/2)</f>
        <v>0.13849000000000444</v>
      </c>
      <c r="Q5" s="32">
        <f>IF((MAX(U33:U42)-MIN(U33:U42))/2=0,"",(MAX(U33:U42)-MIN(U33:U42))/2)</f>
        <v>0.18113699999999966</v>
      </c>
      <c r="R5" s="33">
        <f>IF((MAX(V33:V42)-MIN(V33:V42))/2=0,"",(MAX(V33:V42)-MIN(V33:V42))/2)</f>
        <v>6.1103591918945313</v>
      </c>
      <c r="X5" s="5">
        <v>3</v>
      </c>
      <c r="Y5" s="31">
        <f>IF((MAX(AC33:AC42)-MIN(AC33:AC42))/2=0,"",(MAX(AC33:AC42)-MIN(AC33:AC42))/2)</f>
        <v>6.3509114999999987</v>
      </c>
      <c r="Z5" s="32">
        <f>IF((MAX(AD33:AD42)-MIN(AD33:AD42))/2=0,"",(MAX(AD33:AD42)-MIN(AD33:AD42))/2)</f>
        <v>0.22268499999999936</v>
      </c>
      <c r="AA5" s="32">
        <f>IF((MAX(AE33:AE42)-MIN(AE33:AE42))/2=0,"",(MAX(AE33:AE42)-MIN(AE33:AE42))/2)</f>
        <v>0.61103649999999998</v>
      </c>
      <c r="AB5" s="33">
        <f>IF((MAX(AF33:AF42)-MIN(AF33:AF42))/2=0,"",(MAX(AF33:AF42)-MIN(AF33:AF42))/2)</f>
        <v>7.2874975204467791</v>
      </c>
      <c r="AH5" s="5">
        <v>3</v>
      </c>
      <c r="AI5" s="31">
        <f>IF((MAX(AM33:AM42)-MIN(AM33:AM42))/2=0,"",(MAX(AM33:AM42)-MIN(AM33:AM42))/2)</f>
        <v>1.0066869999999999</v>
      </c>
      <c r="AJ5" s="32">
        <f>IF((MAX(AN33:AN42)-MIN(AN33:AN42))/2=0,"",(MAX(AN33:AN42)-MIN(AN33:AN42))/2)</f>
        <v>9.9182250000000138E-2</v>
      </c>
      <c r="AK5" s="32">
        <f>IF((MAX(AO33:AO42)-MIN(AO33:AO42))/2=0,"",(MAX(AO33:AO42)-MIN(AO33:AO42))/2)</f>
        <v>5.9977200000000064E-2</v>
      </c>
      <c r="AL5" s="33">
        <f>IF((MAX(AP33:AP42)-MIN(AP33:AP42))/2=0,"",(MAX(AP33:AP42)-MIN(AP33:AP42))/2)</f>
        <v>0.31635355949401855</v>
      </c>
      <c r="AR5" s="5">
        <v>3</v>
      </c>
      <c r="AS5" s="31">
        <f>IF((MAX(AW33:AW42)-MIN(AW33:AW42))/2=0,"",(MAX(AW33:AW42)-MIN(AW33:AW42))/2)</f>
        <v>4.5225775000000006</v>
      </c>
      <c r="AT5" s="32">
        <f>IF((MAX(AX33:AX42)-MIN(AX33:AX42))/2=0,"",(MAX(AX33:AX42)-MIN(AX33:AX42))/2)</f>
        <v>0.30509800000000009</v>
      </c>
      <c r="AU5" s="32">
        <f>IF((MAX(AY33:AY42)-MIN(AY33:AY42))/2=0,"",(MAX(AY33:AY42)-MIN(AY33:AY42))/2)</f>
        <v>9.7162500000000485E-2</v>
      </c>
      <c r="AV5" s="33">
        <f>IF((MAX(AZ33:AZ42)-MIN(AZ33:AZ42))/2=0,"",(MAX(AZ33:AZ42)-MIN(AZ33:AZ42))/2)</f>
        <v>2.6011328697204572</v>
      </c>
      <c r="BB5" s="5">
        <v>3</v>
      </c>
      <c r="BC5" s="31">
        <f>IF((MAX(BG33:BG42)-MIN(BG33:BG42))/2=0,"",(MAX(BG33:BG42)-MIN(BG33:BG42))/2)</f>
        <v>0.54081035</v>
      </c>
      <c r="BD5" s="32">
        <f>IF((MAX(BH33:BH42)-MIN(BH33:BH42))/2=0,"",(MAX(BH33:BH42)-MIN(BH33:BH42))/2)</f>
        <v>6.0603450000000003E-2</v>
      </c>
      <c r="BE5" s="32">
        <f>IF((MAX(BI33:BI42)-MIN(BI33:BI42))/2=0,"",(MAX(BI33:BI42)-MIN(BI33:BI42))/2)</f>
        <v>5.0208250000000065E-2</v>
      </c>
      <c r="BF5" s="33">
        <f>IF((MAX(BJ33:BJ42)-MIN(BJ33:BJ42))/2=0,"",(MAX(BJ33:BJ42)-MIN(BJ33:BJ42))/2)</f>
        <v>1.0996609926223757</v>
      </c>
      <c r="BL5" s="5">
        <v>3</v>
      </c>
      <c r="BM5" s="31">
        <f>IF((MAX(BQ33:BQ42)-MIN(BQ33:BQ42))/2=0,"",(MAX(BQ33:BQ42)-MIN(BQ33:BQ42))/2)</f>
        <v>5.8208642500000005</v>
      </c>
      <c r="BN5" s="32">
        <f>IF((MAX(BR33:BR42)-MIN(BR33:BR42))/2=0,"",(MAX(BR33:BR42)-MIN(BR33:BR42))/2)</f>
        <v>0.2810918</v>
      </c>
      <c r="BO5" s="32">
        <f>IF((MAX(BS33:BS42)-MIN(BS33:BS42))/2=0,"",(MAX(BS33:BS42)-MIN(BS33:BS42))/2)</f>
        <v>0.53232810000000019</v>
      </c>
      <c r="BP5" s="33">
        <f>IF((MAX(BT33:BT42)-MIN(BT33:BT42))/2=0,"",(MAX(BT33:BT42)-MIN(BT33:BT42))/2)</f>
        <v>5.2828338146209726</v>
      </c>
      <c r="BV5" s="5">
        <v>3</v>
      </c>
      <c r="BW5" s="31">
        <f>IF((MAX(CA33:CA42)-MIN(CA33:CA42))/2=0,"",(MAX(CA33:CA42)-MIN(CA33:CA42))/2)</f>
        <v>1.1312497500000001</v>
      </c>
      <c r="BX5" s="32">
        <f>IF((MAX(CB33:CB42)-MIN(CB33:CB42))/2=0,"",(MAX(CB33:CB42)-MIN(CB33:CB42))/2)</f>
        <v>0.11172300000000002</v>
      </c>
      <c r="BY5" s="32">
        <f>IF((MAX(CC33:CC42)-MIN(CC33:CC42))/2=0,"",(MAX(CC33:CC42)-MIN(CC33:CC42))/2)</f>
        <v>0.14004675</v>
      </c>
      <c r="BZ5" s="33">
        <f>IF((MAX(CD33:CD42)-MIN(CD33:CD42))/2=0,"",(MAX(CD33:CD42)-MIN(CD33:CD42))/2)</f>
        <v>1.425109267234802</v>
      </c>
    </row>
    <row r="6" spans="1:92" x14ac:dyDescent="0.25">
      <c r="D6" s="5">
        <v>4</v>
      </c>
      <c r="E6" s="31">
        <f>IF((MAX(I43:I52)-MIN(I43:I52))/2=0,"",(MAX(I43:I52)-MIN(I43:I52))/2)</f>
        <v>3.7950675000000018</v>
      </c>
      <c r="F6" s="32">
        <f>IF((MAX(J43:J52)-MIN(J43:J52))/2=0,"",(MAX(J43:J52)-MIN(J43:J52))/2)</f>
        <v>0.36328999999999922</v>
      </c>
      <c r="G6" s="32">
        <f>IF((MAX(K43:K52)-MIN(K43:K52))/2=0,"",(MAX(K43:K52)-MIN(K43:K52))/2)</f>
        <v>0.11827299999999497</v>
      </c>
      <c r="H6" s="33">
        <f>IF((MAX(L43:L52)-MIN(L43:L52))/2=0,"",(MAX(L43:L52)-MIN(L43:L52))/2)</f>
        <v>42.369681867382816</v>
      </c>
      <c r="N6" s="5">
        <v>4</v>
      </c>
      <c r="O6" s="31">
        <f>IF((MAX(S43:S52)-MIN(S43:S52))/2=0,"",(MAX(S43:S52)-MIN(S43:S52))/2)</f>
        <v>3.5138914999999997</v>
      </c>
      <c r="P6" s="32">
        <f>IF((MAX(T43:T52)-MIN(T43:T52))/2=0,"",(MAX(T43:T52)-MIN(T43:T52))/2)</f>
        <v>0.20382100000000136</v>
      </c>
      <c r="Q6" s="32">
        <f>IF((MAX(U43:U52)-MIN(U43:U52))/2=0,"",(MAX(U43:U52)-MIN(U43:U52))/2)</f>
        <v>0.18778499999999809</v>
      </c>
      <c r="R6" s="33">
        <f>IF((MAX(V43:V52)-MIN(V43:V52))/2=0,"",(MAX(V43:V52)-MIN(V43:V52))/2)</f>
        <v>36.402156116113282</v>
      </c>
      <c r="X6" s="5">
        <v>4</v>
      </c>
      <c r="Y6" s="31">
        <f>IF((MAX(AC43:AC52)-MIN(AC43:AC52))/2=0,"",(MAX(AC43:AC52)-MIN(AC43:AC52))/2)</f>
        <v>5.2756254999999994</v>
      </c>
      <c r="Z6" s="32">
        <f>IF((MAX(AD43:AD52)-MIN(AD43:AD52))/2=0,"",(MAX(AD43:AD52)-MIN(AD43:AD52))/2)</f>
        <v>0.20261550000000028</v>
      </c>
      <c r="AA6" s="32">
        <f>IF((MAX(AE43:AE52)-MIN(AE43:AE52))/2=0,"",(MAX(AE43:AE52)-MIN(AE43:AE52))/2)</f>
        <v>0.1792669999999994</v>
      </c>
      <c r="AB6" s="33">
        <f>IF((MAX(AF43:AF52)-MIN(AF43:AF52))/2=0,"",(MAX(AF43:AF52)-MIN(AF43:AF52))/2)</f>
        <v>13.293939283813479</v>
      </c>
      <c r="AH6" s="5">
        <v>4</v>
      </c>
      <c r="AI6" s="31">
        <f>IF((MAX(AM43:AM52)-MIN(AM43:AM52))/2=0,"",(MAX(AM43:AM52)-MIN(AM43:AM52))/2)</f>
        <v>1.4509677499999998</v>
      </c>
      <c r="AJ6" s="32">
        <f>IF((MAX(AN43:AN52)-MIN(AN43:AN52))/2=0,"",(MAX(AN43:AN52)-MIN(AN43:AN52))/2)</f>
        <v>0.12953949999999992</v>
      </c>
      <c r="AK6" s="32">
        <f>IF((MAX(AO43:AO52)-MIN(AO43:AO52))/2=0,"",(MAX(AO43:AO52)-MIN(AO43:AO52))/2)</f>
        <v>0.31635355000000009</v>
      </c>
      <c r="AL6" s="33">
        <f>IF((MAX(AP43:AP52)-MIN(AP43:AP52))/2=0,"",(MAX(AP43:AP52)-MIN(AP43:AP52))/2)</f>
        <v>3.4193562892401124</v>
      </c>
      <c r="AR6" s="5">
        <v>4</v>
      </c>
      <c r="AS6" s="31">
        <f>IF((MAX(AW43:AW52)-MIN(AW43:AW52))/2=0,"",(MAX(AW43:AW52)-MIN(AW43:AW52))/2)</f>
        <v>3.1616690000000007</v>
      </c>
      <c r="AT6" s="32">
        <f>IF((MAX(AX43:AX52)-MIN(AX43:AX52))/2=0,"",(MAX(AX43:AX52)-MIN(AX43:AX52))/2)</f>
        <v>9.5457999999999821E-2</v>
      </c>
      <c r="AU6" s="32">
        <f>IF((MAX(AY43:AY52)-MIN(AY43:AY52))/2=0,"",(MAX(AY43:AY52)-MIN(AY43:AY52))/2)</f>
        <v>0.20368949999999941</v>
      </c>
      <c r="AV6" s="33">
        <f>IF((MAX(AZ43:AZ52)-MIN(AZ43:AZ52))/2=0,"",(MAX(AZ43:AZ52)-MIN(AZ43:AZ52))/2)</f>
        <v>5.0599102347595215</v>
      </c>
      <c r="BB6" s="5">
        <v>4</v>
      </c>
      <c r="BC6" s="31">
        <f>IF((MAX(BG43:BG52)-MIN(BG43:BG52))/2=0,"",(MAX(BG43:BG52)-MIN(BG43:BG52))/2)</f>
        <v>0.77144089999999976</v>
      </c>
      <c r="BD6" s="32">
        <f>IF((MAX(BH43:BH52)-MIN(BH43:BH52))/2=0,"",(MAX(BH43:BH52)-MIN(BH43:BH52))/2)</f>
        <v>0.34855135000000015</v>
      </c>
      <c r="BE6" s="32">
        <f>IF((MAX(BI43:BI52)-MIN(BI43:BI52))/2=0,"",(MAX(BI43:BI52)-MIN(BI43:BI52))/2)</f>
        <v>0.33155655000000017</v>
      </c>
      <c r="BF6" s="33">
        <f>IF((MAX(BJ43:BJ52)-MIN(BJ43:BJ52))/2=0,"",(MAX(BJ43:BJ52)-MIN(BJ43:BJ52))/2)</f>
        <v>1.0592699744567868</v>
      </c>
      <c r="BL6" s="5">
        <v>4</v>
      </c>
      <c r="BM6" s="31">
        <f>IF((MAX(BQ43:BQ52)-MIN(BQ43:BQ52))/2=0,"",(MAX(BQ43:BQ52)-MIN(BQ43:BQ52))/2)</f>
        <v>6.104512849999999</v>
      </c>
      <c r="BN6" s="32">
        <f>IF((MAX(BR43:BR52)-MIN(BR43:BR52))/2=0,"",(MAX(BR43:BR52)-MIN(BR43:BR52))/2)</f>
        <v>0.17996034999999999</v>
      </c>
      <c r="BO6" s="32">
        <f>IF((MAX(BS43:BS52)-MIN(BS43:BS52))/2=0,"",(MAX(BS43:BS52)-MIN(BS43:BS52))/2)</f>
        <v>0.23132425000000012</v>
      </c>
      <c r="BP6" s="33">
        <f>IF((MAX(BT43:BT52)-MIN(BT43:BT52))/2=0,"",(MAX(BT43:BT52)-MIN(BT43:BT52))/2)</f>
        <v>5.5358485943115259</v>
      </c>
      <c r="BV6" s="5">
        <v>4</v>
      </c>
      <c r="BW6" s="31">
        <f>IF((MAX(CA43:CA52)-MIN(CA43:CA52))/2=0,"",(MAX(CA43:CA52)-MIN(CA43:CA52))/2)</f>
        <v>0.50570614999999997</v>
      </c>
      <c r="BX6" s="32">
        <f>IF((MAX(CB43:CB52)-MIN(CB43:CB52))/2=0,"",(MAX(CB43:CB52)-MIN(CB43:CB52))/2)</f>
        <v>0.30491930000000012</v>
      </c>
      <c r="BY6" s="32">
        <f>IF((MAX(CC43:CC52)-MIN(CC43:CC52))/2=0,"",(MAX(CC43:CC52)-MIN(CC43:CC52))/2)</f>
        <v>0.34269570000000016</v>
      </c>
      <c r="BZ6" s="33">
        <f>IF((MAX(CD43:CD52)-MIN(CD43:CD52))/2=0,"",(MAX(CD43:CD52)-MIN(CD43:CD52))/2)</f>
        <v>0.87264213040100103</v>
      </c>
    </row>
    <row r="7" spans="1:92" x14ac:dyDescent="0.25">
      <c r="D7" s="5">
        <v>5</v>
      </c>
      <c r="E7" s="6">
        <f>IF((MAX(I53:I62)-MIN(I53:I62))/2=0,"",(MAX(I53:I62)-MIN(I53:I62))/2)</f>
        <v>3.8416549999999958</v>
      </c>
      <c r="F7" s="7">
        <f>IF((MAX(J53:J62)-MIN(J53:J62))/2=0,"",(MAX(J53:J62)-MIN(J53:J62))/2)</f>
        <v>0.30402000000000129</v>
      </c>
      <c r="G7" s="7">
        <f>IF((MAX(K53:K62)-MIN(K53:K62))/2=0,"",(MAX(K53:K62)-MIN(K53:K62))/2)</f>
        <v>0.46368999999999971</v>
      </c>
      <c r="H7" s="8">
        <f>IF((MAX(L53:L62)-MIN(L53:L62))/2=0,"",(MAX(L53:L62)-MIN(L53:L62))/2)</f>
        <v>0.24521000000000015</v>
      </c>
      <c r="N7" s="5">
        <v>5</v>
      </c>
      <c r="O7" s="6">
        <f>IF((MAX(S53:S62)-MIN(S53:S62))/2=0,"",(MAX(S53:S62)-MIN(S53:S62))/2)</f>
        <v>4.9997690000000006</v>
      </c>
      <c r="P7" s="7">
        <f>IF((MAX(T53:T62)-MIN(T53:T62))/2=0,"",(MAX(T53:T62)-MIN(T53:T62))/2)</f>
        <v>0.12012700000000365</v>
      </c>
      <c r="Q7" s="7">
        <f>IF((MAX(U53:U62)-MIN(U53:U62))/2=0,"",(MAX(U53:U62)-MIN(U53:U62))/2)</f>
        <v>6.4554999999998586E-2</v>
      </c>
      <c r="R7" s="8">
        <f>IF((MAX(V53:V62)-MIN(V53:V62))/2=0,"",(MAX(V53:V62)-MIN(V53:V62))/2)</f>
        <v>0.10804999999999865</v>
      </c>
      <c r="X7" s="5">
        <v>5</v>
      </c>
      <c r="Y7" s="6">
        <f>IF((MAX(AC53:AC62)-MIN(AC53:AC62))/2=0,"",(MAX(AC53:AC62)-MIN(AC53:AC62))/2)</f>
        <v>4.4790794999999992</v>
      </c>
      <c r="Z7" s="7">
        <f>IF((MAX(AD53:AD62)-MIN(AD53:AD62))/2=0,"",(MAX(AD53:AD62)-MIN(AD53:AD62))/2)</f>
        <v>3.1365610000000004</v>
      </c>
      <c r="AA7" s="7">
        <f>IF((MAX(AE53:AE62)-MIN(AE53:AE62))/2=0,"",(MAX(AE53:AE62)-MIN(AE53:AE62))/2)</f>
        <v>3.1102360000000004</v>
      </c>
      <c r="AB7" s="8">
        <f>IF((MAX(AF53:AF62)-MIN(AF53:AF62))/2=0,"",(MAX(AF53:AF62)-MIN(AF53:AF62))/2)</f>
        <v>2.1502140000000001</v>
      </c>
      <c r="AH7" s="5">
        <v>5</v>
      </c>
      <c r="AI7" s="6">
        <f>IF((MAX(AM53:AM62)-MIN(AM53:AM62))/2=0,"",(MAX(AM53:AM62)-MIN(AM53:AM62))/2)</f>
        <v>1.2687819999999999</v>
      </c>
      <c r="AJ7" s="7">
        <f>IF((MAX(AN53:AN62)-MIN(AN53:AN62))/2=0,"",(MAX(AN53:AN62)-MIN(AN53:AN62))/2)</f>
        <v>5.0755500000000175E-2</v>
      </c>
      <c r="AK7" s="7">
        <f>IF((MAX(AO53:AO62)-MIN(AO53:AO62))/2=0,"",(MAX(AO53:AO62)-MIN(AO53:AO62))/2)</f>
        <v>5.8599300000000021E-2</v>
      </c>
      <c r="AL7" s="8">
        <f>IF((MAX(AP53:AP62)-MIN(AP53:AP62))/2=0,"",(MAX(AP53:AP62)-MIN(AP53:AP62))/2)</f>
        <v>0.40626714999999969</v>
      </c>
      <c r="AR7" s="5">
        <v>5</v>
      </c>
      <c r="AS7" s="6">
        <f>IF((MAX(AW53:AW62)-MIN(AW53:AW62))/2=0,"",(MAX(AW53:AW62)-MIN(AW53:AW62))/2)</f>
        <v>4.5363690000000005</v>
      </c>
      <c r="AT7" s="7">
        <f>IF((MAX(AX53:AX62)-MIN(AX53:AX62))/2=0,"",(MAX(AX53:AX62)-MIN(AX53:AX62))/2)</f>
        <v>0.43903535000000016</v>
      </c>
      <c r="AU7" s="7">
        <f>IF((MAX(AY53:AY62)-MIN(AY53:AY62))/2=0,"",(MAX(AY53:AY62)-MIN(AY53:AY62))/2)</f>
        <v>0.3461034999999999</v>
      </c>
      <c r="AV7" s="8">
        <f>IF((MAX(AZ53:AZ62)-MIN(AZ53:AZ62))/2=0,"",(MAX(AZ53:AZ62)-MIN(AZ53:AZ62))/2)</f>
        <v>0.11926150000000035</v>
      </c>
      <c r="BB7" s="5">
        <v>5</v>
      </c>
      <c r="BC7" s="6">
        <f>IF((MAX(BG53:BG62)-MIN(BG53:BG62))/2=0,"",(MAX(BG53:BG62)-MIN(BG53:BG62))/2)</f>
        <v>0.41635430000000007</v>
      </c>
      <c r="BD7" s="7">
        <f>IF((MAX(BH53:BH62)-MIN(BH53:BH62))/2=0,"",(MAX(BH53:BH62)-MIN(BH53:BH62))/2)</f>
        <v>2.235599999999982E-2</v>
      </c>
      <c r="BE7" s="7">
        <f>IF((MAX(BI53:BI62)-MIN(BI53:BI62))/2=0,"",(MAX(BI53:BI62)-MIN(BI53:BI62))/2)</f>
        <v>1.1382599999999909E-2</v>
      </c>
      <c r="BF7" s="8">
        <f>IF((MAX(BJ53:BJ62)-MIN(BJ53:BJ62))/2=0,"",(MAX(BJ53:BJ62)-MIN(BJ53:BJ62))/2)</f>
        <v>8.2957200000000064E-2</v>
      </c>
      <c r="BL7" s="5">
        <v>5</v>
      </c>
      <c r="BM7" s="6">
        <f>IF((MAX(BQ53:BQ62)-MIN(BQ53:BQ62))/2=0,"",(MAX(BQ53:BQ62)-MIN(BQ53:BQ62))/2)</f>
        <v>4.9208742999999995</v>
      </c>
      <c r="BN7" s="7">
        <f>IF((MAX(BR53:BR62)-MIN(BR53:BR62))/2=0,"",(MAX(BR53:BR62)-MIN(BR53:BR62))/2)</f>
        <v>0.14401600000000059</v>
      </c>
      <c r="BO7" s="7">
        <f>IF((MAX(BS53:BS62)-MIN(BS53:BS62))/2=0,"",(MAX(BS53:BS62)-MIN(BS53:BS62))/2)</f>
        <v>0.67445000000000022</v>
      </c>
      <c r="BP7" s="8">
        <f>IF((MAX(BT53:BT62)-MIN(BT53:BT62))/2=0,"",(MAX(BT53:BT62)-MIN(BT53:BT62))/2)</f>
        <v>8.9659500000001557E-2</v>
      </c>
      <c r="BV7" s="5">
        <v>5</v>
      </c>
      <c r="BW7" s="6">
        <f>IF((MAX(CA53:CA62)-MIN(CA53:CA62))/2=0,"",(MAX(CA53:CA62)-MIN(CA53:CA62))/2)</f>
        <v>0.95644825</v>
      </c>
      <c r="BX7" s="7">
        <f>IF((MAX(CB53:CB62)-MIN(CB53:CB62))/2=0,"",(MAX(CB53:CB62)-MIN(CB53:CB62))/2)</f>
        <v>5.0474000000000019E-2</v>
      </c>
      <c r="BY7" s="7">
        <f>IF((MAX(CC53:CC62)-MIN(CC53:CC62))/2=0,"",(MAX(CC53:CC62)-MIN(CC53:CC62))/2)</f>
        <v>3.0144700000000024E-2</v>
      </c>
      <c r="BZ7" s="8">
        <f>IF((MAX(CD53:CD62)-MIN(CD53:CD62))/2=0,"",(MAX(CD53:CD62)-MIN(CD53:CD62))/2)</f>
        <v>0.18101520000000004</v>
      </c>
    </row>
    <row r="8" spans="1:92" x14ac:dyDescent="0.25">
      <c r="D8" s="1" t="s">
        <v>10</v>
      </c>
      <c r="E8" s="34">
        <f>AVERAGE(E3:E7)</f>
        <v>3.897658625</v>
      </c>
      <c r="F8" s="34">
        <f>AVERAGE(F3:F7)</f>
        <v>11.162443931091309</v>
      </c>
      <c r="G8" s="34">
        <f>AVERAGE(G3:G7)</f>
        <v>11.005344932055662</v>
      </c>
      <c r="H8" s="34">
        <f>AVERAGE(H3:H7)</f>
        <v>9.5109986981835952</v>
      </c>
      <c r="N8" s="1" t="s">
        <v>10</v>
      </c>
      <c r="O8" s="34">
        <f>AVERAGE(O3:O7)</f>
        <v>4.5274046250000008</v>
      </c>
      <c r="P8" s="34">
        <f>AVERAGE(P3:P7)</f>
        <v>9.0985821922485375</v>
      </c>
      <c r="Q8" s="34">
        <f>AVERAGE(Q3:Q7)</f>
        <v>9.1366575027221675</v>
      </c>
      <c r="R8" s="34">
        <f>AVERAGE(R3:R7)</f>
        <v>10.717447259599609</v>
      </c>
      <c r="X8" s="1" t="s">
        <v>10</v>
      </c>
      <c r="Y8" s="34">
        <f>AVERAGE(Y3:Y7)</f>
        <v>5.6428793749999997</v>
      </c>
      <c r="Z8" s="34">
        <f>AVERAGE(Z3:Z7)</f>
        <v>2.8028069941253664</v>
      </c>
      <c r="AA8" s="34">
        <f>AVERAGE(AA3:AA7)</f>
        <v>3.8506942423309329</v>
      </c>
      <c r="AB8" s="34">
        <f>AVERAGE(AB3:AB7)</f>
        <v>5.9705787608581549</v>
      </c>
      <c r="AH8" s="1" t="s">
        <v>10</v>
      </c>
      <c r="AI8" s="34">
        <f>AVERAGE(AI3:AI7)</f>
        <v>1.2010654999999999</v>
      </c>
      <c r="AJ8" s="34">
        <f>AVERAGE(AJ3:AJ7)</f>
        <v>0.93610223865051279</v>
      </c>
      <c r="AK8" s="34">
        <f>AVERAGE(AK3:AK7)</f>
        <v>1.1706269728173833</v>
      </c>
      <c r="AL8" s="34">
        <f>AVERAGE(AL3:AL7)</f>
        <v>1.010366425213745</v>
      </c>
      <c r="AR8" s="1" t="s">
        <v>10</v>
      </c>
      <c r="AS8" s="34">
        <f>AVERAGE(AS3:AS7)</f>
        <v>4.0290878750000001</v>
      </c>
      <c r="AT8" s="34">
        <f>AVERAGE(AT3:AT7)</f>
        <v>1.5107835970657351</v>
      </c>
      <c r="AU8" s="34">
        <f>AVERAGE(AU3:AU7)</f>
        <v>2.4129109007171627</v>
      </c>
      <c r="AV8" s="34">
        <f>AVERAGE(AV3:AV7)</f>
        <v>2.932314335050048</v>
      </c>
      <c r="BB8" s="1" t="s">
        <v>10</v>
      </c>
      <c r="BC8" s="34">
        <f>AVERAGE(BC3:BC7)</f>
        <v>0.59144846250000005</v>
      </c>
      <c r="BD8" s="34">
        <f>AVERAGE(BD3:BD7)</f>
        <v>0.32255186467899322</v>
      </c>
      <c r="BE8" s="34">
        <f>AVERAGE(BE3:BE7)</f>
        <v>0.44302619741241456</v>
      </c>
      <c r="BF8" s="34">
        <f>AVERAGE(BF3:BF7)</f>
        <v>0.79453707965530396</v>
      </c>
      <c r="BL8" s="1" t="s">
        <v>10</v>
      </c>
      <c r="BM8" s="34">
        <f>AVERAGE(BM3:BM7)</f>
        <v>5.6618116999999994</v>
      </c>
      <c r="BN8" s="34">
        <f>AVERAGE(BN3:BN7)</f>
        <v>1.0837366560321047</v>
      </c>
      <c r="BO8" s="34">
        <f>AVERAGE(BO3:BO7)</f>
        <v>2.2350754953720093</v>
      </c>
      <c r="BP8" s="34">
        <f>AVERAGE(BP3:BP7)</f>
        <v>3.5665656853677374</v>
      </c>
      <c r="BV8" s="1" t="s">
        <v>10</v>
      </c>
      <c r="BW8" s="34">
        <f>AVERAGE(BW3:BW7)</f>
        <v>0.88895545000000009</v>
      </c>
      <c r="BX8" s="34">
        <f>AVERAGE(BX3:BX7)</f>
        <v>0.3596187980846024</v>
      </c>
      <c r="BY8" s="34">
        <f>AVERAGE(BY3:BY7)</f>
        <v>0.58144381403076184</v>
      </c>
      <c r="BZ8" s="34">
        <f>AVERAGE(BZ3:BZ7)</f>
        <v>1.0399246289982911</v>
      </c>
    </row>
    <row r="9" spans="1:92" x14ac:dyDescent="0.25">
      <c r="B9" s="9" t="s">
        <v>11</v>
      </c>
      <c r="C9" s="9">
        <v>0.4</v>
      </c>
    </row>
    <row r="11" spans="1:92" x14ac:dyDescent="0.25">
      <c r="A11" s="43" t="s">
        <v>12</v>
      </c>
      <c r="B11" s="43" t="s">
        <v>13</v>
      </c>
      <c r="C11" s="47" t="s">
        <v>14</v>
      </c>
      <c r="E11" s="40" t="s">
        <v>15</v>
      </c>
      <c r="F11" s="41"/>
      <c r="G11" s="41"/>
      <c r="H11" s="42"/>
      <c r="I11" s="35" t="s">
        <v>16</v>
      </c>
      <c r="J11" s="36"/>
      <c r="K11" s="36"/>
      <c r="L11" s="36"/>
      <c r="O11" s="40" t="s">
        <v>15</v>
      </c>
      <c r="P11" s="41"/>
      <c r="Q11" s="41"/>
      <c r="R11" s="42"/>
      <c r="S11" s="35" t="s">
        <v>16</v>
      </c>
      <c r="T11" s="36"/>
      <c r="U11" s="36"/>
      <c r="V11" s="36"/>
      <c r="Y11" s="40" t="s">
        <v>15</v>
      </c>
      <c r="Z11" s="41"/>
      <c r="AA11" s="41"/>
      <c r="AB11" s="42"/>
      <c r="AC11" s="35" t="s">
        <v>16</v>
      </c>
      <c r="AD11" s="36"/>
      <c r="AE11" s="36"/>
      <c r="AF11" s="36"/>
      <c r="AI11" s="40" t="s">
        <v>15</v>
      </c>
      <c r="AJ11" s="41"/>
      <c r="AK11" s="41"/>
      <c r="AL11" s="42"/>
      <c r="AM11" s="35" t="s">
        <v>16</v>
      </c>
      <c r="AN11" s="36"/>
      <c r="AO11" s="36"/>
      <c r="AP11" s="36"/>
      <c r="AS11" s="40" t="s">
        <v>15</v>
      </c>
      <c r="AT11" s="41"/>
      <c r="AU11" s="41"/>
      <c r="AV11" s="42"/>
      <c r="AW11" s="35" t="s">
        <v>16</v>
      </c>
      <c r="AX11" s="36"/>
      <c r="AY11" s="36"/>
      <c r="AZ11" s="36"/>
      <c r="BC11" s="40" t="s">
        <v>15</v>
      </c>
      <c r="BD11" s="41"/>
      <c r="BE11" s="41"/>
      <c r="BF11" s="42"/>
      <c r="BG11" s="35" t="s">
        <v>16</v>
      </c>
      <c r="BH11" s="36"/>
      <c r="BI11" s="36"/>
      <c r="BJ11" s="36"/>
      <c r="BM11" s="40" t="s">
        <v>15</v>
      </c>
      <c r="BN11" s="41"/>
      <c r="BO11" s="41"/>
      <c r="BP11" s="42"/>
      <c r="BQ11" s="35" t="s">
        <v>16</v>
      </c>
      <c r="BR11" s="36"/>
      <c r="BS11" s="36"/>
      <c r="BT11" s="36"/>
      <c r="BW11" s="40" t="s">
        <v>15</v>
      </c>
      <c r="BX11" s="41"/>
      <c r="BY11" s="41"/>
      <c r="BZ11" s="42"/>
      <c r="CA11" s="35" t="s">
        <v>16</v>
      </c>
      <c r="CB11" s="36"/>
      <c r="CC11" s="36"/>
      <c r="CD11" s="36"/>
    </row>
    <row r="12" spans="1:92" x14ac:dyDescent="0.25">
      <c r="A12" s="36"/>
      <c r="B12" s="36"/>
      <c r="C12" s="36"/>
      <c r="E12" s="2" t="s">
        <v>9</v>
      </c>
      <c r="F12" s="3">
        <v>249063</v>
      </c>
      <c r="G12" s="3">
        <v>249062</v>
      </c>
      <c r="H12" s="4">
        <v>249061</v>
      </c>
      <c r="I12" s="2" t="s">
        <v>9</v>
      </c>
      <c r="J12" s="3">
        <v>249063</v>
      </c>
      <c r="K12" s="3">
        <v>249062</v>
      </c>
      <c r="L12" s="4">
        <v>249061</v>
      </c>
      <c r="O12" s="2" t="s">
        <v>9</v>
      </c>
      <c r="P12" s="3">
        <v>249063</v>
      </c>
      <c r="Q12" s="3">
        <v>249062</v>
      </c>
      <c r="R12" s="4">
        <v>249061</v>
      </c>
      <c r="S12" s="2" t="s">
        <v>9</v>
      </c>
      <c r="T12" s="3">
        <v>249063</v>
      </c>
      <c r="U12" s="3">
        <v>249062</v>
      </c>
      <c r="V12" s="4">
        <v>249061</v>
      </c>
      <c r="Y12" s="2" t="s">
        <v>9</v>
      </c>
      <c r="Z12" s="3">
        <v>249063</v>
      </c>
      <c r="AA12" s="3">
        <v>249062</v>
      </c>
      <c r="AB12" s="4">
        <v>249061</v>
      </c>
      <c r="AC12" s="2" t="s">
        <v>9</v>
      </c>
      <c r="AD12" s="3">
        <v>249063</v>
      </c>
      <c r="AE12" s="3">
        <v>249062</v>
      </c>
      <c r="AF12" s="4">
        <v>249061</v>
      </c>
      <c r="AI12" s="2" t="s">
        <v>9</v>
      </c>
      <c r="AJ12" s="3">
        <v>249063</v>
      </c>
      <c r="AK12" s="3">
        <v>249062</v>
      </c>
      <c r="AL12" s="4">
        <v>249061</v>
      </c>
      <c r="AM12" s="2" t="s">
        <v>9</v>
      </c>
      <c r="AN12" s="3">
        <v>249063</v>
      </c>
      <c r="AO12" s="3">
        <v>249062</v>
      </c>
      <c r="AP12" s="4">
        <v>249061</v>
      </c>
      <c r="AS12" s="2" t="s">
        <v>9</v>
      </c>
      <c r="AT12" s="3">
        <v>249063</v>
      </c>
      <c r="AU12" s="3">
        <v>249062</v>
      </c>
      <c r="AV12" s="4">
        <v>249061</v>
      </c>
      <c r="AW12" s="2" t="s">
        <v>9</v>
      </c>
      <c r="AX12" s="3">
        <v>249063</v>
      </c>
      <c r="AY12" s="3">
        <v>249062</v>
      </c>
      <c r="AZ12" s="4">
        <v>249061</v>
      </c>
      <c r="BC12" s="2" t="s">
        <v>9</v>
      </c>
      <c r="BD12" s="3">
        <v>249063</v>
      </c>
      <c r="BE12" s="3">
        <v>249062</v>
      </c>
      <c r="BF12" s="4">
        <v>249061</v>
      </c>
      <c r="BG12" s="2" t="s">
        <v>9</v>
      </c>
      <c r="BH12" s="3">
        <v>249063</v>
      </c>
      <c r="BI12" s="3">
        <v>249062</v>
      </c>
      <c r="BJ12" s="4">
        <v>249061</v>
      </c>
      <c r="BM12" s="2" t="s">
        <v>9</v>
      </c>
      <c r="BN12" s="3">
        <v>249063</v>
      </c>
      <c r="BO12" s="3">
        <v>249062</v>
      </c>
      <c r="BP12" s="4">
        <v>249061</v>
      </c>
      <c r="BQ12" s="2" t="s">
        <v>9</v>
      </c>
      <c r="BR12" s="3">
        <v>249063</v>
      </c>
      <c r="BS12" s="3">
        <v>249062</v>
      </c>
      <c r="BT12" s="4">
        <v>249061</v>
      </c>
      <c r="BW12" s="2" t="s">
        <v>9</v>
      </c>
      <c r="BX12" s="3">
        <v>249063</v>
      </c>
      <c r="BY12" s="3">
        <v>249062</v>
      </c>
      <c r="BZ12" s="4">
        <v>249061</v>
      </c>
      <c r="CA12" s="2" t="s">
        <v>9</v>
      </c>
      <c r="CB12" s="3">
        <v>249063</v>
      </c>
      <c r="CC12" s="3">
        <v>249062</v>
      </c>
      <c r="CD12" s="4">
        <v>249061</v>
      </c>
    </row>
    <row r="13" spans="1:92" x14ac:dyDescent="0.25">
      <c r="A13" s="37">
        <v>1</v>
      </c>
      <c r="B13" s="12">
        <v>1</v>
      </c>
      <c r="C13" s="13">
        <v>1</v>
      </c>
      <c r="E13" s="14">
        <v>86.309830000000005</v>
      </c>
      <c r="F13" s="15">
        <v>86.060230000000004</v>
      </c>
      <c r="G13" s="15">
        <v>86.124260000000007</v>
      </c>
      <c r="H13" s="16">
        <v>85.545760000000001</v>
      </c>
      <c r="I13" s="12">
        <f t="shared" ref="I13:I22" si="0">IF(OR(E13="",E13="NaN"),"",E13-AVERAGE(E$13:E$22))</f>
        <v>1.1876190000000122</v>
      </c>
      <c r="J13" s="12">
        <v>86.124259948730469</v>
      </c>
      <c r="K13" s="12">
        <v>86.094802856445313</v>
      </c>
      <c r="L13" s="17">
        <v>77.235771179199219</v>
      </c>
      <c r="M13" s="5"/>
      <c r="N13" s="5"/>
      <c r="O13" s="14">
        <v>71.116739999999993</v>
      </c>
      <c r="P13" s="15">
        <v>71.262770000000003</v>
      </c>
      <c r="Q13" s="15">
        <v>71.503360000000001</v>
      </c>
      <c r="R13" s="16">
        <v>71.015259999999998</v>
      </c>
      <c r="S13" s="12">
        <f t="shared" ref="S13:S22" si="1">IF(OR(O13="",O13="NaN"),"",O13-AVERAGE(O$13:O$22))</f>
        <v>0.69870129999999619</v>
      </c>
      <c r="T13" s="12">
        <v>71.50335693359375</v>
      </c>
      <c r="U13" s="12">
        <v>72.261192321777344</v>
      </c>
      <c r="V13" s="17">
        <v>62.470417022705078</v>
      </c>
      <c r="W13" s="5"/>
      <c r="X13" s="5"/>
      <c r="Y13" s="14">
        <v>9.0938700000000008</v>
      </c>
      <c r="Z13" s="15">
        <v>9.2093620000000005</v>
      </c>
      <c r="AA13" s="15">
        <v>9.7310920000000003</v>
      </c>
      <c r="AB13" s="16">
        <v>33.489395000000002</v>
      </c>
      <c r="AC13" s="12">
        <f t="shared" ref="AC13:AC22" si="2">IF(OR(Y13="",Y13="NaN"),"",Y13-AVERAGE(Y$13:Y$22))</f>
        <v>-1.4040219999999994</v>
      </c>
      <c r="AD13" s="12">
        <v>9.7310924530029297</v>
      </c>
      <c r="AE13" s="12">
        <v>9.5324506759643555</v>
      </c>
      <c r="AF13" s="17">
        <v>21.885885238647461</v>
      </c>
      <c r="AG13" s="5"/>
      <c r="AH13" s="5"/>
      <c r="AI13" s="14">
        <v>6.3536425000000003</v>
      </c>
      <c r="AJ13" s="15">
        <v>6.8265605000000003</v>
      </c>
      <c r="AK13" s="15">
        <v>6.8528913999999999</v>
      </c>
      <c r="AL13" s="16">
        <v>6.3653329999999997</v>
      </c>
      <c r="AM13" s="12">
        <f t="shared" ref="AM13:AM22" si="3">IF(OR(AI13="",AI13="NaN"),"",AI13-AVERAGE(AI$13:AI$22))</f>
        <v>-0.30043355000000016</v>
      </c>
      <c r="AN13" s="12">
        <v>6.8528914451599121</v>
      </c>
      <c r="AO13" s="12">
        <v>6.9340763092041016</v>
      </c>
      <c r="AP13" s="17">
        <v>8.5092926025390625</v>
      </c>
      <c r="AR13" s="5"/>
      <c r="AS13" s="14">
        <v>10.354691499999999</v>
      </c>
      <c r="AT13" s="15">
        <v>10.251621999999999</v>
      </c>
      <c r="AU13" s="15">
        <v>10.247697000000001</v>
      </c>
      <c r="AV13" s="16">
        <v>11.157344</v>
      </c>
      <c r="AW13" s="12">
        <f t="shared" ref="AW13:AW22" si="4">IF(OR(AS13="",AS13="NaN"),"",AS13-AVERAGE(AS$13:AS$22))</f>
        <v>-0.44559000000000104</v>
      </c>
      <c r="AX13" s="12">
        <v>10.247696876525881</v>
      </c>
      <c r="AY13" s="12">
        <v>9.8079900741577166</v>
      </c>
      <c r="AZ13" s="17">
        <v>17.723371505737301</v>
      </c>
      <c r="BB13" s="5"/>
      <c r="BC13" s="14">
        <v>1.3684466</v>
      </c>
      <c r="BD13" s="15">
        <v>1.4930483000000001</v>
      </c>
      <c r="BE13" s="15">
        <v>1.5086883</v>
      </c>
      <c r="BF13" s="16">
        <v>2.1204765000000001</v>
      </c>
      <c r="BG13" s="12">
        <f t="shared" ref="BG13:BG22" si="5">IF(OR(BC13="",BC13="NaN"),"",BC13-AVERAGE(BC$13:BC$22))</f>
        <v>-0.12916355999999984</v>
      </c>
      <c r="BH13" s="12">
        <v>1.50868833065033</v>
      </c>
      <c r="BI13" s="12">
        <v>1.529995441436768</v>
      </c>
      <c r="BJ13" s="17">
        <v>2.642823219299316</v>
      </c>
      <c r="BL13" s="5"/>
      <c r="BM13" s="14">
        <v>3.5938013</v>
      </c>
      <c r="BN13" s="15">
        <v>4.8098169999999998</v>
      </c>
      <c r="BO13" s="15">
        <v>5.9646682999999996</v>
      </c>
      <c r="BP13" s="16">
        <v>17.083956000000001</v>
      </c>
      <c r="BQ13" s="12">
        <f t="shared" ref="BQ13:BQ22" si="6">IF(OR(BM13="",BM13="NaN"),"",BM13-AVERAGE(BM$13:BM$22))</f>
        <v>-1.0950241800000002</v>
      </c>
      <c r="BR13" s="12">
        <v>5.9646682739257813</v>
      </c>
      <c r="BS13" s="12">
        <v>7.172243595123291</v>
      </c>
      <c r="BT13" s="17">
        <v>15.075961112976071</v>
      </c>
      <c r="BV13" s="5"/>
      <c r="BW13" s="14">
        <v>1.597766</v>
      </c>
      <c r="BX13" s="15">
        <v>1.9935982000000001</v>
      </c>
      <c r="BY13" s="15">
        <v>1.8274813999999999</v>
      </c>
      <c r="BZ13" s="16">
        <v>3.5935847999999999</v>
      </c>
      <c r="CA13" s="12">
        <f t="shared" ref="CA13:CA22" si="7">IF(OR(BW13="",BW13="NaN"),"",BW13-AVERAGE(BW$13:BW$22))</f>
        <v>-0.16065382000000028</v>
      </c>
      <c r="CB13" s="12">
        <v>1.827481389045716</v>
      </c>
      <c r="CC13" s="12">
        <v>1.7136039733886721</v>
      </c>
      <c r="CD13" s="17">
        <v>3.4586410522460942</v>
      </c>
      <c r="CG13">
        <v>1.9935982227325439</v>
      </c>
      <c r="CH13">
        <v>1.954490184783936</v>
      </c>
      <c r="CI13">
        <v>3.4586410522460942</v>
      </c>
      <c r="CL13">
        <v>1.597766041755676</v>
      </c>
      <c r="CM13">
        <v>1.570557832717896</v>
      </c>
      <c r="CN13">
        <v>3.4586410522460942</v>
      </c>
    </row>
    <row r="14" spans="1:92" x14ac:dyDescent="0.25">
      <c r="A14" s="38"/>
      <c r="B14" s="5">
        <v>2</v>
      </c>
      <c r="C14" s="18">
        <v>6</v>
      </c>
      <c r="E14" s="19">
        <v>86.043610000000001</v>
      </c>
      <c r="F14" s="20">
        <v>85.935029999999998</v>
      </c>
      <c r="G14" s="20">
        <v>86.073104999999998</v>
      </c>
      <c r="H14" s="21">
        <v>85.303719999999998</v>
      </c>
      <c r="I14" s="5">
        <f t="shared" si="0"/>
        <v>0.92139900000000807</v>
      </c>
      <c r="J14" s="5">
        <v>86.073104858398438</v>
      </c>
      <c r="K14" s="5">
        <v>85.856895446777344</v>
      </c>
      <c r="L14" s="22">
        <v>77.235771179199219</v>
      </c>
      <c r="M14" s="5"/>
      <c r="N14" s="5"/>
      <c r="O14" s="19">
        <v>70.988110000000006</v>
      </c>
      <c r="P14" s="20">
        <v>71.110510000000005</v>
      </c>
      <c r="Q14" s="20">
        <v>71.611770000000007</v>
      </c>
      <c r="R14" s="21">
        <v>71.748310000000004</v>
      </c>
      <c r="S14" s="5">
        <f t="shared" si="1"/>
        <v>0.57007130000000927</v>
      </c>
      <c r="T14" s="5">
        <v>71.611770629882813</v>
      </c>
      <c r="U14" s="5">
        <v>71.840850830078125</v>
      </c>
      <c r="V14" s="22">
        <v>62.470417022705078</v>
      </c>
      <c r="W14" s="5"/>
      <c r="X14" s="5"/>
      <c r="Y14" s="19">
        <v>9.1164819999999995</v>
      </c>
      <c r="Z14" s="20">
        <v>9.5386710000000008</v>
      </c>
      <c r="AA14" s="20">
        <v>9.5929040000000008</v>
      </c>
      <c r="AB14" s="21">
        <v>33.470882000000003</v>
      </c>
      <c r="AC14" s="5">
        <f t="shared" si="2"/>
        <v>-1.3814100000000007</v>
      </c>
      <c r="AD14" s="5">
        <v>9.5929040908813477</v>
      </c>
      <c r="AE14" s="5">
        <v>20.6865234375</v>
      </c>
      <c r="AF14" s="22">
        <v>21.885885238647461</v>
      </c>
      <c r="AG14" s="5"/>
      <c r="AH14" s="5"/>
      <c r="AI14" s="19">
        <v>6.4794492999999997</v>
      </c>
      <c r="AJ14" s="20">
        <v>6.9035133999999996</v>
      </c>
      <c r="AK14" s="20">
        <v>6.9142427</v>
      </c>
      <c r="AL14" s="21">
        <v>6.3226440000000004</v>
      </c>
      <c r="AM14" s="5">
        <f t="shared" si="3"/>
        <v>-0.17462675000000072</v>
      </c>
      <c r="AN14" s="5">
        <v>6.9142427444458008</v>
      </c>
      <c r="AO14" s="5">
        <v>6.9679818153381348</v>
      </c>
      <c r="AP14" s="22">
        <v>8.5092926025390625</v>
      </c>
      <c r="AR14" s="5"/>
      <c r="AS14" s="19">
        <v>10.109506</v>
      </c>
      <c r="AT14" s="20">
        <v>9.9183439999999994</v>
      </c>
      <c r="AU14" s="20">
        <v>10.140062</v>
      </c>
      <c r="AV14" s="21">
        <v>11.171137</v>
      </c>
      <c r="AW14" s="5">
        <f t="shared" si="4"/>
        <v>-0.69077550000000087</v>
      </c>
      <c r="AX14" s="5">
        <v>10.14006233215332</v>
      </c>
      <c r="AY14" s="5">
        <v>10.17270088195801</v>
      </c>
      <c r="AZ14" s="22">
        <v>17.723371505737301</v>
      </c>
      <c r="BB14" s="5"/>
      <c r="BC14" s="19">
        <v>1.3684466</v>
      </c>
      <c r="BD14" s="20">
        <v>1.5086883</v>
      </c>
      <c r="BE14" s="20">
        <v>1.5086883</v>
      </c>
      <c r="BF14" s="21">
        <v>2.1489862999999998</v>
      </c>
      <c r="BG14" s="5">
        <f t="shared" si="5"/>
        <v>-0.12916355999999984</v>
      </c>
      <c r="BH14" s="5">
        <v>1.50868833065033</v>
      </c>
      <c r="BI14" s="5">
        <v>1.773964047431946</v>
      </c>
      <c r="BJ14" s="22">
        <v>2.642823219299316</v>
      </c>
      <c r="BL14" s="5"/>
      <c r="BM14" s="19">
        <v>3.5864674999999999</v>
      </c>
      <c r="BN14" s="20">
        <v>7.052111</v>
      </c>
      <c r="BO14" s="20">
        <v>5.8480860000000003</v>
      </c>
      <c r="BP14" s="21">
        <v>17.351842999999999</v>
      </c>
      <c r="BQ14" s="5">
        <f t="shared" si="6"/>
        <v>-1.1023579800000003</v>
      </c>
      <c r="BR14" s="5">
        <v>5.848085880279541</v>
      </c>
      <c r="BS14" s="5">
        <v>7.5219988822937012</v>
      </c>
      <c r="BT14" s="22">
        <v>15.075961112976071</v>
      </c>
      <c r="BV14" s="5"/>
      <c r="BW14" s="19">
        <v>1.5697136</v>
      </c>
      <c r="BX14" s="20">
        <v>1.9122437999999999</v>
      </c>
      <c r="BY14" s="20">
        <v>1.8147608</v>
      </c>
      <c r="BZ14" s="21">
        <v>3.6119319999999999</v>
      </c>
      <c r="CA14" s="5">
        <f t="shared" si="7"/>
        <v>-0.18870622000000026</v>
      </c>
      <c r="CB14" s="5">
        <v>1.8147608041763299</v>
      </c>
      <c r="CC14" s="5">
        <v>1.9867731332778931</v>
      </c>
      <c r="CD14" s="22">
        <v>3.4586410522460942</v>
      </c>
      <c r="CG14">
        <v>1.9122438430786131</v>
      </c>
      <c r="CH14">
        <v>1.95616626739502</v>
      </c>
      <c r="CI14">
        <v>3.4586410522460942</v>
      </c>
      <c r="CL14">
        <v>1.5697135925292971</v>
      </c>
      <c r="CM14">
        <v>1.570557832717896</v>
      </c>
      <c r="CN14">
        <v>3.4586410522460942</v>
      </c>
    </row>
    <row r="15" spans="1:92" x14ac:dyDescent="0.25">
      <c r="A15" s="38"/>
      <c r="B15" s="5">
        <v>3</v>
      </c>
      <c r="C15" s="18">
        <v>11</v>
      </c>
      <c r="E15" s="19">
        <v>86.061165000000003</v>
      </c>
      <c r="F15" s="20">
        <v>85.20196</v>
      </c>
      <c r="G15" s="20">
        <v>86.012519999999995</v>
      </c>
      <c r="H15" s="21">
        <v>85.216835000000003</v>
      </c>
      <c r="I15" s="5">
        <f t="shared" si="0"/>
        <v>0.93895400000000961</v>
      </c>
      <c r="J15" s="5">
        <v>86.012519836425781</v>
      </c>
      <c r="K15" s="5">
        <v>86.060539245605469</v>
      </c>
      <c r="L15" s="22">
        <v>77.235771179199219</v>
      </c>
      <c r="M15" s="5"/>
      <c r="N15" s="5"/>
      <c r="O15" s="19">
        <v>71.359179999999995</v>
      </c>
      <c r="P15" s="20">
        <v>71.301220000000001</v>
      </c>
      <c r="Q15" s="20">
        <v>71.744384999999994</v>
      </c>
      <c r="R15" s="21">
        <v>72.004005000000006</v>
      </c>
      <c r="S15" s="5">
        <f t="shared" si="1"/>
        <v>0.94114129999999818</v>
      </c>
      <c r="T15" s="5">
        <v>71.744384765625</v>
      </c>
      <c r="U15" s="5">
        <v>71.990165710449219</v>
      </c>
      <c r="V15" s="22">
        <v>62.470417022705078</v>
      </c>
      <c r="W15" s="5"/>
      <c r="X15" s="5"/>
      <c r="Y15" s="19">
        <v>9.0976800000000004</v>
      </c>
      <c r="Z15" s="20">
        <v>9.4103619999999992</v>
      </c>
      <c r="AA15" s="20">
        <v>9.6188000000000002</v>
      </c>
      <c r="AB15" s="21">
        <v>33.539093000000001</v>
      </c>
      <c r="AC15" s="5">
        <f t="shared" si="2"/>
        <v>-1.4002119999999998</v>
      </c>
      <c r="AD15" s="5">
        <v>9.6188001632690447</v>
      </c>
      <c r="AE15" s="5">
        <v>9.5476503372192383</v>
      </c>
      <c r="AF15" s="22">
        <v>21.885885238647461</v>
      </c>
      <c r="AG15" s="5"/>
      <c r="AH15" s="5"/>
      <c r="AI15" s="19">
        <v>6.4314637000000001</v>
      </c>
      <c r="AJ15" s="20">
        <v>6.9191976000000004</v>
      </c>
      <c r="AK15" s="20">
        <v>6.9340763000000001</v>
      </c>
      <c r="AL15" s="21">
        <v>6.274737</v>
      </c>
      <c r="AM15" s="5">
        <f t="shared" si="3"/>
        <v>-0.22261235000000035</v>
      </c>
      <c r="AN15" s="5">
        <v>6.9340763092041016</v>
      </c>
      <c r="AO15" s="5">
        <v>6.9679818153381348</v>
      </c>
      <c r="AP15" s="22">
        <v>8.5092926025390625</v>
      </c>
      <c r="AR15" s="5"/>
      <c r="AS15" s="19">
        <v>9.9451064999999996</v>
      </c>
      <c r="AT15" s="20">
        <v>9.8578159999999997</v>
      </c>
      <c r="AU15" s="20">
        <v>10.157919</v>
      </c>
      <c r="AV15" s="21">
        <v>11.216602</v>
      </c>
      <c r="AW15" s="5">
        <f t="shared" si="4"/>
        <v>-0.85517500000000091</v>
      </c>
      <c r="AX15" s="5">
        <v>10.157918930053709</v>
      </c>
      <c r="AY15" s="5">
        <v>9.8792972564697283</v>
      </c>
      <c r="AZ15" s="22">
        <v>17.723371505737301</v>
      </c>
      <c r="BB15" s="5"/>
      <c r="BC15" s="19">
        <v>1.3684466</v>
      </c>
      <c r="BD15" s="20">
        <v>1.7648292999999999</v>
      </c>
      <c r="BE15" s="20">
        <v>1.5168387999999999</v>
      </c>
      <c r="BF15" s="21">
        <v>2.1489862999999998</v>
      </c>
      <c r="BG15" s="5">
        <f t="shared" si="5"/>
        <v>-0.12916355999999984</v>
      </c>
      <c r="BH15" s="5">
        <v>1.5168387889862061</v>
      </c>
      <c r="BI15" s="5">
        <v>1.773964047431946</v>
      </c>
      <c r="BJ15" s="22">
        <v>2.642823219299316</v>
      </c>
      <c r="BL15" s="5"/>
      <c r="BM15" s="19">
        <v>3.4881099999999998</v>
      </c>
      <c r="BN15" s="20">
        <v>7.0218005000000003</v>
      </c>
      <c r="BO15" s="20">
        <v>7.0803279999999997</v>
      </c>
      <c r="BP15" s="21">
        <v>17.370788999999998</v>
      </c>
      <c r="BQ15" s="5">
        <f t="shared" si="6"/>
        <v>-1.2007154800000004</v>
      </c>
      <c r="BR15" s="5">
        <v>7.0803279876708984</v>
      </c>
      <c r="BS15" s="5">
        <v>7.5122003555297852</v>
      </c>
      <c r="BT15" s="22">
        <v>15.075961112976071</v>
      </c>
      <c r="BV15" s="5"/>
      <c r="BW15" s="19">
        <v>1.571976</v>
      </c>
      <c r="BX15" s="20">
        <v>1.9194772</v>
      </c>
      <c r="BY15" s="20">
        <v>1.9212442999999999</v>
      </c>
      <c r="BZ15" s="21">
        <v>3.6435605999999998</v>
      </c>
      <c r="CA15" s="5">
        <f t="shared" si="7"/>
        <v>-0.18644382000000026</v>
      </c>
      <c r="CB15" s="5">
        <v>1.921244263648987</v>
      </c>
      <c r="CC15" s="5">
        <v>1.8477427959442141</v>
      </c>
      <c r="CD15" s="22">
        <v>3.4586410522460942</v>
      </c>
      <c r="CG15">
        <v>1.919477224349976</v>
      </c>
      <c r="CH15">
        <v>1.976276636123657</v>
      </c>
      <c r="CI15">
        <v>3.4586410522460942</v>
      </c>
      <c r="CL15">
        <v>1.571975946426392</v>
      </c>
      <c r="CM15">
        <v>3.4586410522460942</v>
      </c>
      <c r="CN15">
        <v>3.4586410522460942</v>
      </c>
    </row>
    <row r="16" spans="1:92" x14ac:dyDescent="0.25">
      <c r="A16" s="38"/>
      <c r="B16" s="5">
        <v>4</v>
      </c>
      <c r="C16" s="18">
        <v>16</v>
      </c>
      <c r="E16" s="19">
        <v>85.857680000000002</v>
      </c>
      <c r="F16" s="20">
        <v>84.286124999999998</v>
      </c>
      <c r="G16" s="20">
        <v>86.077470000000005</v>
      </c>
      <c r="H16" s="21">
        <v>85.49521</v>
      </c>
      <c r="I16" s="5">
        <f t="shared" si="0"/>
        <v>0.73546900000000903</v>
      </c>
      <c r="J16" s="5">
        <v>86.077468872070313</v>
      </c>
      <c r="K16" s="5">
        <v>77.235771179199219</v>
      </c>
      <c r="L16" s="22">
        <v>77.235771179199219</v>
      </c>
      <c r="M16" s="5"/>
      <c r="N16" s="5"/>
      <c r="O16" s="19">
        <v>71.160600000000002</v>
      </c>
      <c r="P16" s="20">
        <v>71.276759999999996</v>
      </c>
      <c r="Q16" s="20">
        <v>71.868600000000001</v>
      </c>
      <c r="R16" s="21">
        <v>72.117630000000005</v>
      </c>
      <c r="S16" s="5">
        <f t="shared" si="1"/>
        <v>0.74256130000000553</v>
      </c>
      <c r="T16" s="5">
        <v>71.868598937988281</v>
      </c>
      <c r="U16" s="5">
        <v>62.470417022705078</v>
      </c>
      <c r="V16" s="22">
        <v>62.470417022705078</v>
      </c>
      <c r="W16" s="5"/>
      <c r="X16" s="5"/>
      <c r="Y16" s="19">
        <v>8.9540830000000007</v>
      </c>
      <c r="Z16" s="20">
        <v>20.453766000000002</v>
      </c>
      <c r="AA16" s="20">
        <v>9.4865530000000007</v>
      </c>
      <c r="AB16" s="21">
        <v>33.480732000000003</v>
      </c>
      <c r="AC16" s="5">
        <f t="shared" si="2"/>
        <v>-1.5438089999999995</v>
      </c>
      <c r="AD16" s="5">
        <v>9.4865531921386719</v>
      </c>
      <c r="AE16" s="5">
        <v>21.885885238647461</v>
      </c>
      <c r="AF16" s="22">
        <v>21.885885238647461</v>
      </c>
      <c r="AG16" s="5"/>
      <c r="AH16" s="5"/>
      <c r="AI16" s="19">
        <v>6.4456600000000002</v>
      </c>
      <c r="AJ16" s="20">
        <v>6.8498054000000002</v>
      </c>
      <c r="AK16" s="20">
        <v>6.9253707000000002</v>
      </c>
      <c r="AL16" s="21">
        <v>6.3693194000000002</v>
      </c>
      <c r="AM16" s="5">
        <f t="shared" si="3"/>
        <v>-0.2084160500000003</v>
      </c>
      <c r="AN16" s="5">
        <v>6.9253706932067871</v>
      </c>
      <c r="AO16" s="5">
        <v>8.5092926025390625</v>
      </c>
      <c r="AP16" s="22">
        <v>8.5092926025390625</v>
      </c>
      <c r="AR16" s="5"/>
      <c r="AS16" s="19">
        <v>9.9319000000000006</v>
      </c>
      <c r="AT16" s="20">
        <v>9.8423619999999996</v>
      </c>
      <c r="AU16" s="20">
        <v>10.131171999999999</v>
      </c>
      <c r="AV16" s="21">
        <v>11.185726000000001</v>
      </c>
      <c r="AW16" s="5">
        <f t="shared" si="4"/>
        <v>-0.86838149999999992</v>
      </c>
      <c r="AX16" s="5">
        <v>10.131172180175779</v>
      </c>
      <c r="AY16" s="5">
        <v>17.723371505737301</v>
      </c>
      <c r="AZ16" s="22">
        <v>17.723371505737301</v>
      </c>
      <c r="BB16" s="5"/>
      <c r="BC16" s="19">
        <v>1.3718984000000001</v>
      </c>
      <c r="BD16" s="20">
        <v>1.7491893000000001</v>
      </c>
      <c r="BE16" s="20">
        <v>1.5168387999999999</v>
      </c>
      <c r="BF16" s="21">
        <v>2.1770113000000002</v>
      </c>
      <c r="BG16" s="5">
        <f t="shared" si="5"/>
        <v>-0.12571175999999973</v>
      </c>
      <c r="BH16" s="5">
        <v>1.5168387889862061</v>
      </c>
      <c r="BI16" s="5">
        <v>2.642823219299316</v>
      </c>
      <c r="BJ16" s="22">
        <v>2.642823219299316</v>
      </c>
      <c r="BL16" s="5"/>
      <c r="BM16" s="19">
        <v>3.4861789999999999</v>
      </c>
      <c r="BN16" s="20">
        <v>6.9844540000000004</v>
      </c>
      <c r="BO16" s="20">
        <v>7.5024176000000002</v>
      </c>
      <c r="BP16" s="21">
        <v>17.311699999999998</v>
      </c>
      <c r="BQ16" s="5">
        <f t="shared" si="6"/>
        <v>-1.2026464800000003</v>
      </c>
      <c r="BR16" s="5">
        <v>7.5024175643920898</v>
      </c>
      <c r="BS16" s="5">
        <v>15.075961112976071</v>
      </c>
      <c r="BT16" s="22">
        <v>15.075961112976071</v>
      </c>
      <c r="BV16" s="5"/>
      <c r="BW16" s="19">
        <v>1.5338057</v>
      </c>
      <c r="BX16" s="20">
        <v>2.0089774</v>
      </c>
      <c r="BY16" s="20">
        <v>1.9212442999999999</v>
      </c>
      <c r="BZ16" s="21">
        <v>3.5290759999999999</v>
      </c>
      <c r="CA16" s="5">
        <f t="shared" si="7"/>
        <v>-0.22461412000000025</v>
      </c>
      <c r="CB16" s="5">
        <v>1.921244263648987</v>
      </c>
      <c r="CC16" s="5">
        <v>3.4586410522460942</v>
      </c>
      <c r="CD16" s="22">
        <v>3.4586410522460942</v>
      </c>
      <c r="CG16">
        <v>2.0089774131774898</v>
      </c>
      <c r="CH16">
        <v>3.4586410522460942</v>
      </c>
      <c r="CI16">
        <v>3.4586410522460942</v>
      </c>
      <c r="CL16">
        <v>1.533805727958679</v>
      </c>
      <c r="CM16">
        <v>3.4586410522460942</v>
      </c>
      <c r="CN16">
        <v>3.4586410522460942</v>
      </c>
    </row>
    <row r="17" spans="1:92" x14ac:dyDescent="0.25">
      <c r="A17" s="38"/>
      <c r="B17" s="5">
        <v>5</v>
      </c>
      <c r="C17" s="18">
        <v>21</v>
      </c>
      <c r="E17" s="19">
        <v>86.045779999999993</v>
      </c>
      <c r="F17" s="20">
        <v>84.290940000000006</v>
      </c>
      <c r="G17" s="20">
        <v>85.783259999999999</v>
      </c>
      <c r="H17" s="21">
        <v>85.323363999999998</v>
      </c>
      <c r="I17" s="5">
        <f t="shared" si="0"/>
        <v>0.92356900000000053</v>
      </c>
      <c r="J17" s="5">
        <v>85.783256530761719</v>
      </c>
      <c r="K17" s="5">
        <v>77.235771179199219</v>
      </c>
      <c r="L17" s="22">
        <v>77.235771179199219</v>
      </c>
      <c r="M17" s="5"/>
      <c r="N17" s="5"/>
      <c r="O17" s="19">
        <v>71.147199999999998</v>
      </c>
      <c r="P17" s="20">
        <v>71.276759999999996</v>
      </c>
      <c r="Q17" s="20">
        <v>71.79007</v>
      </c>
      <c r="R17" s="21">
        <v>72.090130000000002</v>
      </c>
      <c r="S17" s="5">
        <f t="shared" si="1"/>
        <v>0.72916130000000123</v>
      </c>
      <c r="T17" s="5">
        <v>71.790069580078125</v>
      </c>
      <c r="U17" s="5">
        <v>62.470417022705078</v>
      </c>
      <c r="V17" s="22">
        <v>62.470417022705078</v>
      </c>
      <c r="W17" s="5"/>
      <c r="X17" s="5"/>
      <c r="Y17" s="19">
        <v>9.0399589999999996</v>
      </c>
      <c r="Z17" s="20">
        <v>9.3719590000000004</v>
      </c>
      <c r="AA17" s="20">
        <v>9.3057110000000005</v>
      </c>
      <c r="AB17" s="21">
        <v>33.551969999999997</v>
      </c>
      <c r="AC17" s="5">
        <f t="shared" si="2"/>
        <v>-1.4579330000000006</v>
      </c>
      <c r="AD17" s="5">
        <v>9.3057107925415039</v>
      </c>
      <c r="AE17" s="5">
        <v>21.885885238647461</v>
      </c>
      <c r="AF17" s="22">
        <v>21.885885238647461</v>
      </c>
      <c r="AG17" s="5"/>
      <c r="AH17" s="5"/>
      <c r="AI17" s="19">
        <v>6.4568019999999997</v>
      </c>
      <c r="AJ17" s="20">
        <v>6.8461803999999997</v>
      </c>
      <c r="AK17" s="20">
        <v>6.8631589999999996</v>
      </c>
      <c r="AL17" s="21">
        <v>6.3296093999999998</v>
      </c>
      <c r="AM17" s="5">
        <f t="shared" si="3"/>
        <v>-0.19727405000000076</v>
      </c>
      <c r="AN17" s="5">
        <v>6.8631591796875</v>
      </c>
      <c r="AO17" s="5">
        <v>8.5092926025390625</v>
      </c>
      <c r="AP17" s="22">
        <v>8.5092926025390625</v>
      </c>
      <c r="AR17" s="5"/>
      <c r="AS17" s="19">
        <v>10.020296</v>
      </c>
      <c r="AT17" s="20">
        <v>9.9560999999999993</v>
      </c>
      <c r="AU17" s="20">
        <v>10.129132</v>
      </c>
      <c r="AV17" s="21">
        <v>11.137586000000001</v>
      </c>
      <c r="AW17" s="5">
        <f t="shared" si="4"/>
        <v>-0.77998550000000044</v>
      </c>
      <c r="AX17" s="5">
        <v>10.12913227081299</v>
      </c>
      <c r="AY17" s="5">
        <v>17.723371505737301</v>
      </c>
      <c r="AZ17" s="22">
        <v>17.723371505737301</v>
      </c>
      <c r="BB17" s="5"/>
      <c r="BC17" s="19">
        <v>1.3684466</v>
      </c>
      <c r="BD17" s="20">
        <v>1.7491893000000001</v>
      </c>
      <c r="BE17" s="20">
        <v>1.7739640000000001</v>
      </c>
      <c r="BF17" s="21">
        <v>2.1489862999999998</v>
      </c>
      <c r="BG17" s="5">
        <f t="shared" si="5"/>
        <v>-0.12916355999999984</v>
      </c>
      <c r="BH17" s="5">
        <v>1.773964047431946</v>
      </c>
      <c r="BI17" s="5">
        <v>2.642823219299316</v>
      </c>
      <c r="BJ17" s="22">
        <v>2.642823219299316</v>
      </c>
      <c r="BL17" s="5"/>
      <c r="BM17" s="19">
        <v>3.5371990000000002</v>
      </c>
      <c r="BN17" s="20">
        <v>6.9886860000000004</v>
      </c>
      <c r="BO17" s="20">
        <v>7.3237009999999998</v>
      </c>
      <c r="BP17" s="21">
        <v>17.308796000000001</v>
      </c>
      <c r="BQ17" s="5">
        <f t="shared" si="6"/>
        <v>-1.15162648</v>
      </c>
      <c r="BR17" s="5">
        <v>7.3237009048461914</v>
      </c>
      <c r="BS17" s="5">
        <v>15.075961112976071</v>
      </c>
      <c r="BT17" s="22">
        <v>15.075961112976071</v>
      </c>
      <c r="BV17" s="5"/>
      <c r="BW17" s="19">
        <v>1.5714033000000001</v>
      </c>
      <c r="BX17" s="20">
        <v>1.9472567999999999</v>
      </c>
      <c r="BY17" s="20">
        <v>1.9320523000000001</v>
      </c>
      <c r="BZ17" s="21">
        <v>3.5696322999999999</v>
      </c>
      <c r="CA17" s="5">
        <f t="shared" si="7"/>
        <v>-0.18701652000000024</v>
      </c>
      <c r="CB17" s="5">
        <v>1.9320522546768191</v>
      </c>
      <c r="CC17" s="5">
        <v>3.4586410522460942</v>
      </c>
      <c r="CD17" s="22">
        <v>3.4586410522460942</v>
      </c>
      <c r="CG17">
        <v>1.947256803512573</v>
      </c>
      <c r="CH17">
        <v>3.4586410522460942</v>
      </c>
      <c r="CI17">
        <v>3.4586410522460942</v>
      </c>
      <c r="CL17">
        <v>1.5714032649993901</v>
      </c>
      <c r="CM17">
        <v>3.4586410522460942</v>
      </c>
      <c r="CN17">
        <v>3.4586410522460942</v>
      </c>
    </row>
    <row r="18" spans="1:92" x14ac:dyDescent="0.25">
      <c r="A18" s="38"/>
      <c r="B18" s="5">
        <v>6</v>
      </c>
      <c r="C18" s="18">
        <v>26</v>
      </c>
      <c r="E18" s="19">
        <v>85.89349</v>
      </c>
      <c r="F18" s="20">
        <v>84.861750000000001</v>
      </c>
      <c r="G18" s="20">
        <v>86.104416000000001</v>
      </c>
      <c r="H18" s="21">
        <v>85.319239999999994</v>
      </c>
      <c r="I18" s="5">
        <f t="shared" si="0"/>
        <v>0.77127900000000693</v>
      </c>
      <c r="J18" s="5">
        <v>86.104415893554688</v>
      </c>
      <c r="K18" s="5">
        <v>77.235771179199219</v>
      </c>
      <c r="L18" s="22">
        <v>77.235771179199219</v>
      </c>
      <c r="M18" s="5"/>
      <c r="N18" s="5"/>
      <c r="O18" s="19">
        <v>71.190719999999999</v>
      </c>
      <c r="P18" s="20">
        <v>71.311890000000005</v>
      </c>
      <c r="Q18" s="20">
        <v>71.639340000000004</v>
      </c>
      <c r="R18" s="21">
        <v>71.956909999999993</v>
      </c>
      <c r="S18" s="5">
        <f t="shared" si="1"/>
        <v>0.77268130000000212</v>
      </c>
      <c r="T18" s="5">
        <v>71.63934326171875</v>
      </c>
      <c r="U18" s="5">
        <v>62.470417022705078</v>
      </c>
      <c r="V18" s="22">
        <v>62.470417022705078</v>
      </c>
      <c r="W18" s="5"/>
      <c r="X18" s="5"/>
      <c r="Y18" s="19">
        <v>9.9497540000000004</v>
      </c>
      <c r="Z18" s="20">
        <v>20.410748000000002</v>
      </c>
      <c r="AA18" s="20">
        <v>9.4714609999999997</v>
      </c>
      <c r="AB18" s="21">
        <v>33.538756999999997</v>
      </c>
      <c r="AC18" s="5">
        <f t="shared" si="2"/>
        <v>-0.54813799999999979</v>
      </c>
      <c r="AD18" s="5">
        <v>9.4714612960815447</v>
      </c>
      <c r="AE18" s="5">
        <v>21.885885238647461</v>
      </c>
      <c r="AF18" s="22">
        <v>21.885885238647461</v>
      </c>
      <c r="AG18" s="5"/>
      <c r="AH18" s="5"/>
      <c r="AI18" s="19">
        <v>6.4636670000000001</v>
      </c>
      <c r="AJ18" s="20">
        <v>6.8681349999999997</v>
      </c>
      <c r="AK18" s="20">
        <v>6.9253707000000002</v>
      </c>
      <c r="AL18" s="21">
        <v>6.3566039999999999</v>
      </c>
      <c r="AM18" s="5">
        <f t="shared" si="3"/>
        <v>-0.19040905000000041</v>
      </c>
      <c r="AN18" s="5">
        <v>6.9253706932067871</v>
      </c>
      <c r="AO18" s="5">
        <v>8.5092926025390625</v>
      </c>
      <c r="AP18" s="22">
        <v>8.5092926025390625</v>
      </c>
      <c r="AR18" s="5"/>
      <c r="AS18" s="19">
        <v>9.9649940000000008</v>
      </c>
      <c r="AT18" s="20">
        <v>9.9466439999999992</v>
      </c>
      <c r="AU18" s="20">
        <v>10.129132</v>
      </c>
      <c r="AV18" s="21">
        <v>11.138586999999999</v>
      </c>
      <c r="AW18" s="5">
        <f t="shared" si="4"/>
        <v>-0.83528749999999974</v>
      </c>
      <c r="AX18" s="5">
        <v>10.12913227081299</v>
      </c>
      <c r="AY18" s="5">
        <v>17.723371505737301</v>
      </c>
      <c r="AZ18" s="22">
        <v>17.723371505737301</v>
      </c>
      <c r="BB18" s="5"/>
      <c r="BC18" s="19">
        <v>1.3718984000000001</v>
      </c>
      <c r="BD18" s="20">
        <v>1.7648292999999999</v>
      </c>
      <c r="BE18" s="20">
        <v>1.7739640000000001</v>
      </c>
      <c r="BF18" s="21">
        <v>2.1489862999999998</v>
      </c>
      <c r="BG18" s="5">
        <f t="shared" si="5"/>
        <v>-0.12571175999999973</v>
      </c>
      <c r="BH18" s="5">
        <v>1.773964047431946</v>
      </c>
      <c r="BI18" s="5">
        <v>2.642823219299316</v>
      </c>
      <c r="BJ18" s="22">
        <v>2.642823219299316</v>
      </c>
      <c r="BL18" s="5"/>
      <c r="BM18" s="19">
        <v>3.5206897000000001</v>
      </c>
      <c r="BN18" s="20">
        <v>7.3846363999999998</v>
      </c>
      <c r="BO18" s="20">
        <v>7.5284485999999999</v>
      </c>
      <c r="BP18" s="21">
        <v>17.323252</v>
      </c>
      <c r="BQ18" s="5">
        <f t="shared" si="6"/>
        <v>-1.1681357800000001</v>
      </c>
      <c r="BR18" s="5">
        <v>7.5284485816955566</v>
      </c>
      <c r="BS18" s="5">
        <v>15.075961112976071</v>
      </c>
      <c r="BT18" s="22">
        <v>15.075961112976071</v>
      </c>
      <c r="BV18" s="5"/>
      <c r="BW18" s="19">
        <v>1.5714033000000001</v>
      </c>
      <c r="BX18" s="20">
        <v>1.9762766</v>
      </c>
      <c r="BY18" s="20">
        <v>1.9212442999999999</v>
      </c>
      <c r="BZ18" s="21">
        <v>3.5798410999999999</v>
      </c>
      <c r="CA18" s="5">
        <f t="shared" si="7"/>
        <v>-0.18701652000000024</v>
      </c>
      <c r="CB18" s="5">
        <v>1.921244263648987</v>
      </c>
      <c r="CC18" s="5">
        <v>3.4586410522460942</v>
      </c>
      <c r="CD18" s="22">
        <v>3.4586410522460942</v>
      </c>
      <c r="CG18">
        <v>1.976276636123657</v>
      </c>
      <c r="CH18">
        <v>3.4586410522460942</v>
      </c>
      <c r="CI18">
        <v>3.4586410522460942</v>
      </c>
      <c r="CL18">
        <v>1.5714032649993901</v>
      </c>
      <c r="CM18">
        <v>3.4586410522460942</v>
      </c>
      <c r="CN18">
        <v>3.4586410522460942</v>
      </c>
    </row>
    <row r="19" spans="1:92" x14ac:dyDescent="0.25">
      <c r="A19" s="38"/>
      <c r="B19" s="5">
        <v>7</v>
      </c>
      <c r="C19" s="18">
        <v>31</v>
      </c>
      <c r="E19" s="19">
        <v>86.048590000000004</v>
      </c>
      <c r="F19" s="20">
        <v>84.345789999999994</v>
      </c>
      <c r="G19" s="20">
        <v>86.103290000000001</v>
      </c>
      <c r="H19" s="21">
        <v>85.196550000000002</v>
      </c>
      <c r="I19" s="5">
        <f t="shared" si="0"/>
        <v>0.92637900000001139</v>
      </c>
      <c r="J19" s="5">
        <v>86.103286743164063</v>
      </c>
      <c r="K19" s="5">
        <v>77.235771179199219</v>
      </c>
      <c r="L19" s="22">
        <v>83.924125671386719</v>
      </c>
      <c r="M19" s="5"/>
      <c r="N19" s="5"/>
      <c r="O19" s="19">
        <v>71.589820000000003</v>
      </c>
      <c r="P19" s="20">
        <v>71.279070000000004</v>
      </c>
      <c r="Q19" s="20">
        <v>71.809905999999998</v>
      </c>
      <c r="R19" s="21">
        <v>72.110439999999997</v>
      </c>
      <c r="S19" s="5">
        <f t="shared" si="1"/>
        <v>1.1717813000000064</v>
      </c>
      <c r="T19" s="5">
        <v>71.809906005859375</v>
      </c>
      <c r="U19" s="5">
        <v>62.470417022705078</v>
      </c>
      <c r="V19" s="22">
        <v>72.394325256347656</v>
      </c>
      <c r="W19" s="5"/>
      <c r="X19" s="5"/>
      <c r="Y19" s="19">
        <v>9.0094189999999994</v>
      </c>
      <c r="Z19" s="20">
        <v>20.431562</v>
      </c>
      <c r="AA19" s="20">
        <v>9.5372620000000001</v>
      </c>
      <c r="AB19" s="21">
        <v>33.561176000000003</v>
      </c>
      <c r="AC19" s="5">
        <f t="shared" si="2"/>
        <v>-1.4884730000000008</v>
      </c>
      <c r="AD19" s="5">
        <v>9.5372619628906232</v>
      </c>
      <c r="AE19" s="5">
        <v>21.885885238647461</v>
      </c>
      <c r="AF19" s="22">
        <v>9.5303077697753906</v>
      </c>
      <c r="AG19" s="5"/>
      <c r="AH19" s="5"/>
      <c r="AI19" s="19">
        <v>6.4649229999999998</v>
      </c>
      <c r="AJ19" s="20">
        <v>6.8457229999999996</v>
      </c>
      <c r="AK19" s="20">
        <v>6.9142427</v>
      </c>
      <c r="AL19" s="21">
        <v>6.2809324000000002</v>
      </c>
      <c r="AM19" s="5">
        <f t="shared" si="3"/>
        <v>-0.18915305000000071</v>
      </c>
      <c r="AN19" s="5">
        <v>6.9142427444458008</v>
      </c>
      <c r="AO19" s="5">
        <v>8.5092926025390625</v>
      </c>
      <c r="AP19" s="22">
        <v>7.0517115592956543</v>
      </c>
      <c r="AR19" s="5"/>
      <c r="AS19" s="19">
        <v>10.036903000000001</v>
      </c>
      <c r="AT19" s="20">
        <v>9.8466339999999999</v>
      </c>
      <c r="AU19" s="20">
        <v>10.144845</v>
      </c>
      <c r="AV19" s="21">
        <v>11.154839000000001</v>
      </c>
      <c r="AW19" s="5">
        <f t="shared" si="4"/>
        <v>-0.76337849999999996</v>
      </c>
      <c r="AX19" s="5">
        <v>10.144845008850099</v>
      </c>
      <c r="AY19" s="5">
        <v>17.723371505737301</v>
      </c>
      <c r="AZ19" s="22">
        <v>8.7853021621704102</v>
      </c>
      <c r="BB19" s="5"/>
      <c r="BC19" s="19">
        <v>1.3718984000000001</v>
      </c>
      <c r="BD19" s="20">
        <v>1.7491893000000001</v>
      </c>
      <c r="BE19" s="20">
        <v>1.7739640000000001</v>
      </c>
      <c r="BF19" s="21">
        <v>2.1489862999999998</v>
      </c>
      <c r="BG19" s="5">
        <f t="shared" si="5"/>
        <v>-0.12571175999999973</v>
      </c>
      <c r="BH19" s="5">
        <v>1.773964047431946</v>
      </c>
      <c r="BI19" s="5">
        <v>2.642823219299316</v>
      </c>
      <c r="BJ19" s="22">
        <v>1.6555285453796389</v>
      </c>
      <c r="BL19" s="5"/>
      <c r="BM19" s="19">
        <v>3.5780436999999998</v>
      </c>
      <c r="BN19" s="20">
        <v>7.3537226000000002</v>
      </c>
      <c r="BO19" s="20">
        <v>7.5527249999999997</v>
      </c>
      <c r="BP19" s="21">
        <v>17.323235</v>
      </c>
      <c r="BQ19" s="5">
        <f t="shared" si="6"/>
        <v>-1.1107817800000004</v>
      </c>
      <c r="BR19" s="5">
        <v>7.5527248382568359</v>
      </c>
      <c r="BS19" s="5">
        <v>15.075961112976071</v>
      </c>
      <c r="BT19" s="22">
        <v>3.4538557529449458</v>
      </c>
      <c r="BV19" s="5"/>
      <c r="BW19" s="19">
        <v>1.5683737</v>
      </c>
      <c r="BX19" s="20">
        <v>2.0067941999999999</v>
      </c>
      <c r="BY19" s="20">
        <v>1.9212442999999999</v>
      </c>
      <c r="BZ19" s="21">
        <v>3.5993946000000001</v>
      </c>
      <c r="CA19" s="5">
        <f t="shared" si="7"/>
        <v>-0.19004612000000032</v>
      </c>
      <c r="CB19" s="5">
        <v>1.921244263648987</v>
      </c>
      <c r="CC19" s="5">
        <v>3.4586410522460942</v>
      </c>
      <c r="CD19" s="22">
        <v>1.2808796167373659</v>
      </c>
      <c r="CG19">
        <v>2.0067942142486568</v>
      </c>
      <c r="CH19">
        <v>3.4586410522460942</v>
      </c>
      <c r="CI19">
        <v>1.177248477935791</v>
      </c>
      <c r="CL19">
        <v>1.5683736801147461</v>
      </c>
      <c r="CM19">
        <v>3.4586410522460942</v>
      </c>
      <c r="CN19">
        <v>1.1961414813995359</v>
      </c>
    </row>
    <row r="20" spans="1:92" x14ac:dyDescent="0.25">
      <c r="A20" s="38"/>
      <c r="B20" s="5">
        <v>8</v>
      </c>
      <c r="C20" s="18">
        <v>36</v>
      </c>
      <c r="E20" s="19">
        <v>86.028509999999997</v>
      </c>
      <c r="F20" s="20">
        <v>85.296030000000002</v>
      </c>
      <c r="G20" s="20">
        <v>86.094800000000006</v>
      </c>
      <c r="H20" s="21">
        <v>85.332210000000003</v>
      </c>
      <c r="I20" s="5">
        <f t="shared" si="0"/>
        <v>0.90629900000000418</v>
      </c>
      <c r="J20" s="5">
        <f t="shared" ref="J20:K22" si="8">IF(OR(F20="",F20="NaN"),"",F20-AVERAGE(F$13:F$22))</f>
        <v>0.26448350000001142</v>
      </c>
      <c r="K20" s="5">
        <f t="shared" si="8"/>
        <v>6.5744400000014025E-2</v>
      </c>
      <c r="L20" s="22">
        <v>83.775810241699219</v>
      </c>
      <c r="M20" s="5"/>
      <c r="N20" s="5"/>
      <c r="O20" s="19">
        <v>71.524259999999998</v>
      </c>
      <c r="P20" s="20">
        <v>71.313254999999998</v>
      </c>
      <c r="Q20" s="20">
        <v>72.261189999999999</v>
      </c>
      <c r="R20" s="21">
        <v>72.064999999999998</v>
      </c>
      <c r="S20" s="5">
        <f t="shared" si="1"/>
        <v>1.1062213000000014</v>
      </c>
      <c r="T20" s="5">
        <f t="shared" ref="T20:U22" si="9">IF(OR(P20="",P20="NaN"),"",P20-AVERAGE(P$13:P$22))</f>
        <v>4.8173999999931993E-3</v>
      </c>
      <c r="U20" s="5">
        <f t="shared" si="9"/>
        <v>0.45522629999999253</v>
      </c>
      <c r="V20" s="22">
        <v>72.341781616210938</v>
      </c>
      <c r="W20" s="5"/>
      <c r="X20" s="5"/>
      <c r="Y20" s="19">
        <v>9.0488789999999995</v>
      </c>
      <c r="Z20" s="20">
        <v>20.472418000000001</v>
      </c>
      <c r="AA20" s="20">
        <v>9.532451</v>
      </c>
      <c r="AB20" s="21">
        <v>32.024208000000002</v>
      </c>
      <c r="AC20" s="5">
        <f t="shared" si="2"/>
        <v>-1.4490130000000008</v>
      </c>
      <c r="AD20" s="5">
        <f t="shared" ref="AD20:AE22" si="10">IF(OR(Z20="",Z20="NaN"),"",Z20-AVERAGE(Z$13:Z$22))</f>
        <v>5.5540465000000001</v>
      </c>
      <c r="AE20" s="5">
        <f t="shared" si="10"/>
        <v>-1.1185897000000011</v>
      </c>
      <c r="AF20" s="22">
        <v>9.9128437042236328</v>
      </c>
      <c r="AG20" s="5"/>
      <c r="AH20" s="5"/>
      <c r="AI20" s="19">
        <v>6.46793</v>
      </c>
      <c r="AJ20" s="20">
        <v>6.8845409999999996</v>
      </c>
      <c r="AK20" s="20">
        <v>6.9340763000000001</v>
      </c>
      <c r="AL20" s="21">
        <v>6.2905179999999996</v>
      </c>
      <c r="AM20" s="5">
        <f t="shared" si="3"/>
        <v>-0.18614605000000051</v>
      </c>
      <c r="AN20" s="5">
        <f t="shared" ref="AN20:AO22" si="11">IF(OR(AJ20="",AJ20="NaN"),"",AJ20-AVERAGE(AJ$13:AJ$22))</f>
        <v>1.4273199999998987E-2</v>
      </c>
      <c r="AO20" s="5">
        <f t="shared" si="11"/>
        <v>1.4136919999999442E-2</v>
      </c>
      <c r="AP20" s="22">
        <v>7.0578732490539551</v>
      </c>
      <c r="AR20" s="5"/>
      <c r="AS20" s="19">
        <v>9.9649940000000008</v>
      </c>
      <c r="AT20" s="20">
        <v>9.8171660000000003</v>
      </c>
      <c r="AU20" s="20">
        <v>9.8079900000000002</v>
      </c>
      <c r="AV20" s="21">
        <v>11.196534</v>
      </c>
      <c r="AW20" s="5">
        <f t="shared" si="4"/>
        <v>-0.83528749999999974</v>
      </c>
      <c r="AX20" s="5">
        <f t="shared" ref="AX20:AY22" si="12">IF(OR(AT20="",AT20="NaN"),"",AT20-AVERAGE(AT$13:AT$22))</f>
        <v>-8.0822200000000066E-2</v>
      </c>
      <c r="AY20" s="5">
        <f t="shared" si="12"/>
        <v>-0.28600469999999945</v>
      </c>
      <c r="AZ20" s="22">
        <v>8.6702919006347656</v>
      </c>
      <c r="BB20" s="5"/>
      <c r="BC20" s="19">
        <v>1.3718984000000001</v>
      </c>
      <c r="BD20" s="20">
        <v>1.7648292999999999</v>
      </c>
      <c r="BE20" s="20">
        <v>1.5299954</v>
      </c>
      <c r="BF20" s="21">
        <v>2.1801379999999999</v>
      </c>
      <c r="BG20" s="5">
        <f t="shared" si="5"/>
        <v>-0.12571175999999973</v>
      </c>
      <c r="BH20" s="5">
        <f t="shared" ref="BH20:BI22" si="13">IF(OR(BD20="",BD20="NaN"),"",BD20-AVERAGE(BD$13:BD$22))</f>
        <v>5.6570730000000014E-2</v>
      </c>
      <c r="BI20" s="5">
        <f t="shared" si="13"/>
        <v>-0.11509155999999998</v>
      </c>
      <c r="BJ20" s="22">
        <v>1.7552337646484379</v>
      </c>
      <c r="BL20" s="5"/>
      <c r="BM20" s="19">
        <v>3.5478334</v>
      </c>
      <c r="BN20" s="20">
        <v>7.3559045999999997</v>
      </c>
      <c r="BO20" s="20">
        <v>7.1722435999999998</v>
      </c>
      <c r="BP20" s="21">
        <v>16.955279999999998</v>
      </c>
      <c r="BQ20" s="5">
        <f t="shared" si="6"/>
        <v>-1.1409920800000002</v>
      </c>
      <c r="BR20" s="5">
        <f t="shared" ref="BR20:BS22" si="14">IF(OR(BN20="",BN20="NaN"),"",BN20-AVERAGE(BN$13:BN$22))</f>
        <v>0.42031348999999985</v>
      </c>
      <c r="BS20" s="5">
        <f t="shared" si="14"/>
        <v>7.1561849999998373E-2</v>
      </c>
      <c r="BT20" s="22">
        <v>3.852477073669434</v>
      </c>
      <c r="BV20" s="5"/>
      <c r="BW20" s="19">
        <v>1.5705578</v>
      </c>
      <c r="BX20" s="20">
        <v>1.9544902</v>
      </c>
      <c r="BY20" s="20">
        <v>1.7136039999999999</v>
      </c>
      <c r="BZ20" s="21">
        <v>3.4062999999999999</v>
      </c>
      <c r="CA20" s="5">
        <f t="shared" si="7"/>
        <v>-0.1878620200000003</v>
      </c>
      <c r="CB20" s="5">
        <f t="shared" ref="CB20:CC22" si="15">IF(OR(BX20="",BX20="NaN"),"",BX20-AVERAGE(BX$13:BX$22))</f>
        <v>-1.0665530000000034E-2</v>
      </c>
      <c r="CC20" s="5">
        <f t="shared" si="15"/>
        <v>-0.16713515999999995</v>
      </c>
      <c r="CD20" s="22">
        <v>1.278810381889343</v>
      </c>
      <c r="CI20">
        <v>1.197988748550415</v>
      </c>
      <c r="CN20">
        <v>1.247045040130615</v>
      </c>
    </row>
    <row r="21" spans="1:92" x14ac:dyDescent="0.25">
      <c r="A21" s="38"/>
      <c r="B21" s="5">
        <v>9</v>
      </c>
      <c r="C21" s="18">
        <v>41</v>
      </c>
      <c r="E21" s="19">
        <v>85.697685000000007</v>
      </c>
      <c r="F21" s="20">
        <v>85.741309999999999</v>
      </c>
      <c r="G21" s="20">
        <v>85.856894999999994</v>
      </c>
      <c r="H21" s="21">
        <v>85.032809999999998</v>
      </c>
      <c r="I21" s="5">
        <f t="shared" si="0"/>
        <v>0.57547400000001403</v>
      </c>
      <c r="J21" s="5">
        <f t="shared" si="8"/>
        <v>0.70976350000000821</v>
      </c>
      <c r="K21" s="5">
        <f t="shared" si="8"/>
        <v>-0.172160599999998</v>
      </c>
      <c r="L21" s="22">
        <v>83.312255859375</v>
      </c>
      <c r="M21" s="5"/>
      <c r="N21" s="5"/>
      <c r="O21" s="19">
        <v>71.633340000000004</v>
      </c>
      <c r="P21" s="20">
        <v>71.571235999999999</v>
      </c>
      <c r="Q21" s="20">
        <v>71.840850000000003</v>
      </c>
      <c r="R21" s="21">
        <v>72.297104000000004</v>
      </c>
      <c r="S21" s="5">
        <f t="shared" si="1"/>
        <v>1.2153013000000072</v>
      </c>
      <c r="T21" s="5">
        <f t="shared" si="9"/>
        <v>0.2627983999999941</v>
      </c>
      <c r="U21" s="5">
        <f t="shared" si="9"/>
        <v>3.4886299999996595E-2</v>
      </c>
      <c r="V21" s="22">
        <v>72.394874572753906</v>
      </c>
      <c r="W21" s="5"/>
      <c r="X21" s="5"/>
      <c r="Y21" s="19">
        <v>9.7829090000000001</v>
      </c>
      <c r="Z21" s="20">
        <v>9.3507309999999997</v>
      </c>
      <c r="AA21" s="20">
        <v>20.686523000000001</v>
      </c>
      <c r="AB21" s="21">
        <v>32.535072</v>
      </c>
      <c r="AC21" s="5">
        <f t="shared" si="2"/>
        <v>-0.71498300000000015</v>
      </c>
      <c r="AD21" s="5">
        <f t="shared" si="10"/>
        <v>-5.5676405000000013</v>
      </c>
      <c r="AE21" s="5">
        <f t="shared" si="10"/>
        <v>10.0354823</v>
      </c>
      <c r="AF21" s="22">
        <v>10.012308120727541</v>
      </c>
      <c r="AG21" s="5"/>
      <c r="AH21" s="5"/>
      <c r="AI21" s="19">
        <v>6.46793</v>
      </c>
      <c r="AJ21" s="20">
        <v>6.8845409999999996</v>
      </c>
      <c r="AK21" s="20">
        <v>6.9679820000000001</v>
      </c>
      <c r="AL21" s="21">
        <v>6.3701897000000001</v>
      </c>
      <c r="AM21" s="5">
        <f t="shared" si="3"/>
        <v>-0.18614605000000051</v>
      </c>
      <c r="AN21" s="5">
        <f t="shared" si="11"/>
        <v>1.4273199999998987E-2</v>
      </c>
      <c r="AO21" s="5">
        <f t="shared" si="11"/>
        <v>4.8042619999999481E-2</v>
      </c>
      <c r="AP21" s="22">
        <v>7.1292819976806641</v>
      </c>
      <c r="AR21" s="5"/>
      <c r="AS21" s="19">
        <v>9.9510520000000007</v>
      </c>
      <c r="AT21" s="20">
        <v>9.8045950000000008</v>
      </c>
      <c r="AU21" s="20">
        <v>10.172701</v>
      </c>
      <c r="AV21" s="21">
        <v>11.197164000000001</v>
      </c>
      <c r="AW21" s="5">
        <f t="shared" si="4"/>
        <v>-0.84922949999999986</v>
      </c>
      <c r="AX21" s="5">
        <f t="shared" si="12"/>
        <v>-9.339319999999951E-2</v>
      </c>
      <c r="AY21" s="5">
        <f t="shared" si="12"/>
        <v>7.870630000000034E-2</v>
      </c>
      <c r="AZ21" s="22">
        <v>8.8646173477172852</v>
      </c>
      <c r="BB21" s="5"/>
      <c r="BC21" s="19">
        <v>1.3718984000000001</v>
      </c>
      <c r="BD21" s="20">
        <v>1.7739640000000001</v>
      </c>
      <c r="BE21" s="20">
        <v>1.7739640000000001</v>
      </c>
      <c r="BF21" s="21">
        <v>2.1770113000000002</v>
      </c>
      <c r="BG21" s="5">
        <f t="shared" si="5"/>
        <v>-0.12571175999999973</v>
      </c>
      <c r="BH21" s="5">
        <f t="shared" si="13"/>
        <v>6.5705430000000176E-2</v>
      </c>
      <c r="BI21" s="5">
        <f t="shared" si="13"/>
        <v>0.12887704000000011</v>
      </c>
      <c r="BJ21" s="22">
        <v>1.752901554107666</v>
      </c>
      <c r="BL21" s="5"/>
      <c r="BM21" s="19">
        <v>3.4739702000000001</v>
      </c>
      <c r="BN21" s="20">
        <v>7.37622</v>
      </c>
      <c r="BO21" s="20">
        <v>7.5219990000000001</v>
      </c>
      <c r="BP21" s="21">
        <v>16.750143000000001</v>
      </c>
      <c r="BQ21" s="5">
        <f t="shared" si="6"/>
        <v>-1.2148552800000001</v>
      </c>
      <c r="BR21" s="5">
        <f t="shared" si="14"/>
        <v>0.44062889000000016</v>
      </c>
      <c r="BS21" s="5">
        <f t="shared" si="14"/>
        <v>0.42131724999999864</v>
      </c>
      <c r="BT21" s="22">
        <v>3.8520400524139409</v>
      </c>
      <c r="BV21" s="5"/>
      <c r="BW21" s="19">
        <v>1.5705578</v>
      </c>
      <c r="BX21" s="20">
        <v>1.9561663</v>
      </c>
      <c r="BY21" s="20">
        <v>1.9867731</v>
      </c>
      <c r="BZ21" s="21">
        <v>3.5206940000000002</v>
      </c>
      <c r="CA21" s="5">
        <f t="shared" si="7"/>
        <v>-0.1878620200000003</v>
      </c>
      <c r="CB21" s="5">
        <f t="shared" si="15"/>
        <v>-8.9894299999999649E-3</v>
      </c>
      <c r="CC21" s="5">
        <f t="shared" si="15"/>
        <v>0.1060339400000001</v>
      </c>
      <c r="CD21" s="22">
        <v>1.445070266723633</v>
      </c>
      <c r="CI21">
        <v>1.221188545227051</v>
      </c>
      <c r="CN21">
        <v>1.272852897644043</v>
      </c>
    </row>
    <row r="22" spans="1:92" x14ac:dyDescent="0.25">
      <c r="A22" s="39"/>
      <c r="B22" s="23">
        <v>10</v>
      </c>
      <c r="C22" s="24">
        <v>46</v>
      </c>
      <c r="E22" s="25">
        <v>77.235770000000002</v>
      </c>
      <c r="F22" s="26">
        <v>84.296300000000002</v>
      </c>
      <c r="G22" s="26">
        <v>86.060540000000003</v>
      </c>
      <c r="H22" s="27">
        <v>84.913409999999999</v>
      </c>
      <c r="I22" s="23">
        <f t="shared" si="0"/>
        <v>-7.8864409999999907</v>
      </c>
      <c r="J22" s="23">
        <f t="shared" si="8"/>
        <v>-0.73524649999998815</v>
      </c>
      <c r="K22" s="23">
        <f t="shared" si="8"/>
        <v>3.1484400000010737E-2</v>
      </c>
      <c r="L22" s="28">
        <v>83.725410461425781</v>
      </c>
      <c r="M22" s="5"/>
      <c r="N22" s="5"/>
      <c r="O22" s="25">
        <v>62.470416999999998</v>
      </c>
      <c r="P22" s="26">
        <v>71.380904999999998</v>
      </c>
      <c r="Q22" s="26">
        <v>71.990166000000002</v>
      </c>
      <c r="R22" s="27">
        <v>72.205349999999996</v>
      </c>
      <c r="S22" s="23">
        <f t="shared" si="1"/>
        <v>-7.9476216999999991</v>
      </c>
      <c r="T22" s="23">
        <f t="shared" si="9"/>
        <v>7.2467399999993631E-2</v>
      </c>
      <c r="U22" s="23">
        <f t="shared" si="9"/>
        <v>0.18420229999999549</v>
      </c>
      <c r="V22" s="28">
        <v>72.112236022949219</v>
      </c>
      <c r="W22" s="5"/>
      <c r="X22" s="5"/>
      <c r="Y22" s="25">
        <v>21.885884999999998</v>
      </c>
      <c r="Z22" s="26">
        <v>20.534136</v>
      </c>
      <c r="AA22" s="26">
        <v>9.5476500000000009</v>
      </c>
      <c r="AB22" s="27">
        <v>34.011817999999998</v>
      </c>
      <c r="AC22" s="23">
        <f t="shared" si="2"/>
        <v>11.387992999999998</v>
      </c>
      <c r="AD22" s="23">
        <f t="shared" si="10"/>
        <v>5.6157644999999992</v>
      </c>
      <c r="AE22" s="23">
        <f t="shared" si="10"/>
        <v>-1.1033907000000003</v>
      </c>
      <c r="AF22" s="28">
        <v>10.62147331237793</v>
      </c>
      <c r="AG22" s="5"/>
      <c r="AH22" s="5"/>
      <c r="AI22" s="25">
        <v>8.5092929999999996</v>
      </c>
      <c r="AJ22" s="26">
        <v>6.8744807000000003</v>
      </c>
      <c r="AK22" s="26">
        <v>6.9679820000000001</v>
      </c>
      <c r="AL22" s="27">
        <v>6.2809324000000002</v>
      </c>
      <c r="AM22" s="23">
        <f t="shared" si="3"/>
        <v>1.8552169499999991</v>
      </c>
      <c r="AN22" s="23">
        <f t="shared" si="11"/>
        <v>4.2128999999997419E-3</v>
      </c>
      <c r="AO22" s="23">
        <f t="shared" si="11"/>
        <v>4.8042619999999481E-2</v>
      </c>
      <c r="AP22" s="28">
        <v>7.171666145324707</v>
      </c>
      <c r="AR22" s="5"/>
      <c r="AS22" s="25">
        <v>17.723372000000001</v>
      </c>
      <c r="AT22" s="26">
        <v>9.7385990000000007</v>
      </c>
      <c r="AU22" s="26">
        <v>9.8792969999999993</v>
      </c>
      <c r="AV22" s="27">
        <v>11.185979</v>
      </c>
      <c r="AW22" s="23">
        <f t="shared" si="4"/>
        <v>6.9230905000000007</v>
      </c>
      <c r="AX22" s="23">
        <f t="shared" si="12"/>
        <v>-0.15938919999999968</v>
      </c>
      <c r="AY22" s="23">
        <f t="shared" si="12"/>
        <v>-0.21469770000000032</v>
      </c>
      <c r="AZ22" s="28">
        <v>8.7891273498535156</v>
      </c>
      <c r="BB22" s="5"/>
      <c r="BC22" s="25">
        <v>2.6428232</v>
      </c>
      <c r="BD22" s="26">
        <v>1.7648292999999999</v>
      </c>
      <c r="BE22" s="26">
        <v>1.7739640000000001</v>
      </c>
      <c r="BF22" s="27">
        <v>2.1489862999999998</v>
      </c>
      <c r="BG22" s="23">
        <f t="shared" si="5"/>
        <v>1.1452130400000002</v>
      </c>
      <c r="BH22" s="23">
        <f t="shared" si="13"/>
        <v>5.6570730000000014E-2</v>
      </c>
      <c r="BI22" s="23">
        <f t="shared" si="13"/>
        <v>0.12887704000000011</v>
      </c>
      <c r="BJ22" s="28">
        <v>1.7559449672698979</v>
      </c>
      <c r="BL22" s="5"/>
      <c r="BM22" s="25">
        <v>15.075961</v>
      </c>
      <c r="BN22" s="26">
        <v>7.0285589999999996</v>
      </c>
      <c r="BO22" s="26">
        <v>7.5122004000000002</v>
      </c>
      <c r="BP22" s="27">
        <v>16.899737999999999</v>
      </c>
      <c r="BQ22" s="23">
        <f t="shared" si="6"/>
        <v>10.387135519999999</v>
      </c>
      <c r="BR22" s="23">
        <f t="shared" si="14"/>
        <v>9.296788999999972E-2</v>
      </c>
      <c r="BS22" s="23">
        <f t="shared" si="14"/>
        <v>0.41151864999999876</v>
      </c>
      <c r="BT22" s="28">
        <v>4.1478228569030762</v>
      </c>
      <c r="BV22" s="5"/>
      <c r="BW22" s="25">
        <v>3.4586410000000001</v>
      </c>
      <c r="BX22" s="26">
        <v>1.9762766</v>
      </c>
      <c r="BY22" s="26">
        <v>1.8477428</v>
      </c>
      <c r="BZ22" s="27">
        <v>3.5143806999999998</v>
      </c>
      <c r="CA22" s="23">
        <f t="shared" si="7"/>
        <v>1.7002211799999998</v>
      </c>
      <c r="CB22" s="23">
        <f t="shared" si="15"/>
        <v>1.112087000000006E-2</v>
      </c>
      <c r="CC22" s="23">
        <f t="shared" si="15"/>
        <v>-3.2996359999999836E-2</v>
      </c>
      <c r="CD22" s="28">
        <v>1.5589039325714109</v>
      </c>
      <c r="CI22">
        <v>1.231154084205627</v>
      </c>
      <c r="CN22">
        <v>1.2247854471206669</v>
      </c>
    </row>
    <row r="23" spans="1:92" x14ac:dyDescent="0.25">
      <c r="A23" s="37">
        <v>2</v>
      </c>
      <c r="B23" s="12">
        <v>1</v>
      </c>
      <c r="C23" s="13">
        <v>2</v>
      </c>
      <c r="E23" s="14">
        <v>77.235770000000002</v>
      </c>
      <c r="F23" s="15">
        <v>77.235770000000002</v>
      </c>
      <c r="G23" s="15">
        <v>77.235770000000002</v>
      </c>
      <c r="H23" s="16">
        <v>77.235770000000002</v>
      </c>
      <c r="I23" s="12">
        <f t="shared" ref="I23:I32" si="16">IF(OR(E23="",E23="NaN"),"",E23-AVERAGE(E$23:E$32))</f>
        <v>0</v>
      </c>
      <c r="J23" s="12">
        <f t="shared" ref="J23:J32" si="17">IF(OR(F23="",F23="NaN"),"",F23-AVERAGE(F$23:F$32))</f>
        <v>0</v>
      </c>
      <c r="K23" s="12">
        <f t="shared" ref="K23:K32" si="18">IF(OR(G23="",G23="NaN"),"",G23-AVERAGE(G$23:G$32))</f>
        <v>0</v>
      </c>
      <c r="L23" s="17">
        <v>83.602287292480469</v>
      </c>
      <c r="M23" s="5"/>
      <c r="N23" s="5"/>
      <c r="O23" s="14">
        <v>62.470416999999998</v>
      </c>
      <c r="P23" s="15">
        <v>62.470416999999998</v>
      </c>
      <c r="Q23" s="15">
        <v>62.470416999999998</v>
      </c>
      <c r="R23" s="16">
        <v>62.470416999999998</v>
      </c>
      <c r="S23" s="12">
        <f t="shared" ref="S23:S32" si="19">IF(OR(O23="",O23="NaN"),"",O23-AVERAGE(O$23:O$32))</f>
        <v>0</v>
      </c>
      <c r="T23" s="12">
        <f t="shared" ref="T23:T32" si="20">IF(OR(P23="",P23="NaN"),"",P23-AVERAGE(P$23:P$32))</f>
        <v>0</v>
      </c>
      <c r="U23" s="12">
        <f t="shared" ref="U23:U32" si="21">IF(OR(Q23="",Q23="NaN"),"",Q23-AVERAGE(Q$23:Q$32))</f>
        <v>0</v>
      </c>
      <c r="V23" s="17">
        <v>72.395492553710938</v>
      </c>
      <c r="W23" s="5"/>
      <c r="X23" s="5"/>
      <c r="Y23" s="14">
        <v>21.885884999999998</v>
      </c>
      <c r="Z23" s="15">
        <v>21.885884999999998</v>
      </c>
      <c r="AA23" s="15">
        <v>21.885884999999998</v>
      </c>
      <c r="AB23" s="16">
        <v>21.885884999999998</v>
      </c>
      <c r="AC23" s="12">
        <f t="shared" ref="AC23:AC32" si="22">IF(OR(Y23="",Y23="NaN"),"",Y23-AVERAGE(Y$23:Y$32))</f>
        <v>0</v>
      </c>
      <c r="AD23" s="12">
        <f t="shared" ref="AD23:AD32" si="23">IF(OR(Z23="",Z23="NaN"),"",Z23-AVERAGE(Z$23:Z$32))</f>
        <v>0</v>
      </c>
      <c r="AE23" s="12">
        <f t="shared" ref="AE23:AE32" si="24">IF(OR(AA23="",AA23="NaN"),"",AA23-AVERAGE(AA$23:AA$32))</f>
        <v>0</v>
      </c>
      <c r="AF23" s="17">
        <v>9.7191314697265625</v>
      </c>
      <c r="AG23" s="5"/>
      <c r="AH23" s="5"/>
      <c r="AI23" s="14">
        <v>8.5092929999999996</v>
      </c>
      <c r="AJ23" s="15">
        <v>8.5092929999999996</v>
      </c>
      <c r="AK23" s="15">
        <v>8.5092929999999996</v>
      </c>
      <c r="AL23" s="16">
        <v>8.5092929999999996</v>
      </c>
      <c r="AM23" s="12">
        <f t="shared" ref="AM23:AM32" si="25">IF(OR(AI23="",AI23="NaN"),"",AI23-AVERAGE(AI$23:AI$32))</f>
        <v>0</v>
      </c>
      <c r="AN23" s="12">
        <f t="shared" ref="AN23:AN32" si="26">IF(OR(AJ23="",AJ23="NaN"),"",AJ23-AVERAGE(AJ$23:AJ$32))</f>
        <v>0</v>
      </c>
      <c r="AO23" s="12">
        <f t="shared" ref="AO23:AO32" si="27">IF(OR(AK23="",AK23="NaN"),"",AK23-AVERAGE(AK$23:AK$32))</f>
        <v>0</v>
      </c>
      <c r="AP23" s="17">
        <v>7.1442408561706543</v>
      </c>
      <c r="AR23" s="5"/>
      <c r="AS23" s="14">
        <v>17.723372000000001</v>
      </c>
      <c r="AT23" s="15">
        <v>17.723372000000001</v>
      </c>
      <c r="AU23" s="15">
        <v>17.723372000000001</v>
      </c>
      <c r="AV23" s="16">
        <v>17.723372000000001</v>
      </c>
      <c r="AW23" s="12">
        <f t="shared" ref="AW23:AW32" si="28">IF(OR(AS23="",AS23="NaN"),"",AS23-AVERAGE(AS$23:AS$32))</f>
        <v>-3.5527136788005009E-15</v>
      </c>
      <c r="AX23" s="12">
        <f t="shared" ref="AX23:AX32" si="29">IF(OR(AT23="",AT23="NaN"),"",AT23-AVERAGE(AT$23:AT$32))</f>
        <v>-3.5527136788005009E-15</v>
      </c>
      <c r="AY23" s="12">
        <f t="shared" ref="AY23:AY32" si="30">IF(OR(AU23="",AU23="NaN"),"",AU23-AVERAGE(AU$23:AU$32))</f>
        <v>-3.5527136788005009E-15</v>
      </c>
      <c r="AZ23" s="17">
        <v>8.7709074020385742</v>
      </c>
      <c r="BB23" s="5"/>
      <c r="BC23" s="14">
        <v>2.6428232</v>
      </c>
      <c r="BD23" s="15">
        <v>2.6428232</v>
      </c>
      <c r="BE23" s="15">
        <v>2.6428232</v>
      </c>
      <c r="BF23" s="16">
        <v>2.6428232</v>
      </c>
      <c r="BG23" s="12">
        <f t="shared" ref="BG23:BG32" si="31">IF(OR(BC23="",BC23="NaN"),"",BC23-AVERAGE(BC$23:BC$32))</f>
        <v>4.4408920985006262E-16</v>
      </c>
      <c r="BH23" s="12">
        <f t="shared" ref="BH23:BH32" si="32">IF(OR(BD23="",BD23="NaN"),"",BD23-AVERAGE(BD$23:BD$32))</f>
        <v>4.4408920985006262E-16</v>
      </c>
      <c r="BI23" s="12">
        <f t="shared" ref="BI23:BI32" si="33">IF(OR(BE23="",BE23="NaN"),"",BE23-AVERAGE(BE$23:BE$32))</f>
        <v>4.4408920985006262E-16</v>
      </c>
      <c r="BJ23" s="17">
        <v>1.7559449672698979</v>
      </c>
      <c r="BL23" s="5"/>
      <c r="BM23" s="14">
        <v>15.075961</v>
      </c>
      <c r="BN23" s="15">
        <v>15.075961</v>
      </c>
      <c r="BO23" s="15">
        <v>15.075961</v>
      </c>
      <c r="BP23" s="16">
        <v>15.075961</v>
      </c>
      <c r="BQ23" s="12">
        <f t="shared" ref="BQ23:BQ32" si="34">IF(OR(BM23="",BM23="NaN"),"",BM23-AVERAGE(BM$23:BM$32))</f>
        <v>-3.5527136788005009E-15</v>
      </c>
      <c r="BR23" s="12">
        <f t="shared" ref="BR23:BR32" si="35">IF(OR(BN23="",BN23="NaN"),"",BN23-AVERAGE(BN$23:BN$32))</f>
        <v>-3.5527136788005009E-15</v>
      </c>
      <c r="BS23" s="12">
        <f t="shared" ref="BS23:BS32" si="36">IF(OR(BO23="",BO23="NaN"),"",BO23-AVERAGE(BO$23:BO$32))</f>
        <v>-3.5527136788005009E-15</v>
      </c>
      <c r="BT23" s="17">
        <v>4.1098790168762207</v>
      </c>
      <c r="BV23" s="5"/>
      <c r="BW23" s="14">
        <v>3.4586410000000001</v>
      </c>
      <c r="BX23" s="15">
        <v>3.4586410000000001</v>
      </c>
      <c r="BY23" s="15">
        <v>3.4586410000000001</v>
      </c>
      <c r="BZ23" s="16">
        <v>3.4586410000000001</v>
      </c>
      <c r="CA23" s="12">
        <f t="shared" ref="CA23:CA32" si="37">IF(OR(BW23="",BW23="NaN"),"",BW23-AVERAGE(BW$23:BW$32))</f>
        <v>0</v>
      </c>
      <c r="CB23" s="12">
        <f t="shared" ref="CB23:CB32" si="38">IF(OR(BX23="",BX23="NaN"),"",BX23-AVERAGE(BX$23:BX$32))</f>
        <v>0</v>
      </c>
      <c r="CC23" s="12">
        <f t="shared" ref="CC23:CC32" si="39">IF(OR(BY23="",BY23="NaN"),"",BY23-AVERAGE(BY$23:BY$32))</f>
        <v>0</v>
      </c>
      <c r="CD23" s="17">
        <v>1.434836268424988</v>
      </c>
      <c r="CI23">
        <v>1.217955350875854</v>
      </c>
      <c r="CN23">
        <v>1.219407439231873</v>
      </c>
    </row>
    <row r="24" spans="1:92" x14ac:dyDescent="0.25">
      <c r="A24" s="38"/>
      <c r="B24" s="5">
        <v>2</v>
      </c>
      <c r="C24" s="18">
        <v>7</v>
      </c>
      <c r="E24" s="19">
        <v>77.235770000000002</v>
      </c>
      <c r="F24" s="20">
        <v>77.235770000000002</v>
      </c>
      <c r="G24" s="20">
        <v>77.235770000000002</v>
      </c>
      <c r="H24" s="21">
        <v>77.235770000000002</v>
      </c>
      <c r="I24" s="5">
        <f t="shared" si="16"/>
        <v>0</v>
      </c>
      <c r="J24" s="5">
        <f t="shared" si="17"/>
        <v>0</v>
      </c>
      <c r="K24" s="5">
        <f t="shared" si="18"/>
        <v>0</v>
      </c>
      <c r="L24" s="22">
        <v>83.690040588378906</v>
      </c>
      <c r="M24" s="5"/>
      <c r="N24" s="5"/>
      <c r="O24" s="19">
        <v>62.470416999999998</v>
      </c>
      <c r="P24" s="20">
        <v>62.470416999999998</v>
      </c>
      <c r="Q24" s="20">
        <v>62.470416999999998</v>
      </c>
      <c r="R24" s="21">
        <v>62.470416999999998</v>
      </c>
      <c r="S24" s="5">
        <f t="shared" si="19"/>
        <v>0</v>
      </c>
      <c r="T24" s="5">
        <f t="shared" si="20"/>
        <v>0</v>
      </c>
      <c r="U24" s="5">
        <f t="shared" si="21"/>
        <v>0</v>
      </c>
      <c r="V24" s="22">
        <v>72.474510192871094</v>
      </c>
      <c r="W24" s="5"/>
      <c r="X24" s="5"/>
      <c r="Y24" s="19">
        <v>21.885884999999998</v>
      </c>
      <c r="Z24" s="20">
        <v>21.885884999999998</v>
      </c>
      <c r="AA24" s="20">
        <v>21.885884999999998</v>
      </c>
      <c r="AB24" s="21">
        <v>21.885884999999998</v>
      </c>
      <c r="AC24" s="5">
        <f t="shared" si="22"/>
        <v>0</v>
      </c>
      <c r="AD24" s="5">
        <f t="shared" si="23"/>
        <v>0</v>
      </c>
      <c r="AE24" s="5">
        <f t="shared" si="24"/>
        <v>0</v>
      </c>
      <c r="AF24" s="22">
        <v>10.617691993713381</v>
      </c>
      <c r="AG24" s="5"/>
      <c r="AH24" s="5"/>
      <c r="AI24" s="19">
        <v>8.5092929999999996</v>
      </c>
      <c r="AJ24" s="20">
        <v>8.5092929999999996</v>
      </c>
      <c r="AK24" s="20">
        <v>8.5092929999999996</v>
      </c>
      <c r="AL24" s="21">
        <v>8.5092929999999996</v>
      </c>
      <c r="AM24" s="5">
        <f t="shared" si="25"/>
        <v>0</v>
      </c>
      <c r="AN24" s="5">
        <f t="shared" si="26"/>
        <v>0</v>
      </c>
      <c r="AO24" s="5">
        <f t="shared" si="27"/>
        <v>0</v>
      </c>
      <c r="AP24" s="22">
        <v>7.0682163238525391</v>
      </c>
      <c r="AR24" s="5"/>
      <c r="AS24" s="19">
        <v>17.723372000000001</v>
      </c>
      <c r="AT24" s="20">
        <v>17.723372000000001</v>
      </c>
      <c r="AU24" s="20">
        <v>17.723372000000001</v>
      </c>
      <c r="AV24" s="21">
        <v>17.723372000000001</v>
      </c>
      <c r="AW24" s="5">
        <f t="shared" si="28"/>
        <v>-3.5527136788005009E-15</v>
      </c>
      <c r="AX24" s="5">
        <f t="shared" si="29"/>
        <v>-3.5527136788005009E-15</v>
      </c>
      <c r="AY24" s="5">
        <f t="shared" si="30"/>
        <v>-3.5527136788005009E-15</v>
      </c>
      <c r="AZ24" s="22">
        <v>8.7996883392333984</v>
      </c>
      <c r="BB24" s="5"/>
      <c r="BC24" s="19">
        <v>2.6428232</v>
      </c>
      <c r="BD24" s="20">
        <v>2.6428232</v>
      </c>
      <c r="BE24" s="20">
        <v>2.6428232</v>
      </c>
      <c r="BF24" s="21">
        <v>2.6428232</v>
      </c>
      <c r="BG24" s="5">
        <f t="shared" si="31"/>
        <v>4.4408920985006262E-16</v>
      </c>
      <c r="BH24" s="5">
        <f t="shared" si="32"/>
        <v>4.4408920985006262E-16</v>
      </c>
      <c r="BI24" s="5">
        <f t="shared" si="33"/>
        <v>4.4408920985006262E-16</v>
      </c>
      <c r="BJ24" s="22">
        <v>1.7559449672698979</v>
      </c>
      <c r="BL24" s="5"/>
      <c r="BM24" s="19">
        <v>15.075961</v>
      </c>
      <c r="BN24" s="20">
        <v>15.075961</v>
      </c>
      <c r="BO24" s="20">
        <v>15.075961</v>
      </c>
      <c r="BP24" s="21">
        <v>15.075961</v>
      </c>
      <c r="BQ24" s="5">
        <f t="shared" si="34"/>
        <v>-3.5527136788005009E-15</v>
      </c>
      <c r="BR24" s="5">
        <f t="shared" si="35"/>
        <v>-3.5527136788005009E-15</v>
      </c>
      <c r="BS24" s="5">
        <f t="shared" si="36"/>
        <v>-3.5527136788005009E-15</v>
      </c>
      <c r="BT24" s="22">
        <v>4.0783505439758301</v>
      </c>
      <c r="BV24" s="5"/>
      <c r="BW24" s="19">
        <v>3.4586410000000001</v>
      </c>
      <c r="BX24" s="20">
        <v>3.4586410000000001</v>
      </c>
      <c r="BY24" s="20">
        <v>3.4586410000000001</v>
      </c>
      <c r="BZ24" s="21">
        <v>3.4586410000000001</v>
      </c>
      <c r="CA24" s="5">
        <f t="shared" si="37"/>
        <v>0</v>
      </c>
      <c r="CB24" s="5">
        <f t="shared" si="38"/>
        <v>0</v>
      </c>
      <c r="CC24" s="5">
        <f t="shared" si="39"/>
        <v>0</v>
      </c>
      <c r="CD24" s="22">
        <v>1.4312387704849241</v>
      </c>
      <c r="CI24">
        <v>1.372923851013184</v>
      </c>
      <c r="CN24">
        <v>1.233864903450012</v>
      </c>
    </row>
    <row r="25" spans="1:92" x14ac:dyDescent="0.25">
      <c r="A25" s="38"/>
      <c r="B25" s="5">
        <v>3</v>
      </c>
      <c r="C25" s="18">
        <v>12</v>
      </c>
      <c r="E25" s="19">
        <v>77.235770000000002</v>
      </c>
      <c r="F25" s="20">
        <v>77.235770000000002</v>
      </c>
      <c r="G25" s="20">
        <v>77.235770000000002</v>
      </c>
      <c r="H25" s="21">
        <v>77.235770000000002</v>
      </c>
      <c r="I25" s="5">
        <f t="shared" si="16"/>
        <v>0</v>
      </c>
      <c r="J25" s="5">
        <f t="shared" si="17"/>
        <v>0</v>
      </c>
      <c r="K25" s="5">
        <f t="shared" si="18"/>
        <v>0</v>
      </c>
      <c r="L25" s="22">
        <v>83.495399475097656</v>
      </c>
      <c r="M25" s="5"/>
      <c r="N25" s="5"/>
      <c r="O25" s="19">
        <v>62.470416999999998</v>
      </c>
      <c r="P25" s="20">
        <v>62.470416999999998</v>
      </c>
      <c r="Q25" s="20">
        <v>62.470416999999998</v>
      </c>
      <c r="R25" s="21">
        <v>62.470416999999998</v>
      </c>
      <c r="S25" s="5">
        <f t="shared" si="19"/>
        <v>0</v>
      </c>
      <c r="T25" s="5">
        <f t="shared" si="20"/>
        <v>0</v>
      </c>
      <c r="U25" s="5">
        <f t="shared" si="21"/>
        <v>0</v>
      </c>
      <c r="V25" s="22">
        <v>72.446662902832031</v>
      </c>
      <c r="W25" s="5"/>
      <c r="X25" s="5"/>
      <c r="Y25" s="19">
        <v>21.885884999999998</v>
      </c>
      <c r="Z25" s="20">
        <v>21.885884999999998</v>
      </c>
      <c r="AA25" s="20">
        <v>21.885884999999998</v>
      </c>
      <c r="AB25" s="21">
        <v>21.885884999999998</v>
      </c>
      <c r="AC25" s="5">
        <f t="shared" si="22"/>
        <v>0</v>
      </c>
      <c r="AD25" s="5">
        <f t="shared" si="23"/>
        <v>0</v>
      </c>
      <c r="AE25" s="5">
        <f t="shared" si="24"/>
        <v>0</v>
      </c>
      <c r="AF25" s="22">
        <v>9.4444952011108398</v>
      </c>
      <c r="AG25" s="5"/>
      <c r="AH25" s="5"/>
      <c r="AI25" s="19">
        <v>8.5092929999999996</v>
      </c>
      <c r="AJ25" s="20">
        <v>8.5092929999999996</v>
      </c>
      <c r="AK25" s="20">
        <v>8.5092929999999996</v>
      </c>
      <c r="AL25" s="21">
        <v>8.5092929999999996</v>
      </c>
      <c r="AM25" s="5">
        <f t="shared" si="25"/>
        <v>0</v>
      </c>
      <c r="AN25" s="5">
        <f t="shared" si="26"/>
        <v>0</v>
      </c>
      <c r="AO25" s="5">
        <f t="shared" si="27"/>
        <v>0</v>
      </c>
      <c r="AP25" s="22">
        <v>7.1248812675476074</v>
      </c>
      <c r="AR25" s="5"/>
      <c r="AS25" s="19">
        <v>17.723372000000001</v>
      </c>
      <c r="AT25" s="20">
        <v>17.723372000000001</v>
      </c>
      <c r="AU25" s="20">
        <v>17.723372000000001</v>
      </c>
      <c r="AV25" s="21">
        <v>17.723372000000001</v>
      </c>
      <c r="AW25" s="5">
        <f t="shared" si="28"/>
        <v>-3.5527136788005009E-15</v>
      </c>
      <c r="AX25" s="5">
        <f t="shared" si="29"/>
        <v>-3.5527136788005009E-15</v>
      </c>
      <c r="AY25" s="5">
        <f t="shared" si="30"/>
        <v>-3.5527136788005009E-15</v>
      </c>
      <c r="AZ25" s="22">
        <v>8.7845277786254883</v>
      </c>
      <c r="BB25" s="5"/>
      <c r="BC25" s="19">
        <v>2.6428232</v>
      </c>
      <c r="BD25" s="20">
        <v>2.6428232</v>
      </c>
      <c r="BE25" s="20">
        <v>2.6428232</v>
      </c>
      <c r="BF25" s="21">
        <v>2.6428232</v>
      </c>
      <c r="BG25" s="5">
        <f t="shared" si="31"/>
        <v>4.4408920985006262E-16</v>
      </c>
      <c r="BH25" s="5">
        <f t="shared" si="32"/>
        <v>4.4408920985006262E-16</v>
      </c>
      <c r="BI25" s="5">
        <f t="shared" si="33"/>
        <v>4.4408920985006262E-16</v>
      </c>
      <c r="BJ25" s="22">
        <v>1.7552337646484379</v>
      </c>
      <c r="BL25" s="5"/>
      <c r="BM25" s="19">
        <v>15.075961</v>
      </c>
      <c r="BN25" s="20">
        <v>15.075961</v>
      </c>
      <c r="BO25" s="20">
        <v>15.075961</v>
      </c>
      <c r="BP25" s="21">
        <v>15.075961</v>
      </c>
      <c r="BQ25" s="5">
        <f t="shared" si="34"/>
        <v>-3.5527136788005009E-15</v>
      </c>
      <c r="BR25" s="5">
        <f t="shared" si="35"/>
        <v>-3.5527136788005009E-15</v>
      </c>
      <c r="BS25" s="5">
        <f t="shared" si="36"/>
        <v>-3.5527136788005009E-15</v>
      </c>
      <c r="BT25" s="22">
        <v>4.0993881225585938</v>
      </c>
      <c r="BV25" s="5"/>
      <c r="BW25" s="19">
        <v>3.4586410000000001</v>
      </c>
      <c r="BX25" s="20">
        <v>3.4586410000000001</v>
      </c>
      <c r="BY25" s="20">
        <v>3.4586410000000001</v>
      </c>
      <c r="BZ25" s="21">
        <v>3.4586410000000001</v>
      </c>
      <c r="CA25" s="5">
        <f t="shared" si="37"/>
        <v>0</v>
      </c>
      <c r="CB25" s="5">
        <f t="shared" si="38"/>
        <v>0</v>
      </c>
      <c r="CC25" s="5">
        <f t="shared" si="39"/>
        <v>0</v>
      </c>
      <c r="CD25" s="22">
        <v>1.423847556114197</v>
      </c>
      <c r="CI25">
        <v>1.194944381713867</v>
      </c>
      <c r="CN25">
        <v>1.2247854471206669</v>
      </c>
    </row>
    <row r="26" spans="1:92" x14ac:dyDescent="0.25">
      <c r="A26" s="38"/>
      <c r="B26" s="5">
        <v>4</v>
      </c>
      <c r="C26" s="18">
        <v>17</v>
      </c>
      <c r="E26" s="19">
        <v>77.235770000000002</v>
      </c>
      <c r="F26" s="20">
        <v>77.235770000000002</v>
      </c>
      <c r="G26" s="20">
        <v>77.235770000000002</v>
      </c>
      <c r="H26" s="21">
        <v>77.235770000000002</v>
      </c>
      <c r="I26" s="5">
        <f t="shared" si="16"/>
        <v>0</v>
      </c>
      <c r="J26" s="5">
        <f t="shared" si="17"/>
        <v>0</v>
      </c>
      <c r="K26" s="5">
        <f t="shared" si="18"/>
        <v>0</v>
      </c>
      <c r="L26" s="22">
        <v>83.495399475097656</v>
      </c>
      <c r="M26" s="5"/>
      <c r="N26" s="5"/>
      <c r="O26" s="19">
        <v>62.470416999999998</v>
      </c>
      <c r="P26" s="20">
        <v>62.470416999999998</v>
      </c>
      <c r="Q26" s="20">
        <v>62.470416999999998</v>
      </c>
      <c r="R26" s="21">
        <v>62.470416999999998</v>
      </c>
      <c r="S26" s="5">
        <f t="shared" si="19"/>
        <v>0</v>
      </c>
      <c r="T26" s="5">
        <f t="shared" si="20"/>
        <v>0</v>
      </c>
      <c r="U26" s="5">
        <f t="shared" si="21"/>
        <v>0</v>
      </c>
      <c r="V26" s="22">
        <v>72.446662902832031</v>
      </c>
      <c r="W26" s="5"/>
      <c r="X26" s="5"/>
      <c r="Y26" s="19">
        <v>21.885884999999998</v>
      </c>
      <c r="Z26" s="20">
        <v>21.885884999999998</v>
      </c>
      <c r="AA26" s="20">
        <v>21.885884999999998</v>
      </c>
      <c r="AB26" s="21">
        <v>21.885884999999998</v>
      </c>
      <c r="AC26" s="5">
        <f t="shared" si="22"/>
        <v>0</v>
      </c>
      <c r="AD26" s="5">
        <f t="shared" si="23"/>
        <v>0</v>
      </c>
      <c r="AE26" s="5">
        <f t="shared" si="24"/>
        <v>0</v>
      </c>
      <c r="AF26" s="22">
        <v>9.5049676895141602</v>
      </c>
      <c r="AG26" s="5"/>
      <c r="AH26" s="5"/>
      <c r="AI26" s="19">
        <v>8.5092929999999996</v>
      </c>
      <c r="AJ26" s="20">
        <v>8.5092929999999996</v>
      </c>
      <c r="AK26" s="20">
        <v>8.5092929999999996</v>
      </c>
      <c r="AL26" s="21">
        <v>8.5092929999999996</v>
      </c>
      <c r="AM26" s="5">
        <f t="shared" si="25"/>
        <v>0</v>
      </c>
      <c r="AN26" s="5">
        <f t="shared" si="26"/>
        <v>0</v>
      </c>
      <c r="AO26" s="5">
        <f t="shared" si="27"/>
        <v>0</v>
      </c>
      <c r="AP26" s="22">
        <v>7.1248812675476074</v>
      </c>
      <c r="AR26" s="5"/>
      <c r="AS26" s="19">
        <v>17.723372000000001</v>
      </c>
      <c r="AT26" s="20">
        <v>17.723372000000001</v>
      </c>
      <c r="AU26" s="20">
        <v>17.723372000000001</v>
      </c>
      <c r="AV26" s="21">
        <v>17.723372000000001</v>
      </c>
      <c r="AW26" s="5">
        <f t="shared" si="28"/>
        <v>-3.5527136788005009E-15</v>
      </c>
      <c r="AX26" s="5">
        <f t="shared" si="29"/>
        <v>-3.5527136788005009E-15</v>
      </c>
      <c r="AY26" s="5">
        <f t="shared" si="30"/>
        <v>-3.5527136788005009E-15</v>
      </c>
      <c r="AZ26" s="22">
        <v>8.7772703170776367</v>
      </c>
      <c r="BB26" s="5"/>
      <c r="BC26" s="19">
        <v>2.6428232</v>
      </c>
      <c r="BD26" s="20">
        <v>2.6428232</v>
      </c>
      <c r="BE26" s="20">
        <v>2.6428232</v>
      </c>
      <c r="BF26" s="21">
        <v>2.6428232</v>
      </c>
      <c r="BG26" s="5">
        <f t="shared" si="31"/>
        <v>4.4408920985006262E-16</v>
      </c>
      <c r="BH26" s="5">
        <f t="shared" si="32"/>
        <v>4.4408920985006262E-16</v>
      </c>
      <c r="BI26" s="5">
        <f t="shared" si="33"/>
        <v>4.4408920985006262E-16</v>
      </c>
      <c r="BJ26" s="22">
        <v>1.751258015632629</v>
      </c>
      <c r="BL26" s="5"/>
      <c r="BM26" s="19">
        <v>15.075961</v>
      </c>
      <c r="BN26" s="20">
        <v>15.075961</v>
      </c>
      <c r="BO26" s="20">
        <v>15.075961</v>
      </c>
      <c r="BP26" s="21">
        <v>15.075961</v>
      </c>
      <c r="BQ26" s="5">
        <f t="shared" si="34"/>
        <v>-3.5527136788005009E-15</v>
      </c>
      <c r="BR26" s="5">
        <f t="shared" si="35"/>
        <v>-3.5527136788005009E-15</v>
      </c>
      <c r="BS26" s="5">
        <f t="shared" si="36"/>
        <v>-3.5527136788005009E-15</v>
      </c>
      <c r="BT26" s="22">
        <v>3.826020479202271</v>
      </c>
      <c r="BV26" s="5"/>
      <c r="BW26" s="19">
        <v>3.4586410000000001</v>
      </c>
      <c r="BX26" s="20">
        <v>3.4586410000000001</v>
      </c>
      <c r="BY26" s="20">
        <v>3.4586410000000001</v>
      </c>
      <c r="BZ26" s="21">
        <v>3.4586410000000001</v>
      </c>
      <c r="CA26" s="5">
        <f t="shared" si="37"/>
        <v>0</v>
      </c>
      <c r="CB26" s="5">
        <f t="shared" si="38"/>
        <v>0</v>
      </c>
      <c r="CC26" s="5">
        <f t="shared" si="39"/>
        <v>0</v>
      </c>
      <c r="CD26" s="22">
        <v>1.4345899820327761</v>
      </c>
      <c r="CI26">
        <v>1.202710866928101</v>
      </c>
      <c r="CN26">
        <v>1.2413278818130491</v>
      </c>
    </row>
    <row r="27" spans="1:92" x14ac:dyDescent="0.25">
      <c r="A27" s="38"/>
      <c r="B27" s="5">
        <v>5</v>
      </c>
      <c r="C27" s="18">
        <v>22</v>
      </c>
      <c r="E27" s="19">
        <v>77.235770000000002</v>
      </c>
      <c r="F27" s="20">
        <v>77.235770000000002</v>
      </c>
      <c r="G27" s="20">
        <v>77.235770000000002</v>
      </c>
      <c r="H27" s="21">
        <v>77.235770000000002</v>
      </c>
      <c r="I27" s="5">
        <f t="shared" si="16"/>
        <v>0</v>
      </c>
      <c r="J27" s="5">
        <f t="shared" si="17"/>
        <v>0</v>
      </c>
      <c r="K27" s="5">
        <f t="shared" si="18"/>
        <v>0</v>
      </c>
      <c r="L27" s="22">
        <v>83.472343444824219</v>
      </c>
      <c r="M27" s="5"/>
      <c r="N27" s="5"/>
      <c r="O27" s="19">
        <v>62.470416999999998</v>
      </c>
      <c r="P27" s="20">
        <v>62.470416999999998</v>
      </c>
      <c r="Q27" s="20">
        <v>62.470416999999998</v>
      </c>
      <c r="R27" s="21">
        <v>62.470416999999998</v>
      </c>
      <c r="S27" s="5">
        <f t="shared" si="19"/>
        <v>0</v>
      </c>
      <c r="T27" s="5">
        <f t="shared" si="20"/>
        <v>0</v>
      </c>
      <c r="U27" s="5">
        <f t="shared" si="21"/>
        <v>0</v>
      </c>
      <c r="V27" s="22">
        <v>72.432235717773438</v>
      </c>
      <c r="W27" s="5"/>
      <c r="X27" s="5"/>
      <c r="Y27" s="19">
        <v>21.885884999999998</v>
      </c>
      <c r="Z27" s="20">
        <v>21.885884999999998</v>
      </c>
      <c r="AA27" s="20">
        <v>21.885884999999998</v>
      </c>
      <c r="AB27" s="21">
        <v>21.885884999999998</v>
      </c>
      <c r="AC27" s="5">
        <f t="shared" si="22"/>
        <v>0</v>
      </c>
      <c r="AD27" s="5">
        <f t="shared" si="23"/>
        <v>0</v>
      </c>
      <c r="AE27" s="5">
        <f t="shared" si="24"/>
        <v>0</v>
      </c>
      <c r="AF27" s="22">
        <v>10.666567802429199</v>
      </c>
      <c r="AG27" s="5"/>
      <c r="AH27" s="5"/>
      <c r="AI27" s="19">
        <v>8.5092929999999996</v>
      </c>
      <c r="AJ27" s="20">
        <v>8.5092929999999996</v>
      </c>
      <c r="AK27" s="20">
        <v>8.5092929999999996</v>
      </c>
      <c r="AL27" s="21">
        <v>8.5092929999999996</v>
      </c>
      <c r="AM27" s="5">
        <f t="shared" si="25"/>
        <v>0</v>
      </c>
      <c r="AN27" s="5">
        <f t="shared" si="26"/>
        <v>0</v>
      </c>
      <c r="AO27" s="5">
        <f t="shared" si="27"/>
        <v>0</v>
      </c>
      <c r="AP27" s="22">
        <v>7.1130800247192383</v>
      </c>
      <c r="AR27" s="5"/>
      <c r="AS27" s="19">
        <v>17.723372000000001</v>
      </c>
      <c r="AT27" s="20">
        <v>17.723372000000001</v>
      </c>
      <c r="AU27" s="20">
        <v>17.723372000000001</v>
      </c>
      <c r="AV27" s="21">
        <v>17.723372000000001</v>
      </c>
      <c r="AW27" s="5">
        <f t="shared" si="28"/>
        <v>-3.5527136788005009E-15</v>
      </c>
      <c r="AX27" s="5">
        <f t="shared" si="29"/>
        <v>-3.5527136788005009E-15</v>
      </c>
      <c r="AY27" s="5">
        <f t="shared" si="30"/>
        <v>-3.5527136788005009E-15</v>
      </c>
      <c r="AZ27" s="22">
        <v>8.7751226425170898</v>
      </c>
      <c r="BB27" s="5"/>
      <c r="BC27" s="19">
        <v>2.6428232</v>
      </c>
      <c r="BD27" s="20">
        <v>2.6428232</v>
      </c>
      <c r="BE27" s="20">
        <v>2.6428232</v>
      </c>
      <c r="BF27" s="21">
        <v>2.6428232</v>
      </c>
      <c r="BG27" s="5">
        <f t="shared" si="31"/>
        <v>4.4408920985006262E-16</v>
      </c>
      <c r="BH27" s="5">
        <f t="shared" si="32"/>
        <v>4.4408920985006262E-16</v>
      </c>
      <c r="BI27" s="5">
        <f t="shared" si="33"/>
        <v>4.4408920985006262E-16</v>
      </c>
      <c r="BJ27" s="22">
        <v>1.737897992134094</v>
      </c>
      <c r="BL27" s="5"/>
      <c r="BM27" s="19">
        <v>15.075961</v>
      </c>
      <c r="BN27" s="20">
        <v>15.075961</v>
      </c>
      <c r="BO27" s="20">
        <v>15.075961</v>
      </c>
      <c r="BP27" s="21">
        <v>15.075961</v>
      </c>
      <c r="BQ27" s="5">
        <f t="shared" si="34"/>
        <v>-3.5527136788005009E-15</v>
      </c>
      <c r="BR27" s="5">
        <f t="shared" si="35"/>
        <v>-3.5527136788005009E-15</v>
      </c>
      <c r="BS27" s="5">
        <f t="shared" si="36"/>
        <v>-3.5527136788005009E-15</v>
      </c>
      <c r="BT27" s="22">
        <v>4.5185117721557617</v>
      </c>
      <c r="BV27" s="5"/>
      <c r="BW27" s="19">
        <v>3.4586410000000001</v>
      </c>
      <c r="BX27" s="20">
        <v>3.4586410000000001</v>
      </c>
      <c r="BY27" s="20">
        <v>3.4586410000000001</v>
      </c>
      <c r="BZ27" s="21">
        <v>3.4586410000000001</v>
      </c>
      <c r="CA27" s="5">
        <f t="shared" si="37"/>
        <v>0</v>
      </c>
      <c r="CB27" s="5">
        <f t="shared" si="38"/>
        <v>0</v>
      </c>
      <c r="CC27" s="5">
        <f t="shared" si="39"/>
        <v>0</v>
      </c>
      <c r="CD27" s="22">
        <v>1.551700234413147</v>
      </c>
      <c r="CI27">
        <v>1.4006944894790649</v>
      </c>
      <c r="CN27">
        <v>1.2488647699356079</v>
      </c>
    </row>
    <row r="28" spans="1:92" x14ac:dyDescent="0.25">
      <c r="A28" s="38"/>
      <c r="B28" s="5">
        <v>6</v>
      </c>
      <c r="C28" s="18">
        <v>27</v>
      </c>
      <c r="E28" s="19">
        <v>77.235770000000002</v>
      </c>
      <c r="F28" s="20">
        <v>77.235770000000002</v>
      </c>
      <c r="G28" s="20">
        <v>77.235770000000002</v>
      </c>
      <c r="H28" s="21">
        <v>77.235770000000002</v>
      </c>
      <c r="I28" s="5">
        <f t="shared" si="16"/>
        <v>0</v>
      </c>
      <c r="J28" s="5">
        <f t="shared" si="17"/>
        <v>0</v>
      </c>
      <c r="K28" s="5">
        <f t="shared" si="18"/>
        <v>0</v>
      </c>
      <c r="L28" s="22">
        <v>83.521705627441406</v>
      </c>
      <c r="M28" s="5"/>
      <c r="N28" s="5"/>
      <c r="O28" s="19">
        <v>62.470416999999998</v>
      </c>
      <c r="P28" s="20">
        <v>62.470416999999998</v>
      </c>
      <c r="Q28" s="20">
        <v>62.470416999999998</v>
      </c>
      <c r="R28" s="21">
        <v>62.470416999999998</v>
      </c>
      <c r="S28" s="5">
        <f t="shared" si="19"/>
        <v>0</v>
      </c>
      <c r="T28" s="5">
        <f t="shared" si="20"/>
        <v>0</v>
      </c>
      <c r="U28" s="5">
        <f t="shared" si="21"/>
        <v>0</v>
      </c>
      <c r="V28" s="22">
        <v>72.331886291503906</v>
      </c>
      <c r="W28" s="5"/>
      <c r="X28" s="5"/>
      <c r="Y28" s="19">
        <v>21.885884999999998</v>
      </c>
      <c r="Z28" s="20">
        <v>21.885884999999998</v>
      </c>
      <c r="AA28" s="20">
        <v>21.885884999999998</v>
      </c>
      <c r="AB28" s="21">
        <v>21.885884999999998</v>
      </c>
      <c r="AC28" s="5">
        <f t="shared" si="22"/>
        <v>0</v>
      </c>
      <c r="AD28" s="5">
        <f t="shared" si="23"/>
        <v>0</v>
      </c>
      <c r="AE28" s="5">
        <f t="shared" si="24"/>
        <v>0</v>
      </c>
      <c r="AF28" s="22">
        <v>10.03136730194092</v>
      </c>
      <c r="AG28" s="5"/>
      <c r="AH28" s="5"/>
      <c r="AI28" s="19">
        <v>8.5092929999999996</v>
      </c>
      <c r="AJ28" s="20">
        <v>8.5092929999999996</v>
      </c>
      <c r="AK28" s="20">
        <v>8.5092929999999996</v>
      </c>
      <c r="AL28" s="21">
        <v>8.5092929999999996</v>
      </c>
      <c r="AM28" s="5">
        <f t="shared" si="25"/>
        <v>0</v>
      </c>
      <c r="AN28" s="5">
        <f t="shared" si="26"/>
        <v>0</v>
      </c>
      <c r="AO28" s="5">
        <f t="shared" si="27"/>
        <v>0</v>
      </c>
      <c r="AP28" s="22">
        <v>7.068845272064209</v>
      </c>
      <c r="AR28" s="5"/>
      <c r="AS28" s="19">
        <v>17.723372000000001</v>
      </c>
      <c r="AT28" s="20">
        <v>17.723372000000001</v>
      </c>
      <c r="AU28" s="20">
        <v>17.723372000000001</v>
      </c>
      <c r="AV28" s="21">
        <v>17.723372000000001</v>
      </c>
      <c r="AW28" s="5">
        <f t="shared" si="28"/>
        <v>-3.5527136788005009E-15</v>
      </c>
      <c r="AX28" s="5">
        <f t="shared" si="29"/>
        <v>-3.5527136788005009E-15</v>
      </c>
      <c r="AY28" s="5">
        <f t="shared" si="30"/>
        <v>-3.5527136788005009E-15</v>
      </c>
      <c r="AZ28" s="22">
        <v>8.8041000366210938</v>
      </c>
      <c r="BB28" s="5"/>
      <c r="BC28" s="19">
        <v>2.6428232</v>
      </c>
      <c r="BD28" s="20">
        <v>2.6428232</v>
      </c>
      <c r="BE28" s="20">
        <v>2.6428232</v>
      </c>
      <c r="BF28" s="21">
        <v>2.6428232</v>
      </c>
      <c r="BG28" s="5">
        <f t="shared" si="31"/>
        <v>4.4408920985006262E-16</v>
      </c>
      <c r="BH28" s="5">
        <f t="shared" si="32"/>
        <v>4.4408920985006262E-16</v>
      </c>
      <c r="BI28" s="5">
        <f t="shared" si="33"/>
        <v>4.4408920985006262E-16</v>
      </c>
      <c r="BJ28" s="22">
        <v>1.7437000274658201</v>
      </c>
      <c r="BL28" s="5"/>
      <c r="BM28" s="19">
        <v>15.075961</v>
      </c>
      <c r="BN28" s="20">
        <v>15.075961</v>
      </c>
      <c r="BO28" s="20">
        <v>15.075961</v>
      </c>
      <c r="BP28" s="21">
        <v>15.075961</v>
      </c>
      <c r="BQ28" s="5">
        <f t="shared" si="34"/>
        <v>-3.5527136788005009E-15</v>
      </c>
      <c r="BR28" s="5">
        <f t="shared" si="35"/>
        <v>-3.5527136788005009E-15</v>
      </c>
      <c r="BS28" s="5">
        <f t="shared" si="36"/>
        <v>-3.5527136788005009E-15</v>
      </c>
      <c r="BT28" s="22">
        <v>3.8313651084899898</v>
      </c>
      <c r="BV28" s="5"/>
      <c r="BW28" s="19">
        <v>3.4586410000000001</v>
      </c>
      <c r="BX28" s="20">
        <v>3.4586410000000001</v>
      </c>
      <c r="BY28" s="20">
        <v>3.4586410000000001</v>
      </c>
      <c r="BZ28" s="21">
        <v>3.4586410000000001</v>
      </c>
      <c r="CA28" s="5">
        <f t="shared" si="37"/>
        <v>0</v>
      </c>
      <c r="CB28" s="5">
        <f t="shared" si="38"/>
        <v>0</v>
      </c>
      <c r="CC28" s="5">
        <f t="shared" si="39"/>
        <v>0</v>
      </c>
      <c r="CD28" s="22">
        <v>1.4502954483032231</v>
      </c>
      <c r="CI28">
        <v>1.2149337530136111</v>
      </c>
      <c r="CN28">
        <v>3.4586410522460942</v>
      </c>
    </row>
    <row r="29" spans="1:92" x14ac:dyDescent="0.25">
      <c r="A29" s="38"/>
      <c r="B29" s="5">
        <v>7</v>
      </c>
      <c r="C29" s="18">
        <v>32</v>
      </c>
      <c r="E29" s="19">
        <v>77.235770000000002</v>
      </c>
      <c r="F29" s="20">
        <v>77.235770000000002</v>
      </c>
      <c r="G29" s="20">
        <v>77.235770000000002</v>
      </c>
      <c r="H29" s="21">
        <v>77.235770000000002</v>
      </c>
      <c r="I29" s="5">
        <f t="shared" si="16"/>
        <v>0</v>
      </c>
      <c r="J29" s="5">
        <f t="shared" si="17"/>
        <v>0</v>
      </c>
      <c r="K29" s="5">
        <f t="shared" si="18"/>
        <v>0</v>
      </c>
      <c r="L29" s="22">
        <v>85.105636596679688</v>
      </c>
      <c r="M29" s="5"/>
      <c r="N29" s="5"/>
      <c r="O29" s="19">
        <v>62.470416999999998</v>
      </c>
      <c r="P29" s="20">
        <v>62.470416999999998</v>
      </c>
      <c r="Q29" s="20">
        <v>62.470416999999998</v>
      </c>
      <c r="R29" s="21">
        <v>62.470416999999998</v>
      </c>
      <c r="S29" s="5">
        <f t="shared" si="19"/>
        <v>0</v>
      </c>
      <c r="T29" s="5">
        <f t="shared" si="20"/>
        <v>0</v>
      </c>
      <c r="U29" s="5">
        <f t="shared" si="21"/>
        <v>0</v>
      </c>
      <c r="V29" s="22">
        <v>60.630939483642578</v>
      </c>
      <c r="W29" s="5"/>
      <c r="X29" s="5"/>
      <c r="Y29" s="19">
        <v>21.885884999999998</v>
      </c>
      <c r="Z29" s="20">
        <v>21.885884999999998</v>
      </c>
      <c r="AA29" s="20">
        <v>21.885884999999998</v>
      </c>
      <c r="AB29" s="21">
        <v>21.885884999999998</v>
      </c>
      <c r="AC29" s="5">
        <f t="shared" si="22"/>
        <v>0</v>
      </c>
      <c r="AD29" s="5">
        <f t="shared" si="23"/>
        <v>0</v>
      </c>
      <c r="AE29" s="5">
        <f t="shared" si="24"/>
        <v>0</v>
      </c>
      <c r="AF29" s="22">
        <v>11.31518650054932</v>
      </c>
      <c r="AG29" s="5"/>
      <c r="AH29" s="5"/>
      <c r="AI29" s="19">
        <v>8.5092929999999996</v>
      </c>
      <c r="AJ29" s="20">
        <v>8.5092929999999996</v>
      </c>
      <c r="AK29" s="20">
        <v>8.5092929999999996</v>
      </c>
      <c r="AL29" s="21">
        <v>8.5092929999999996</v>
      </c>
      <c r="AM29" s="5">
        <f t="shared" si="25"/>
        <v>0</v>
      </c>
      <c r="AN29" s="5">
        <f t="shared" si="26"/>
        <v>0</v>
      </c>
      <c r="AO29" s="5">
        <f t="shared" si="27"/>
        <v>0</v>
      </c>
      <c r="AP29" s="22">
        <v>6.8353028297424316</v>
      </c>
      <c r="AR29" s="5"/>
      <c r="AS29" s="19">
        <v>17.723372000000001</v>
      </c>
      <c r="AT29" s="20">
        <v>17.723372000000001</v>
      </c>
      <c r="AU29" s="20">
        <v>17.723372000000001</v>
      </c>
      <c r="AV29" s="21">
        <v>17.723372000000001</v>
      </c>
      <c r="AW29" s="5">
        <f t="shared" si="28"/>
        <v>-3.5527136788005009E-15</v>
      </c>
      <c r="AX29" s="5">
        <f t="shared" si="29"/>
        <v>-3.5527136788005009E-15</v>
      </c>
      <c r="AY29" s="5">
        <f t="shared" si="30"/>
        <v>-3.5527136788005009E-15</v>
      </c>
      <c r="AZ29" s="22">
        <v>13.418187141418461</v>
      </c>
      <c r="BB29" s="5"/>
      <c r="BC29" s="19">
        <v>2.6428232</v>
      </c>
      <c r="BD29" s="20">
        <v>2.6428232</v>
      </c>
      <c r="BE29" s="20">
        <v>2.6428232</v>
      </c>
      <c r="BF29" s="21">
        <v>2.6428232</v>
      </c>
      <c r="BG29" s="5">
        <f t="shared" si="31"/>
        <v>4.4408920985006262E-16</v>
      </c>
      <c r="BH29" s="5">
        <f t="shared" si="32"/>
        <v>4.4408920985006262E-16</v>
      </c>
      <c r="BI29" s="5">
        <f t="shared" si="33"/>
        <v>4.4408920985006262E-16</v>
      </c>
      <c r="BJ29" s="22">
        <v>3.5532293319702148</v>
      </c>
      <c r="BL29" s="5"/>
      <c r="BM29" s="19">
        <v>15.075961</v>
      </c>
      <c r="BN29" s="20">
        <v>15.075961</v>
      </c>
      <c r="BO29" s="20">
        <v>15.075961</v>
      </c>
      <c r="BP29" s="21">
        <v>15.075961</v>
      </c>
      <c r="BQ29" s="5">
        <f t="shared" si="34"/>
        <v>-3.5527136788005009E-15</v>
      </c>
      <c r="BR29" s="5">
        <f t="shared" si="35"/>
        <v>-3.5527136788005009E-15</v>
      </c>
      <c r="BS29" s="5">
        <f t="shared" si="36"/>
        <v>-3.5527136788005009E-15</v>
      </c>
      <c r="BT29" s="22">
        <v>2.460156917572021</v>
      </c>
      <c r="BV29" s="5"/>
      <c r="BW29" s="19">
        <v>3.4586410000000001</v>
      </c>
      <c r="BX29" s="20">
        <v>3.4586410000000001</v>
      </c>
      <c r="BY29" s="20">
        <v>3.4586410000000001</v>
      </c>
      <c r="BZ29" s="21">
        <v>3.4586410000000001</v>
      </c>
      <c r="CA29" s="5">
        <f t="shared" si="37"/>
        <v>0</v>
      </c>
      <c r="CB29" s="5">
        <f t="shared" si="38"/>
        <v>0</v>
      </c>
      <c r="CC29" s="5">
        <f t="shared" si="39"/>
        <v>0</v>
      </c>
      <c r="CD29" s="22">
        <v>4.5468029975891113</v>
      </c>
      <c r="CI29">
        <v>3.8335990905761719</v>
      </c>
      <c r="CN29">
        <v>2.989956140518188</v>
      </c>
    </row>
    <row r="30" spans="1:92" x14ac:dyDescent="0.25">
      <c r="A30" s="38"/>
      <c r="B30" s="5">
        <v>8</v>
      </c>
      <c r="C30" s="18">
        <v>37</v>
      </c>
      <c r="E30" s="19">
        <v>77.235770000000002</v>
      </c>
      <c r="F30" s="20">
        <v>77.235770000000002</v>
      </c>
      <c r="G30" s="20">
        <v>77.235770000000002</v>
      </c>
      <c r="H30" s="21">
        <v>77.235770000000002</v>
      </c>
      <c r="I30" s="5">
        <f t="shared" si="16"/>
        <v>0</v>
      </c>
      <c r="J30" s="5">
        <f t="shared" si="17"/>
        <v>0</v>
      </c>
      <c r="K30" s="5">
        <f t="shared" si="18"/>
        <v>0</v>
      </c>
      <c r="L30" s="22">
        <v>84.964027404785156</v>
      </c>
      <c r="M30" s="5"/>
      <c r="N30" s="5"/>
      <c r="O30" s="19">
        <v>62.470416999999998</v>
      </c>
      <c r="P30" s="20">
        <v>62.470416999999998</v>
      </c>
      <c r="Q30" s="20">
        <v>62.470416999999998</v>
      </c>
      <c r="R30" s="21">
        <v>62.470416999999998</v>
      </c>
      <c r="S30" s="5">
        <f t="shared" si="19"/>
        <v>0</v>
      </c>
      <c r="T30" s="5">
        <f t="shared" si="20"/>
        <v>0</v>
      </c>
      <c r="U30" s="5">
        <f t="shared" si="21"/>
        <v>0</v>
      </c>
      <c r="V30" s="22">
        <v>60.465625762939453</v>
      </c>
      <c r="W30" s="5"/>
      <c r="X30" s="5"/>
      <c r="Y30" s="19">
        <v>21.885884999999998</v>
      </c>
      <c r="Z30" s="20">
        <v>21.885884999999998</v>
      </c>
      <c r="AA30" s="20">
        <v>21.885884999999998</v>
      </c>
      <c r="AB30" s="21">
        <v>21.885884999999998</v>
      </c>
      <c r="AC30" s="5">
        <f t="shared" si="22"/>
        <v>0</v>
      </c>
      <c r="AD30" s="5">
        <f t="shared" si="23"/>
        <v>0</v>
      </c>
      <c r="AE30" s="5">
        <f t="shared" si="24"/>
        <v>0</v>
      </c>
      <c r="AF30" s="22">
        <v>11.289176940917971</v>
      </c>
      <c r="AG30" s="5"/>
      <c r="AH30" s="5"/>
      <c r="AI30" s="19">
        <v>8.5092929999999996</v>
      </c>
      <c r="AJ30" s="20">
        <v>8.5092929999999996</v>
      </c>
      <c r="AK30" s="20">
        <v>8.5092929999999996</v>
      </c>
      <c r="AL30" s="21">
        <v>8.5092929999999996</v>
      </c>
      <c r="AM30" s="5">
        <f t="shared" si="25"/>
        <v>0</v>
      </c>
      <c r="AN30" s="5">
        <f t="shared" si="26"/>
        <v>0</v>
      </c>
      <c r="AO30" s="5">
        <f t="shared" si="27"/>
        <v>0</v>
      </c>
      <c r="AP30" s="22">
        <v>6.7892022132873544</v>
      </c>
      <c r="AR30" s="5"/>
      <c r="AS30" s="19">
        <v>17.723372000000001</v>
      </c>
      <c r="AT30" s="20">
        <v>17.723372000000001</v>
      </c>
      <c r="AU30" s="20">
        <v>17.723372000000001</v>
      </c>
      <c r="AV30" s="21">
        <v>17.723372000000001</v>
      </c>
      <c r="AW30" s="5">
        <f t="shared" si="28"/>
        <v>-3.5527136788005009E-15</v>
      </c>
      <c r="AX30" s="5">
        <f t="shared" si="29"/>
        <v>-3.5527136788005009E-15</v>
      </c>
      <c r="AY30" s="5">
        <f t="shared" si="30"/>
        <v>-3.5527136788005009E-15</v>
      </c>
      <c r="AZ30" s="22">
        <v>13.480361938476561</v>
      </c>
      <c r="BB30" s="5"/>
      <c r="BC30" s="19">
        <v>2.6428232</v>
      </c>
      <c r="BD30" s="20">
        <v>2.6428232</v>
      </c>
      <c r="BE30" s="20">
        <v>2.6428232</v>
      </c>
      <c r="BF30" s="21">
        <v>2.6428232</v>
      </c>
      <c r="BG30" s="5">
        <f t="shared" si="31"/>
        <v>4.4408920985006262E-16</v>
      </c>
      <c r="BH30" s="5">
        <f t="shared" si="32"/>
        <v>4.4408920985006262E-16</v>
      </c>
      <c r="BI30" s="5">
        <f t="shared" si="33"/>
        <v>4.4408920985006262E-16</v>
      </c>
      <c r="BJ30" s="22">
        <v>3.5739514827728271</v>
      </c>
      <c r="BL30" s="5"/>
      <c r="BM30" s="19">
        <v>15.075961</v>
      </c>
      <c r="BN30" s="20">
        <v>15.075961</v>
      </c>
      <c r="BO30" s="20">
        <v>15.075961</v>
      </c>
      <c r="BP30" s="21">
        <v>15.075961</v>
      </c>
      <c r="BQ30" s="5">
        <f t="shared" si="34"/>
        <v>-3.5527136788005009E-15</v>
      </c>
      <c r="BR30" s="5">
        <f t="shared" si="35"/>
        <v>-3.5527136788005009E-15</v>
      </c>
      <c r="BS30" s="5">
        <f t="shared" si="36"/>
        <v>-3.5527136788005009E-15</v>
      </c>
      <c r="BT30" s="22">
        <v>2.2916440963745122</v>
      </c>
      <c r="BV30" s="5"/>
      <c r="BW30" s="19">
        <v>3.4586410000000001</v>
      </c>
      <c r="BX30" s="20">
        <v>3.4586410000000001</v>
      </c>
      <c r="BY30" s="20">
        <v>3.4586410000000001</v>
      </c>
      <c r="BZ30" s="21">
        <v>3.4586410000000001</v>
      </c>
      <c r="CA30" s="5">
        <f t="shared" si="37"/>
        <v>0</v>
      </c>
      <c r="CB30" s="5">
        <f t="shared" si="38"/>
        <v>0</v>
      </c>
      <c r="CC30" s="5">
        <f t="shared" si="39"/>
        <v>0</v>
      </c>
      <c r="CD30" s="22">
        <v>4.4243993759155273</v>
      </c>
      <c r="CI30">
        <v>4.2305998802185059</v>
      </c>
      <c r="CN30">
        <v>2.60532546043396</v>
      </c>
    </row>
    <row r="31" spans="1:92" x14ac:dyDescent="0.25">
      <c r="A31" s="38"/>
      <c r="B31" s="5">
        <v>9</v>
      </c>
      <c r="C31" s="18">
        <v>42</v>
      </c>
      <c r="E31" s="19">
        <v>77.235770000000002</v>
      </c>
      <c r="F31" s="20">
        <v>77.235770000000002</v>
      </c>
      <c r="G31" s="20">
        <v>77.235770000000002</v>
      </c>
      <c r="H31" s="21">
        <v>77.235770000000002</v>
      </c>
      <c r="I31" s="5">
        <f t="shared" si="16"/>
        <v>0</v>
      </c>
      <c r="J31" s="5">
        <f t="shared" si="17"/>
        <v>0</v>
      </c>
      <c r="K31" s="5">
        <f t="shared" si="18"/>
        <v>0</v>
      </c>
      <c r="L31" s="22">
        <v>85.120185852050781</v>
      </c>
      <c r="M31" s="5"/>
      <c r="N31" s="5"/>
      <c r="O31" s="19">
        <v>62.470416999999998</v>
      </c>
      <c r="P31" s="20">
        <v>62.470416999999998</v>
      </c>
      <c r="Q31" s="20">
        <v>62.470416999999998</v>
      </c>
      <c r="R31" s="21">
        <v>62.470416999999998</v>
      </c>
      <c r="S31" s="5">
        <f t="shared" si="19"/>
        <v>0</v>
      </c>
      <c r="T31" s="5">
        <f t="shared" si="20"/>
        <v>0</v>
      </c>
      <c r="U31" s="5">
        <f t="shared" si="21"/>
        <v>0</v>
      </c>
      <c r="V31" s="22">
        <v>60.794559478759773</v>
      </c>
      <c r="W31" s="5"/>
      <c r="X31" s="5"/>
      <c r="Y31" s="19">
        <v>21.885884999999998</v>
      </c>
      <c r="Z31" s="20">
        <v>21.885884999999998</v>
      </c>
      <c r="AA31" s="20">
        <v>21.885884999999998</v>
      </c>
      <c r="AB31" s="21">
        <v>21.885884999999998</v>
      </c>
      <c r="AC31" s="5">
        <f t="shared" si="22"/>
        <v>0</v>
      </c>
      <c r="AD31" s="5">
        <f t="shared" si="23"/>
        <v>0</v>
      </c>
      <c r="AE31" s="5">
        <f t="shared" si="24"/>
        <v>0</v>
      </c>
      <c r="AF31" s="22">
        <v>11.3097038269043</v>
      </c>
      <c r="AG31" s="5"/>
      <c r="AH31" s="5"/>
      <c r="AI31" s="19">
        <v>8.5092929999999996</v>
      </c>
      <c r="AJ31" s="20">
        <v>8.5092929999999996</v>
      </c>
      <c r="AK31" s="20">
        <v>8.5092929999999996</v>
      </c>
      <c r="AL31" s="21">
        <v>8.5092929999999996</v>
      </c>
      <c r="AM31" s="5">
        <f t="shared" si="25"/>
        <v>0</v>
      </c>
      <c r="AN31" s="5">
        <f t="shared" si="26"/>
        <v>0</v>
      </c>
      <c r="AO31" s="5">
        <f t="shared" si="27"/>
        <v>0</v>
      </c>
      <c r="AP31" s="22">
        <v>6.8250417709350586</v>
      </c>
      <c r="AR31" s="5"/>
      <c r="AS31" s="19">
        <v>17.723372000000001</v>
      </c>
      <c r="AT31" s="20">
        <v>17.723372000000001</v>
      </c>
      <c r="AU31" s="20">
        <v>17.723372000000001</v>
      </c>
      <c r="AV31" s="21">
        <v>17.723372000000001</v>
      </c>
      <c r="AW31" s="5">
        <f t="shared" si="28"/>
        <v>-3.5527136788005009E-15</v>
      </c>
      <c r="AX31" s="5">
        <f t="shared" si="29"/>
        <v>-3.5527136788005009E-15</v>
      </c>
      <c r="AY31" s="5">
        <f t="shared" si="30"/>
        <v>-3.5527136788005009E-15</v>
      </c>
      <c r="AZ31" s="22">
        <v>13.475143432617189</v>
      </c>
      <c r="BB31" s="5"/>
      <c r="BC31" s="19">
        <v>2.6428232</v>
      </c>
      <c r="BD31" s="20">
        <v>2.6428232</v>
      </c>
      <c r="BE31" s="20">
        <v>2.6428232</v>
      </c>
      <c r="BF31" s="21">
        <v>2.6428232</v>
      </c>
      <c r="BG31" s="5">
        <f t="shared" si="31"/>
        <v>4.4408920985006262E-16</v>
      </c>
      <c r="BH31" s="5">
        <f t="shared" si="32"/>
        <v>4.4408920985006262E-16</v>
      </c>
      <c r="BI31" s="5">
        <f t="shared" si="33"/>
        <v>4.4408920985006262E-16</v>
      </c>
      <c r="BJ31" s="22">
        <v>4.2121977806091309</v>
      </c>
      <c r="BL31" s="5"/>
      <c r="BM31" s="19">
        <v>15.075961</v>
      </c>
      <c r="BN31" s="20">
        <v>15.075961</v>
      </c>
      <c r="BO31" s="20">
        <v>15.075961</v>
      </c>
      <c r="BP31" s="21">
        <v>15.075961</v>
      </c>
      <c r="BQ31" s="5">
        <f t="shared" si="34"/>
        <v>-3.5527136788005009E-15</v>
      </c>
      <c r="BR31" s="5">
        <f t="shared" si="35"/>
        <v>-3.5527136788005009E-15</v>
      </c>
      <c r="BS31" s="5">
        <f t="shared" si="36"/>
        <v>-3.5527136788005009E-15</v>
      </c>
      <c r="BT31" s="22">
        <v>2.624646902084351</v>
      </c>
      <c r="BV31" s="5"/>
      <c r="BW31" s="19">
        <v>3.4586410000000001</v>
      </c>
      <c r="BX31" s="20">
        <v>3.4586410000000001</v>
      </c>
      <c r="BY31" s="20">
        <v>3.4586410000000001</v>
      </c>
      <c r="BZ31" s="21">
        <v>3.4586410000000001</v>
      </c>
      <c r="CA31" s="5">
        <f t="shared" si="37"/>
        <v>0</v>
      </c>
      <c r="CB31" s="5">
        <f t="shared" si="38"/>
        <v>0</v>
      </c>
      <c r="CC31" s="5">
        <f t="shared" si="39"/>
        <v>0</v>
      </c>
      <c r="CD31" s="22">
        <v>4.68572998046875</v>
      </c>
      <c r="CI31">
        <v>4.2189545631408691</v>
      </c>
      <c r="CN31">
        <v>2.6675763130187988</v>
      </c>
    </row>
    <row r="32" spans="1:92" x14ac:dyDescent="0.25">
      <c r="A32" s="39"/>
      <c r="B32" s="23">
        <v>10</v>
      </c>
      <c r="C32" s="24">
        <v>47</v>
      </c>
      <c r="E32" s="25">
        <v>77.235770000000002</v>
      </c>
      <c r="F32" s="26">
        <v>77.235770000000002</v>
      </c>
      <c r="G32" s="26">
        <v>77.235770000000002</v>
      </c>
      <c r="H32" s="27">
        <v>77.235770000000002</v>
      </c>
      <c r="I32" s="23">
        <f t="shared" si="16"/>
        <v>0</v>
      </c>
      <c r="J32" s="23">
        <f t="shared" si="17"/>
        <v>0</v>
      </c>
      <c r="K32" s="23">
        <f t="shared" si="18"/>
        <v>0</v>
      </c>
      <c r="L32" s="28">
        <v>84.941558837890625</v>
      </c>
      <c r="M32" s="5"/>
      <c r="N32" s="5"/>
      <c r="O32" s="25">
        <v>62.470416999999998</v>
      </c>
      <c r="P32" s="26">
        <v>62.470416999999998</v>
      </c>
      <c r="Q32" s="26">
        <v>62.470416999999998</v>
      </c>
      <c r="R32" s="27">
        <v>62.470416999999998</v>
      </c>
      <c r="S32" s="23">
        <f t="shared" si="19"/>
        <v>0</v>
      </c>
      <c r="T32" s="23">
        <f t="shared" si="20"/>
        <v>0</v>
      </c>
      <c r="U32" s="23">
        <f t="shared" si="21"/>
        <v>0</v>
      </c>
      <c r="V32" s="28">
        <v>60.769504547119141</v>
      </c>
      <c r="W32" s="5"/>
      <c r="X32" s="5"/>
      <c r="Y32" s="25">
        <v>21.885884999999998</v>
      </c>
      <c r="Z32" s="26">
        <v>21.885884999999998</v>
      </c>
      <c r="AA32" s="26">
        <v>21.885884999999998</v>
      </c>
      <c r="AB32" s="27">
        <v>21.885884999999998</v>
      </c>
      <c r="AC32" s="23">
        <f t="shared" si="22"/>
        <v>0</v>
      </c>
      <c r="AD32" s="23">
        <f t="shared" si="23"/>
        <v>0</v>
      </c>
      <c r="AE32" s="23">
        <f t="shared" si="24"/>
        <v>0</v>
      </c>
      <c r="AF32" s="28">
        <v>11.331403732299799</v>
      </c>
      <c r="AG32" s="5"/>
      <c r="AH32" s="5"/>
      <c r="AI32" s="25">
        <v>8.5092929999999996</v>
      </c>
      <c r="AJ32" s="26">
        <v>8.5092929999999996</v>
      </c>
      <c r="AK32" s="26">
        <v>8.5092929999999996</v>
      </c>
      <c r="AL32" s="27">
        <v>8.5092929999999996</v>
      </c>
      <c r="AM32" s="23">
        <f t="shared" si="25"/>
        <v>0</v>
      </c>
      <c r="AN32" s="23">
        <f t="shared" si="26"/>
        <v>0</v>
      </c>
      <c r="AO32" s="23">
        <f t="shared" si="27"/>
        <v>0</v>
      </c>
      <c r="AP32" s="28">
        <v>6.782111644744873</v>
      </c>
      <c r="AR32" s="5"/>
      <c r="AS32" s="25">
        <v>17.723372000000001</v>
      </c>
      <c r="AT32" s="26">
        <v>17.723372000000001</v>
      </c>
      <c r="AU32" s="26">
        <v>17.723372000000001</v>
      </c>
      <c r="AV32" s="27">
        <v>17.723372000000001</v>
      </c>
      <c r="AW32" s="23">
        <f t="shared" si="28"/>
        <v>-3.5527136788005009E-15</v>
      </c>
      <c r="AX32" s="23">
        <f t="shared" si="29"/>
        <v>-3.5527136788005009E-15</v>
      </c>
      <c r="AY32" s="23">
        <f t="shared" si="30"/>
        <v>-3.5527136788005009E-15</v>
      </c>
      <c r="AZ32" s="28">
        <v>13.37870597839356</v>
      </c>
      <c r="BB32" s="5"/>
      <c r="BC32" s="25">
        <v>2.6428232</v>
      </c>
      <c r="BD32" s="26">
        <v>2.6428232</v>
      </c>
      <c r="BE32" s="26">
        <v>2.6428232</v>
      </c>
      <c r="BF32" s="27">
        <v>2.6428232</v>
      </c>
      <c r="BG32" s="23">
        <f t="shared" si="31"/>
        <v>4.4408920985006262E-16</v>
      </c>
      <c r="BH32" s="23">
        <f t="shared" si="32"/>
        <v>4.4408920985006262E-16</v>
      </c>
      <c r="BI32" s="23">
        <f t="shared" si="33"/>
        <v>4.4408920985006262E-16</v>
      </c>
      <c r="BJ32" s="28">
        <v>4.1946253776550293</v>
      </c>
      <c r="BL32" s="5"/>
      <c r="BM32" s="25">
        <v>15.075961</v>
      </c>
      <c r="BN32" s="26">
        <v>15.075961</v>
      </c>
      <c r="BO32" s="26">
        <v>15.075961</v>
      </c>
      <c r="BP32" s="27">
        <v>15.075961</v>
      </c>
      <c r="BQ32" s="23">
        <f t="shared" si="34"/>
        <v>-3.5527136788005009E-15</v>
      </c>
      <c r="BR32" s="23">
        <f t="shared" si="35"/>
        <v>-3.5527136788005009E-15</v>
      </c>
      <c r="BS32" s="23">
        <f t="shared" si="36"/>
        <v>-3.5527136788005009E-15</v>
      </c>
      <c r="BT32" s="28">
        <v>2.4235444068908691</v>
      </c>
      <c r="BV32" s="5"/>
      <c r="BW32" s="25">
        <v>3.4586410000000001</v>
      </c>
      <c r="BX32" s="26">
        <v>3.4586410000000001</v>
      </c>
      <c r="BY32" s="26">
        <v>3.4586410000000001</v>
      </c>
      <c r="BZ32" s="27">
        <v>3.4586410000000001</v>
      </c>
      <c r="CA32" s="23">
        <f t="shared" si="37"/>
        <v>0</v>
      </c>
      <c r="CB32" s="23">
        <f t="shared" si="38"/>
        <v>0</v>
      </c>
      <c r="CC32" s="23">
        <f t="shared" si="39"/>
        <v>0</v>
      </c>
      <c r="CD32" s="28">
        <v>4.5592260360717773</v>
      </c>
      <c r="CI32">
        <v>4.131556510925293</v>
      </c>
      <c r="CN32">
        <v>2.6654260158538818</v>
      </c>
    </row>
    <row r="33" spans="1:92" x14ac:dyDescent="0.25">
      <c r="A33" s="37">
        <v>3</v>
      </c>
      <c r="B33" s="12">
        <v>1</v>
      </c>
      <c r="C33" s="13">
        <v>3</v>
      </c>
      <c r="E33" s="14">
        <v>84.069534000000004</v>
      </c>
      <c r="F33" s="15">
        <v>84.787310000000005</v>
      </c>
      <c r="G33" s="15">
        <v>83.924126000000001</v>
      </c>
      <c r="H33" s="16">
        <v>83.800550000000001</v>
      </c>
      <c r="I33" s="12">
        <f t="shared" ref="I33:I42" si="40">IF(OR(E33="",E33="NaN"),"",E33-AVERAGE(E$33:E$42))</f>
        <v>1.0807181999999926</v>
      </c>
      <c r="J33" s="12">
        <f t="shared" ref="J33:J42" si="41">IF(OR(F33="",F33="NaN"),"",F33-AVERAGE(F$33:F$42))</f>
        <v>0.71998440000002972</v>
      </c>
      <c r="K33" s="12">
        <f t="shared" ref="K33:K42" si="42">IF(OR(G33="",G33="NaN"),"",G33-AVERAGE(G$33:G$42))</f>
        <v>0.32264819999998906</v>
      </c>
      <c r="L33" s="17">
        <v>84.946609497070313</v>
      </c>
      <c r="M33" s="5"/>
      <c r="N33" s="5"/>
      <c r="O33" s="14">
        <v>72.499409999999997</v>
      </c>
      <c r="P33" s="15">
        <v>72.89134</v>
      </c>
      <c r="Q33" s="15">
        <v>72.394324999999995</v>
      </c>
      <c r="R33" s="16">
        <v>69.250420000000005</v>
      </c>
      <c r="S33" s="12">
        <f t="shared" ref="S33:S42" si="43">IF(OR(O33="",O33="NaN"),"",O33-AVERAGE(O$33:O$42))</f>
        <v>1.0910044000000028</v>
      </c>
      <c r="T33" s="12">
        <f t="shared" ref="T33:T42" si="44">IF(OR(P33="",P33="NaN"),"",P33-AVERAGE(P$33:P$42))</f>
        <v>-3.179810000000316E-2</v>
      </c>
      <c r="U33" s="12">
        <f t="shared" ref="U33:U42" si="45">IF(OR(Q33="",Q33="NaN"),"",Q33-AVERAGE(Q$33:Q$42))</f>
        <v>1.7258799999993357E-2</v>
      </c>
      <c r="V33" s="17">
        <v>60.568191528320313</v>
      </c>
      <c r="W33" s="5"/>
      <c r="X33" s="5"/>
      <c r="Y33" s="14">
        <v>9.7309370000000008</v>
      </c>
      <c r="Z33" s="15">
        <v>9.5945140000000002</v>
      </c>
      <c r="AA33" s="15">
        <v>9.5303079999999998</v>
      </c>
      <c r="AB33" s="16">
        <v>36.474842000000002</v>
      </c>
      <c r="AC33" s="12">
        <f t="shared" ref="AC33:AC42" si="46">IF(OR(Y33="",Y33="NaN"),"",Y33-AVERAGE(Y$33:Y$42))</f>
        <v>-0.91745819999999867</v>
      </c>
      <c r="AD33" s="12">
        <f t="shared" ref="AD33:AD42" si="47">IF(OR(Z33="",Z33="NaN"),"",Z33-AVERAGE(Z$33:Z$42))</f>
        <v>-0.13281600000000005</v>
      </c>
      <c r="AE33" s="12">
        <f t="shared" ref="AE33:AE42" si="48">IF(OR(AA33="",AA33="NaN"),"",AA33-AVERAGE(AA$33:AA$42))</f>
        <v>-0.47580740000000077</v>
      </c>
      <c r="AF33" s="17">
        <v>11.593785285949711</v>
      </c>
      <c r="AG33" s="5"/>
      <c r="AH33" s="5"/>
      <c r="AI33" s="14">
        <v>6.4959189999999998</v>
      </c>
      <c r="AJ33" s="15">
        <v>7.1211376</v>
      </c>
      <c r="AK33" s="15">
        <v>7.0517116</v>
      </c>
      <c r="AL33" s="16">
        <v>6.903124</v>
      </c>
      <c r="AM33" s="12">
        <f t="shared" ref="AM33:AM42" si="49">IF(OR(AI33="",AI33="NaN"),"",AI33-AVERAGE(AI$33:AI$42))</f>
        <v>-0.59858163000000086</v>
      </c>
      <c r="AN33" s="12">
        <f t="shared" ref="AN33:AN42" si="50">IF(OR(AJ33="",AJ33="NaN"),"",AJ33-AVERAGE(AJ$33:AJ$42))</f>
        <v>2.4660959999999399E-2</v>
      </c>
      <c r="AO33" s="12">
        <f t="shared" ref="AO33:AO42" si="51">IF(OR(AK33="",AK33="NaN"),"",AK33-AVERAGE(AK$33:AK$42))</f>
        <v>-5.3756199999999588E-2</v>
      </c>
      <c r="AP33" s="17">
        <v>6.6063270568847656</v>
      </c>
      <c r="AR33" s="5"/>
      <c r="AS33" s="14">
        <v>9.1898839999999993</v>
      </c>
      <c r="AT33" s="15">
        <v>9.041506</v>
      </c>
      <c r="AU33" s="15">
        <v>8.7853019999999997</v>
      </c>
      <c r="AV33" s="16">
        <v>11.611551</v>
      </c>
      <c r="AW33" s="12">
        <f t="shared" ref="AW33:AW42" si="52">IF(OR(AS33="",AS33="NaN"),"",AS33-AVERAGE(AS$33:AS$42))</f>
        <v>-0.83025560000000098</v>
      </c>
      <c r="AX33" s="12">
        <f t="shared" ref="AX33:AX42" si="53">IF(OR(AT33="",AT33="NaN"),"",AT33-AVERAGE(AT$33:AT$42))</f>
        <v>0.38349080000000235</v>
      </c>
      <c r="AY33" s="12">
        <f t="shared" ref="AY33:AY42" si="54">IF(OR(AU33="",AU33="NaN"),"",AU33-AVERAGE(AU$33:AU$42))</f>
        <v>3.2066000000003925E-3</v>
      </c>
      <c r="AZ33" s="17">
        <v>13.55662250518799</v>
      </c>
      <c r="BB33" s="5"/>
      <c r="BC33" s="14">
        <v>1.5612025</v>
      </c>
      <c r="BD33" s="15">
        <v>1.5609170000000001</v>
      </c>
      <c r="BE33" s="15">
        <v>1.6555285</v>
      </c>
      <c r="BF33" s="16">
        <v>4.3838800000000004</v>
      </c>
      <c r="BG33" s="12">
        <f t="shared" ref="BG33:BG42" si="55">IF(OR(BC33="",BC33="NaN"),"",BC33-AVERAGE(BC$33:BC$42))</f>
        <v>-0.18067149000000016</v>
      </c>
      <c r="BH33" s="12">
        <f t="shared" ref="BH33:BH42" si="56">IF(OR(BD33="",BD33="NaN"),"",BD33-AVERAGE(BD$33:BD$42))</f>
        <v>-8.2382269999999869E-2</v>
      </c>
      <c r="BI33" s="12">
        <f t="shared" ref="BI33:BI42" si="57">IF(OR(BE33="",BE33="NaN"),"",BE33-AVERAGE(BE$33:BE$42))</f>
        <v>-8.6430369999999979E-2</v>
      </c>
      <c r="BJ33" s="17">
        <v>4.2036666870117188</v>
      </c>
      <c r="BL33" s="5"/>
      <c r="BM33" s="14">
        <v>3.4342324999999998</v>
      </c>
      <c r="BN33" s="15">
        <v>3.519809</v>
      </c>
      <c r="BO33" s="15">
        <v>3.4538557999999999</v>
      </c>
      <c r="BP33" s="16">
        <v>18.206696999999998</v>
      </c>
      <c r="BQ33" s="12">
        <f t="shared" ref="BQ33:BQ42" si="58">IF(OR(BM33="",BM33="NaN"),"",BM33-AVERAGE(BM$33:BM$42))</f>
        <v>-1.2898473500000001</v>
      </c>
      <c r="BR33" s="12">
        <f t="shared" ref="BR33:BR42" si="59">IF(OR(BN33="",BN33="NaN"),"",BN33-AVERAGE(BN$33:BN$42))</f>
        <v>-7.4715659999999851E-2</v>
      </c>
      <c r="BS33" s="12">
        <f t="shared" ref="BS33:BS42" si="60">IF(OR(BO33="",BO33="NaN"),"",BO33-AVERAGE(BO$33:BO$42))</f>
        <v>-0.52311527999999985</v>
      </c>
      <c r="BT33" s="17">
        <v>2.5212943553924561</v>
      </c>
      <c r="BV33" s="5"/>
      <c r="BW33" s="14">
        <v>1.1961415</v>
      </c>
      <c r="BX33" s="15">
        <v>1.1772484999999999</v>
      </c>
      <c r="BY33" s="15">
        <v>1.2808796</v>
      </c>
      <c r="BZ33" s="16">
        <v>4.4172406000000004</v>
      </c>
      <c r="CA33" s="12">
        <f t="shared" ref="CA33:CA42" si="61">IF(OR(BW33="",BW33="NaN"),"",BW33-AVERAGE(BW$33:BW$42))</f>
        <v>-0.26063012000000008</v>
      </c>
      <c r="CB33" s="12">
        <f t="shared" ref="CB33:CB42" si="62">IF(OR(BX33="",BX33="NaN"),"",BX33-AVERAGE(BX$33:BX$42))</f>
        <v>-6.5925770000000217E-2</v>
      </c>
      <c r="CC33" s="12">
        <f t="shared" ref="CC33:CC42" si="63">IF(OR(BY33="",BY33="NaN"),"",BY33-AVERAGE(BY$33:BY$42))</f>
        <v>-0.14813764999999979</v>
      </c>
      <c r="CD33" s="17">
        <v>4.2597885131835938</v>
      </c>
      <c r="CI33">
        <v>4.0001935958862314</v>
      </c>
      <c r="CN33">
        <v>2.6942834854125981</v>
      </c>
    </row>
    <row r="34" spans="1:92" x14ac:dyDescent="0.25">
      <c r="A34" s="38"/>
      <c r="B34" s="5">
        <v>2</v>
      </c>
      <c r="C34" s="18">
        <v>8</v>
      </c>
      <c r="E34" s="19">
        <v>83.610280000000003</v>
      </c>
      <c r="F34" s="20">
        <v>84.250519999999995</v>
      </c>
      <c r="G34" s="20">
        <v>83.775810000000007</v>
      </c>
      <c r="H34" s="21">
        <v>83.86251</v>
      </c>
      <c r="I34" s="5">
        <f t="shared" si="40"/>
        <v>0.62146419999999125</v>
      </c>
      <c r="J34" s="5">
        <f t="shared" si="41"/>
        <v>0.18319440000001919</v>
      </c>
      <c r="K34" s="5">
        <f t="shared" si="42"/>
        <v>0.17433219999999494</v>
      </c>
      <c r="L34" s="22">
        <v>85.044418334960938</v>
      </c>
      <c r="M34" s="5"/>
      <c r="N34" s="5"/>
      <c r="O34" s="19">
        <v>72.360290000000006</v>
      </c>
      <c r="P34" s="20">
        <v>72.893299999999996</v>
      </c>
      <c r="Q34" s="20">
        <v>72.34178</v>
      </c>
      <c r="R34" s="21">
        <v>68.949079999999995</v>
      </c>
      <c r="S34" s="5">
        <f t="shared" si="43"/>
        <v>0.95188440000001151</v>
      </c>
      <c r="T34" s="5">
        <f t="shared" si="44"/>
        <v>-2.9838100000006307E-2</v>
      </c>
      <c r="U34" s="5">
        <f t="shared" si="45"/>
        <v>-3.52862000000016E-2</v>
      </c>
      <c r="V34" s="22">
        <v>60.668766021728523</v>
      </c>
      <c r="W34" s="5"/>
      <c r="X34" s="5"/>
      <c r="Y34" s="19">
        <v>9.1840620000000008</v>
      </c>
      <c r="Z34" s="20">
        <v>9.6393640000000005</v>
      </c>
      <c r="AA34" s="20">
        <v>9.9128439999999998</v>
      </c>
      <c r="AB34" s="21">
        <v>37.622010000000003</v>
      </c>
      <c r="AC34" s="5">
        <f t="shared" si="46"/>
        <v>-1.4643331999999987</v>
      </c>
      <c r="AD34" s="5">
        <f t="shared" si="47"/>
        <v>-8.7965999999999767E-2</v>
      </c>
      <c r="AE34" s="5">
        <f t="shared" si="48"/>
        <v>-9.3271400000000781E-2</v>
      </c>
      <c r="AF34" s="22">
        <v>11.369882583618161</v>
      </c>
      <c r="AG34" s="5"/>
      <c r="AH34" s="5"/>
      <c r="AI34" s="19">
        <v>7.0439990000000003</v>
      </c>
      <c r="AJ34" s="20">
        <v>6.9933139999999998</v>
      </c>
      <c r="AK34" s="20">
        <v>7.0578732000000004</v>
      </c>
      <c r="AL34" s="21">
        <v>6.9051742999999997</v>
      </c>
      <c r="AM34" s="5">
        <f t="shared" si="49"/>
        <v>-5.0501630000000297E-2</v>
      </c>
      <c r="AN34" s="5">
        <f t="shared" si="50"/>
        <v>-0.10316264000000075</v>
      </c>
      <c r="AO34" s="5">
        <f t="shared" si="51"/>
        <v>-4.7594599999999154E-2</v>
      </c>
      <c r="AP34" s="22">
        <v>6.8312191963195801</v>
      </c>
      <c r="AR34" s="5"/>
      <c r="AS34" s="19">
        <v>9.3145150000000001</v>
      </c>
      <c r="AT34" s="20">
        <v>8.8193359999999998</v>
      </c>
      <c r="AU34" s="20">
        <v>8.6702919999999999</v>
      </c>
      <c r="AV34" s="21">
        <v>11.7235</v>
      </c>
      <c r="AW34" s="5">
        <f t="shared" si="52"/>
        <v>-0.70562460000000016</v>
      </c>
      <c r="AX34" s="5">
        <f t="shared" si="53"/>
        <v>0.16132080000000215</v>
      </c>
      <c r="AY34" s="5">
        <f t="shared" si="54"/>
        <v>-0.11180339999999944</v>
      </c>
      <c r="AZ34" s="22">
        <v>13.241203308105471</v>
      </c>
      <c r="BB34" s="5"/>
      <c r="BC34" s="19">
        <v>1.6652031</v>
      </c>
      <c r="BD34" s="20">
        <v>1.5602058000000001</v>
      </c>
      <c r="BE34" s="20">
        <v>1.7552338000000001</v>
      </c>
      <c r="BF34" s="21">
        <v>4.3996816000000001</v>
      </c>
      <c r="BG34" s="5">
        <f t="shared" si="55"/>
        <v>-7.6670890000000158E-2</v>
      </c>
      <c r="BH34" s="5">
        <f t="shared" si="56"/>
        <v>-8.3093469999999892E-2</v>
      </c>
      <c r="BI34" s="5">
        <f t="shared" si="57"/>
        <v>1.3274930000000129E-2</v>
      </c>
      <c r="BJ34" s="22">
        <v>4.1946253776550293</v>
      </c>
      <c r="BL34" s="5"/>
      <c r="BM34" s="19">
        <v>3.5218308</v>
      </c>
      <c r="BN34" s="20">
        <v>3.2626485999999999</v>
      </c>
      <c r="BO34" s="20">
        <v>3.8524769999999999</v>
      </c>
      <c r="BP34" s="21">
        <v>19.08323</v>
      </c>
      <c r="BQ34" s="5">
        <f t="shared" si="58"/>
        <v>-1.2022490499999998</v>
      </c>
      <c r="BR34" s="5">
        <f t="shared" si="59"/>
        <v>-0.33187605999999992</v>
      </c>
      <c r="BS34" s="5">
        <f t="shared" si="60"/>
        <v>-0.12449407999999984</v>
      </c>
      <c r="BT34" s="22">
        <v>2.3718886375427251</v>
      </c>
      <c r="BV34" s="5"/>
      <c r="BW34" s="19">
        <v>1.247045</v>
      </c>
      <c r="BX34" s="20">
        <v>1.1979887</v>
      </c>
      <c r="BY34" s="20">
        <v>1.2788104</v>
      </c>
      <c r="BZ34" s="21">
        <v>4.3916579999999996</v>
      </c>
      <c r="CA34" s="5">
        <f t="shared" si="61"/>
        <v>-0.20972662000000009</v>
      </c>
      <c r="CB34" s="5">
        <f t="shared" si="62"/>
        <v>-4.5185570000000119E-2</v>
      </c>
      <c r="CC34" s="5">
        <f t="shared" si="63"/>
        <v>-0.15020684999999978</v>
      </c>
      <c r="CD34" s="22">
        <v>4.5513849258422852</v>
      </c>
      <c r="CI34">
        <v>4.043677806854248</v>
      </c>
      <c r="CN34">
        <v>2.4472286701202401</v>
      </c>
    </row>
    <row r="35" spans="1:92" x14ac:dyDescent="0.25">
      <c r="A35" s="38"/>
      <c r="B35" s="5">
        <v>3</v>
      </c>
      <c r="C35" s="18">
        <v>13</v>
      </c>
      <c r="E35" s="19">
        <v>83.526660000000007</v>
      </c>
      <c r="F35" s="20">
        <v>83.992965999999996</v>
      </c>
      <c r="G35" s="20">
        <v>83.312256000000005</v>
      </c>
      <c r="H35" s="21">
        <v>83.749639999999999</v>
      </c>
      <c r="I35" s="5">
        <f t="shared" si="40"/>
        <v>0.537844199999995</v>
      </c>
      <c r="J35" s="5">
        <f t="shared" si="41"/>
        <v>-7.4359599999979764E-2</v>
      </c>
      <c r="K35" s="5">
        <f t="shared" si="42"/>
        <v>-0.28922180000000708</v>
      </c>
      <c r="L35" s="22">
        <v>85.158523559570313</v>
      </c>
      <c r="M35" s="5"/>
      <c r="N35" s="5"/>
      <c r="O35" s="19">
        <v>72.37433</v>
      </c>
      <c r="P35" s="20">
        <v>72.978980000000007</v>
      </c>
      <c r="Q35" s="20">
        <v>72.394874999999999</v>
      </c>
      <c r="R35" s="21">
        <v>69.562610000000006</v>
      </c>
      <c r="S35" s="5">
        <f t="shared" si="43"/>
        <v>0.96592440000000579</v>
      </c>
      <c r="T35" s="5">
        <f t="shared" si="44"/>
        <v>5.584190000000433E-2</v>
      </c>
      <c r="U35" s="5">
        <f t="shared" si="45"/>
        <v>1.7808799999997404E-2</v>
      </c>
      <c r="V35" s="22">
        <v>60.418991088867188</v>
      </c>
      <c r="W35" s="5"/>
      <c r="X35" s="5"/>
      <c r="Y35" s="19">
        <v>9.3821949999999994</v>
      </c>
      <c r="Z35" s="20">
        <v>9.7557720000000003</v>
      </c>
      <c r="AA35" s="20">
        <v>10.012308000000001</v>
      </c>
      <c r="AB35" s="21">
        <v>37.778750000000002</v>
      </c>
      <c r="AC35" s="5">
        <f t="shared" si="46"/>
        <v>-1.2662002000000001</v>
      </c>
      <c r="AD35" s="5">
        <f t="shared" si="47"/>
        <v>2.8442000000000078E-2</v>
      </c>
      <c r="AE35" s="5">
        <f t="shared" si="48"/>
        <v>6.1926000000003256E-3</v>
      </c>
      <c r="AF35" s="22">
        <v>11.453647613525391</v>
      </c>
      <c r="AG35" s="5"/>
      <c r="AH35" s="5"/>
      <c r="AI35" s="19">
        <v>7.0613203000000002</v>
      </c>
      <c r="AJ35" s="20">
        <v>7.1916785000000001</v>
      </c>
      <c r="AK35" s="20">
        <v>7.1292819999999999</v>
      </c>
      <c r="AL35" s="21">
        <v>6.9432299999999998</v>
      </c>
      <c r="AM35" s="5">
        <f t="shared" si="49"/>
        <v>-3.3180330000000424E-2</v>
      </c>
      <c r="AN35" s="5">
        <f t="shared" si="50"/>
        <v>9.5201859999999527E-2</v>
      </c>
      <c r="AO35" s="5">
        <f t="shared" si="51"/>
        <v>2.3814200000000341E-2</v>
      </c>
      <c r="AP35" s="22">
        <v>6.6808228492736816</v>
      </c>
      <c r="AR35" s="5"/>
      <c r="AS35" s="19">
        <v>9.2084489999999999</v>
      </c>
      <c r="AT35" s="20">
        <v>8.7469610000000007</v>
      </c>
      <c r="AU35" s="20">
        <v>8.8646170000000009</v>
      </c>
      <c r="AV35" s="21">
        <v>12.105834</v>
      </c>
      <c r="AW35" s="5">
        <f t="shared" si="52"/>
        <v>-0.81169060000000037</v>
      </c>
      <c r="AX35" s="5">
        <f t="shared" si="53"/>
        <v>8.8945800000002961E-2</v>
      </c>
      <c r="AY35" s="5">
        <f t="shared" si="54"/>
        <v>8.2521600000001527E-2</v>
      </c>
      <c r="AZ35" s="22">
        <v>13.590052604675289</v>
      </c>
      <c r="BB35" s="5"/>
      <c r="BC35" s="19">
        <v>1.6520258000000001</v>
      </c>
      <c r="BD35" s="20">
        <v>1.6748983</v>
      </c>
      <c r="BE35" s="20">
        <v>1.7529015999999999</v>
      </c>
      <c r="BF35" s="21">
        <v>4.4269720000000001</v>
      </c>
      <c r="BG35" s="5">
        <f t="shared" si="55"/>
        <v>-8.9848190000000105E-2</v>
      </c>
      <c r="BH35" s="5">
        <f t="shared" si="56"/>
        <v>3.1599029999999972E-2</v>
      </c>
      <c r="BI35" s="5">
        <f t="shared" si="57"/>
        <v>1.0942730000000012E-2</v>
      </c>
      <c r="BJ35" s="22">
        <v>4.2163424491882324</v>
      </c>
      <c r="BL35" s="5"/>
      <c r="BM35" s="19">
        <v>3.6262799999999999</v>
      </c>
      <c r="BN35" s="20">
        <v>3.6757882</v>
      </c>
      <c r="BO35" s="20">
        <v>3.8520400000000001</v>
      </c>
      <c r="BP35" s="21">
        <v>19.044339999999998</v>
      </c>
      <c r="BQ35" s="5">
        <f t="shared" si="58"/>
        <v>-1.0977998499999999</v>
      </c>
      <c r="BR35" s="5">
        <f t="shared" si="59"/>
        <v>8.1263540000000134E-2</v>
      </c>
      <c r="BS35" s="5">
        <f t="shared" si="60"/>
        <v>-0.12493107999999964</v>
      </c>
      <c r="BT35" s="22">
        <v>2.754292488098145</v>
      </c>
      <c r="BV35" s="5"/>
      <c r="BW35" s="19">
        <v>1.2728529</v>
      </c>
      <c r="BX35" s="20">
        <v>1.2211885</v>
      </c>
      <c r="BY35" s="20">
        <v>1.4450703</v>
      </c>
      <c r="BZ35" s="21">
        <v>5.025944</v>
      </c>
      <c r="CA35" s="5">
        <f t="shared" si="61"/>
        <v>-0.18391872000000009</v>
      </c>
      <c r="CB35" s="5">
        <f t="shared" si="62"/>
        <v>-2.1985770000000127E-2</v>
      </c>
      <c r="CC35" s="5">
        <f t="shared" si="63"/>
        <v>1.6053050000000235E-2</v>
      </c>
      <c r="CD35" s="22">
        <v>4.0003385543823242</v>
      </c>
      <c r="CI35">
        <v>4.4434375762939453</v>
      </c>
      <c r="CN35">
        <v>2.5300178527832031</v>
      </c>
    </row>
    <row r="36" spans="1:92" x14ac:dyDescent="0.25">
      <c r="A36" s="38"/>
      <c r="B36" s="5">
        <v>4</v>
      </c>
      <c r="C36" s="18">
        <v>18</v>
      </c>
      <c r="E36" s="19">
        <v>83.495189999999994</v>
      </c>
      <c r="F36" s="20">
        <v>83.918334999999999</v>
      </c>
      <c r="G36" s="20">
        <v>83.725409999999997</v>
      </c>
      <c r="H36" s="21">
        <v>83.715029999999999</v>
      </c>
      <c r="I36" s="5">
        <f t="shared" si="40"/>
        <v>0.50637419999998201</v>
      </c>
      <c r="J36" s="5">
        <f t="shared" si="41"/>
        <v>-0.14899059999997633</v>
      </c>
      <c r="K36" s="5">
        <f t="shared" si="42"/>
        <v>0.1239321999999845</v>
      </c>
      <c r="L36" s="22">
        <v>85.0379638671875</v>
      </c>
      <c r="M36" s="5"/>
      <c r="N36" s="5"/>
      <c r="O36" s="19">
        <v>72.446889999999996</v>
      </c>
      <c r="P36" s="20">
        <v>72.828316000000001</v>
      </c>
      <c r="Q36" s="20">
        <v>72.112235999999996</v>
      </c>
      <c r="R36" s="21">
        <v>69.164900000000003</v>
      </c>
      <c r="S36" s="5">
        <f t="shared" si="43"/>
        <v>1.0384844000000015</v>
      </c>
      <c r="T36" s="5">
        <f t="shared" si="44"/>
        <v>-9.4822100000001797E-2</v>
      </c>
      <c r="U36" s="5">
        <f t="shared" si="45"/>
        <v>-0.26483020000000579</v>
      </c>
      <c r="V36" s="22">
        <v>60.565296173095703</v>
      </c>
      <c r="W36" s="5"/>
      <c r="X36" s="5"/>
      <c r="Y36" s="19">
        <v>9.3594519999999992</v>
      </c>
      <c r="Z36" s="20">
        <v>9.7715479999999992</v>
      </c>
      <c r="AA36" s="20">
        <v>10.621473</v>
      </c>
      <c r="AB36" s="21">
        <v>36.526870000000002</v>
      </c>
      <c r="AC36" s="5">
        <f t="shared" si="46"/>
        <v>-1.2889432000000003</v>
      </c>
      <c r="AD36" s="5">
        <f t="shared" si="47"/>
        <v>4.421799999999898E-2</v>
      </c>
      <c r="AE36" s="5">
        <f t="shared" si="48"/>
        <v>0.61535759999999939</v>
      </c>
      <c r="AF36" s="22">
        <v>11.6477108001709</v>
      </c>
      <c r="AG36" s="5"/>
      <c r="AH36" s="5"/>
      <c r="AI36" s="19">
        <v>6.8751429999999996</v>
      </c>
      <c r="AJ36" s="20">
        <v>7.089073</v>
      </c>
      <c r="AK36" s="20">
        <v>7.1716660000000001</v>
      </c>
      <c r="AL36" s="21">
        <v>6.7875237000000004</v>
      </c>
      <c r="AM36" s="5">
        <f t="shared" si="49"/>
        <v>-0.21935763000000108</v>
      </c>
      <c r="AN36" s="5">
        <f t="shared" si="50"/>
        <v>-7.4036400000005997E-3</v>
      </c>
      <c r="AO36" s="5">
        <f t="shared" si="51"/>
        <v>6.619820000000054E-2</v>
      </c>
      <c r="AP36" s="22">
        <v>6.6499714851379403</v>
      </c>
      <c r="AR36" s="5"/>
      <c r="AS36" s="19">
        <v>9.2938539999999996</v>
      </c>
      <c r="AT36" s="20">
        <v>8.5846450000000001</v>
      </c>
      <c r="AU36" s="20">
        <v>8.7891270000000006</v>
      </c>
      <c r="AV36" s="21">
        <v>11.386730999999999</v>
      </c>
      <c r="AW36" s="5">
        <f t="shared" si="52"/>
        <v>-0.72628560000000064</v>
      </c>
      <c r="AX36" s="5">
        <f t="shared" si="53"/>
        <v>-7.337019999999761E-2</v>
      </c>
      <c r="AY36" s="5">
        <f t="shared" si="54"/>
        <v>7.031600000001248E-3</v>
      </c>
      <c r="AZ36" s="22">
        <v>13.64858245849609</v>
      </c>
      <c r="BB36" s="5"/>
      <c r="BC36" s="19">
        <v>1.6458716</v>
      </c>
      <c r="BD36" s="20">
        <v>1.674045</v>
      </c>
      <c r="BE36" s="20">
        <v>1.7559450000000001</v>
      </c>
      <c r="BF36" s="21">
        <v>4.4305859999999999</v>
      </c>
      <c r="BG36" s="5">
        <f t="shared" si="55"/>
        <v>-9.6002390000000215E-2</v>
      </c>
      <c r="BH36" s="5">
        <f t="shared" si="56"/>
        <v>3.0745730000000027E-2</v>
      </c>
      <c r="BI36" s="5">
        <f t="shared" si="57"/>
        <v>1.3986130000000152E-2</v>
      </c>
      <c r="BJ36" s="22">
        <v>4.1814427375793457</v>
      </c>
      <c r="BL36" s="5"/>
      <c r="BM36" s="19">
        <v>3.5758936000000001</v>
      </c>
      <c r="BN36" s="20">
        <v>3.5929579999999999</v>
      </c>
      <c r="BO36" s="20">
        <v>4.1478229999999998</v>
      </c>
      <c r="BP36" s="21">
        <v>18.24945</v>
      </c>
      <c r="BQ36" s="5">
        <f t="shared" si="58"/>
        <v>-1.1481862499999997</v>
      </c>
      <c r="BR36" s="5">
        <f t="shared" si="59"/>
        <v>-1.566659999999942E-3</v>
      </c>
      <c r="BS36" s="5">
        <f t="shared" si="60"/>
        <v>0.17085192000000005</v>
      </c>
      <c r="BT36" s="22">
        <v>2.4448099136352539</v>
      </c>
      <c r="BV36" s="5"/>
      <c r="BW36" s="19">
        <v>1.2247854</v>
      </c>
      <c r="BX36" s="20">
        <v>1.2311540999999999</v>
      </c>
      <c r="BY36" s="20">
        <v>1.5589039</v>
      </c>
      <c r="BZ36" s="21">
        <v>5.0489990000000002</v>
      </c>
      <c r="CA36" s="5">
        <f t="shared" si="61"/>
        <v>-0.23198622000000002</v>
      </c>
      <c r="CB36" s="5">
        <f t="shared" si="62"/>
        <v>-1.2020170000000219E-2</v>
      </c>
      <c r="CC36" s="5">
        <f t="shared" si="63"/>
        <v>0.12988665000000021</v>
      </c>
      <c r="CD36" s="22">
        <v>4.0664181709289551</v>
      </c>
      <c r="CI36">
        <v>4.385951042175293</v>
      </c>
      <c r="CN36">
        <v>2.5207197666168208</v>
      </c>
    </row>
    <row r="37" spans="1:92" x14ac:dyDescent="0.25">
      <c r="A37" s="38"/>
      <c r="B37" s="5">
        <v>5</v>
      </c>
      <c r="C37" s="18">
        <v>23</v>
      </c>
      <c r="E37" s="19">
        <v>83.480369999999994</v>
      </c>
      <c r="F37" s="20">
        <v>83.891469999999998</v>
      </c>
      <c r="G37" s="20">
        <v>83.602289999999996</v>
      </c>
      <c r="H37" s="21">
        <v>83.873374999999996</v>
      </c>
      <c r="I37" s="5">
        <f t="shared" si="40"/>
        <v>0.49155419999998173</v>
      </c>
      <c r="J37" s="5">
        <f t="shared" si="41"/>
        <v>-0.17585559999997713</v>
      </c>
      <c r="K37" s="5">
        <f t="shared" si="42"/>
        <v>8.1219999998438652E-4</v>
      </c>
      <c r="L37" s="22">
        <v>84.921974182128906</v>
      </c>
      <c r="M37" s="5"/>
      <c r="N37" s="5"/>
      <c r="O37" s="19">
        <v>72.385925</v>
      </c>
      <c r="P37" s="20">
        <v>72.847880000000004</v>
      </c>
      <c r="Q37" s="20">
        <v>72.395489999999995</v>
      </c>
      <c r="R37" s="21">
        <v>68.932334999999995</v>
      </c>
      <c r="S37" s="5">
        <f t="shared" si="43"/>
        <v>0.97751940000000559</v>
      </c>
      <c r="T37" s="5">
        <f t="shared" si="44"/>
        <v>-7.5258099999999217E-2</v>
      </c>
      <c r="U37" s="5">
        <f t="shared" si="45"/>
        <v>1.8423799999993662E-2</v>
      </c>
      <c r="V37" s="22">
        <v>60.568370819091797</v>
      </c>
      <c r="W37" s="5"/>
      <c r="X37" s="5"/>
      <c r="Y37" s="19">
        <v>9.2206580000000002</v>
      </c>
      <c r="Z37" s="20">
        <v>9.5868599999999997</v>
      </c>
      <c r="AA37" s="20">
        <v>9.7191310000000009</v>
      </c>
      <c r="AB37" s="21">
        <v>36.581257000000001</v>
      </c>
      <c r="AC37" s="5">
        <f t="shared" si="46"/>
        <v>-1.4277371999999993</v>
      </c>
      <c r="AD37" s="5">
        <f t="shared" si="47"/>
        <v>-0.14047000000000054</v>
      </c>
      <c r="AE37" s="5">
        <f t="shared" si="48"/>
        <v>-0.2869843999999997</v>
      </c>
      <c r="AF37" s="22">
        <v>11.517763137817379</v>
      </c>
      <c r="AG37" s="5"/>
      <c r="AH37" s="5"/>
      <c r="AI37" s="19">
        <v>6.8751429999999996</v>
      </c>
      <c r="AJ37" s="20">
        <v>7.1124159999999996</v>
      </c>
      <c r="AK37" s="20">
        <v>7.1442410000000001</v>
      </c>
      <c r="AL37" s="21">
        <v>6.8758816999999999</v>
      </c>
      <c r="AM37" s="5">
        <f t="shared" si="49"/>
        <v>-0.21935763000000108</v>
      </c>
      <c r="AN37" s="5">
        <f t="shared" si="50"/>
        <v>1.593935999999907E-2</v>
      </c>
      <c r="AO37" s="5">
        <f t="shared" si="51"/>
        <v>3.8773200000000507E-2</v>
      </c>
      <c r="AP37" s="22">
        <v>6.2145752906799316</v>
      </c>
      <c r="AR37" s="5"/>
      <c r="AS37" s="19">
        <v>9.3617819999999998</v>
      </c>
      <c r="AT37" s="20">
        <v>8.5833844999999993</v>
      </c>
      <c r="AU37" s="20">
        <v>8.7709069999999993</v>
      </c>
      <c r="AV37" s="21">
        <v>12.139737</v>
      </c>
      <c r="AW37" s="5">
        <f t="shared" si="52"/>
        <v>-0.65835760000000043</v>
      </c>
      <c r="AX37" s="5">
        <f t="shared" si="53"/>
        <v>-7.4630699999998384E-2</v>
      </c>
      <c r="AY37" s="5">
        <f t="shared" si="54"/>
        <v>-1.1188399999999987E-2</v>
      </c>
      <c r="AZ37" s="22">
        <v>13.40888500213623</v>
      </c>
      <c r="BB37" s="5"/>
      <c r="BC37" s="19">
        <v>1.6498474000000001</v>
      </c>
      <c r="BD37" s="20">
        <v>1.5697452000000001</v>
      </c>
      <c r="BE37" s="20">
        <v>1.7559450000000001</v>
      </c>
      <c r="BF37" s="21">
        <v>4.4269720000000001</v>
      </c>
      <c r="BG37" s="5">
        <f t="shared" si="55"/>
        <v>-9.202659000000013E-2</v>
      </c>
      <c r="BH37" s="5">
        <f t="shared" si="56"/>
        <v>-7.3554069999999916E-2</v>
      </c>
      <c r="BI37" s="5">
        <f t="shared" si="57"/>
        <v>1.3986130000000152E-2</v>
      </c>
      <c r="BJ37" s="22">
        <v>4.1814427375793457</v>
      </c>
      <c r="BL37" s="5"/>
      <c r="BM37" s="19">
        <v>3.5426962</v>
      </c>
      <c r="BN37" s="20">
        <v>3.5695125999999999</v>
      </c>
      <c r="BO37" s="20">
        <v>4.1098790000000003</v>
      </c>
      <c r="BP37" s="21">
        <v>18.312645</v>
      </c>
      <c r="BQ37" s="5">
        <f t="shared" si="58"/>
        <v>-1.1813836499999999</v>
      </c>
      <c r="BR37" s="5">
        <f t="shared" si="59"/>
        <v>-2.5012059999999892E-2</v>
      </c>
      <c r="BS37" s="5">
        <f t="shared" si="60"/>
        <v>0.13290792000000051</v>
      </c>
      <c r="BT37" s="22">
        <v>2.5400998592376709</v>
      </c>
      <c r="BV37" s="5"/>
      <c r="BW37" s="19">
        <v>1.2194073999999999</v>
      </c>
      <c r="BX37" s="20">
        <v>1.2179553999999999</v>
      </c>
      <c r="BY37" s="20">
        <v>1.4348363</v>
      </c>
      <c r="BZ37" s="21">
        <v>5.035806</v>
      </c>
      <c r="CA37" s="5">
        <f t="shared" si="61"/>
        <v>-0.23736422000000013</v>
      </c>
      <c r="CB37" s="5">
        <f t="shared" si="62"/>
        <v>-2.5218870000000226E-2</v>
      </c>
      <c r="CC37" s="5">
        <f t="shared" si="63"/>
        <v>5.8190500000001588E-3</v>
      </c>
      <c r="CD37" s="22">
        <v>4.0333781242370614</v>
      </c>
      <c r="CI37">
        <v>4.1773681640625</v>
      </c>
      <c r="CN37">
        <v>2.6772885322570801</v>
      </c>
    </row>
    <row r="38" spans="1:92" x14ac:dyDescent="0.25">
      <c r="A38" s="38"/>
      <c r="B38" s="5">
        <v>6</v>
      </c>
      <c r="C38" s="18">
        <v>28</v>
      </c>
      <c r="E38" s="19">
        <v>83.665763999999996</v>
      </c>
      <c r="F38" s="20">
        <v>84.069069999999996</v>
      </c>
      <c r="G38" s="20">
        <v>83.690039999999996</v>
      </c>
      <c r="H38" s="21">
        <v>83.853545999999994</v>
      </c>
      <c r="I38" s="5">
        <f t="shared" si="40"/>
        <v>0.67694819999998401</v>
      </c>
      <c r="J38" s="5">
        <f t="shared" si="41"/>
        <v>1.7444000000210735E-3</v>
      </c>
      <c r="K38" s="5">
        <f t="shared" si="42"/>
        <v>8.8562199999984159E-2</v>
      </c>
      <c r="L38" s="22">
        <v>85.052223205566406</v>
      </c>
      <c r="M38" s="5"/>
      <c r="N38" s="5"/>
      <c r="O38" s="19">
        <v>72.357470000000006</v>
      </c>
      <c r="P38" s="20">
        <v>72.941360000000003</v>
      </c>
      <c r="Q38" s="20">
        <v>72.474509999999995</v>
      </c>
      <c r="R38" s="21">
        <v>68.942570000000003</v>
      </c>
      <c r="S38" s="5">
        <f t="shared" si="43"/>
        <v>0.94906440000001169</v>
      </c>
      <c r="T38" s="5">
        <f t="shared" si="44"/>
        <v>1.8221900000000346E-2</v>
      </c>
      <c r="U38" s="5">
        <f t="shared" si="45"/>
        <v>9.744379999999353E-2</v>
      </c>
      <c r="V38" s="22">
        <v>60.514297485351563</v>
      </c>
      <c r="W38" s="5"/>
      <c r="X38" s="5"/>
      <c r="Y38" s="19">
        <v>9.2515850000000004</v>
      </c>
      <c r="Z38" s="20">
        <v>9.4471360000000004</v>
      </c>
      <c r="AA38" s="20">
        <v>10.617692</v>
      </c>
      <c r="AB38" s="21">
        <v>36.242829999999998</v>
      </c>
      <c r="AC38" s="5">
        <f t="shared" si="46"/>
        <v>-1.3968101999999991</v>
      </c>
      <c r="AD38" s="5">
        <f t="shared" si="47"/>
        <v>-0.28019399999999983</v>
      </c>
      <c r="AE38" s="5">
        <f t="shared" si="48"/>
        <v>0.61157659999999936</v>
      </c>
      <c r="AF38" s="22">
        <v>11.40084266662598</v>
      </c>
      <c r="AG38" s="5"/>
      <c r="AH38" s="5"/>
      <c r="AI38" s="19">
        <v>7.0437700000000003</v>
      </c>
      <c r="AJ38" s="20">
        <v>7.1203412999999998</v>
      </c>
      <c r="AK38" s="20">
        <v>7.0682162999999996</v>
      </c>
      <c r="AL38" s="21">
        <v>6.8967295000000002</v>
      </c>
      <c r="AM38" s="5">
        <f t="shared" si="49"/>
        <v>-5.0730630000000332E-2</v>
      </c>
      <c r="AN38" s="5">
        <f t="shared" si="50"/>
        <v>2.3864659999999205E-2</v>
      </c>
      <c r="AO38" s="5">
        <f t="shared" si="51"/>
        <v>-3.7251499999999993E-2</v>
      </c>
      <c r="AP38" s="22">
        <v>6.8472824096679688</v>
      </c>
      <c r="AR38" s="5"/>
      <c r="AS38" s="19">
        <v>9.3375470000000007</v>
      </c>
      <c r="AT38" s="20">
        <v>8.6620629999999998</v>
      </c>
      <c r="AU38" s="20">
        <v>8.7996879999999997</v>
      </c>
      <c r="AV38" s="21">
        <v>12.139737</v>
      </c>
      <c r="AW38" s="5">
        <f t="shared" si="52"/>
        <v>-0.68259259999999955</v>
      </c>
      <c r="AX38" s="5">
        <f t="shared" si="53"/>
        <v>4.0478000000021552E-3</v>
      </c>
      <c r="AY38" s="5">
        <f t="shared" si="54"/>
        <v>1.7592600000000402E-2</v>
      </c>
      <c r="AZ38" s="22">
        <v>13.60497951507568</v>
      </c>
      <c r="BB38" s="5"/>
      <c r="BC38" s="19">
        <v>1.6610446000000001</v>
      </c>
      <c r="BD38" s="20">
        <v>1.674045</v>
      </c>
      <c r="BE38" s="20">
        <v>1.7559450000000001</v>
      </c>
      <c r="BF38" s="21">
        <v>4.4269720000000001</v>
      </c>
      <c r="BG38" s="5">
        <f t="shared" si="55"/>
        <v>-8.0829390000000112E-2</v>
      </c>
      <c r="BH38" s="5">
        <f t="shared" si="56"/>
        <v>3.0745730000000027E-2</v>
      </c>
      <c r="BI38" s="5">
        <f t="shared" si="57"/>
        <v>1.3986130000000152E-2</v>
      </c>
      <c r="BJ38" s="22">
        <v>4.193300724029541</v>
      </c>
      <c r="BL38" s="5"/>
      <c r="BM38" s="19">
        <v>3.545045</v>
      </c>
      <c r="BN38" s="20">
        <v>3.6013419999999998</v>
      </c>
      <c r="BO38" s="20">
        <v>4.0783505</v>
      </c>
      <c r="BP38" s="21">
        <v>18.262551999999999</v>
      </c>
      <c r="BQ38" s="5">
        <f t="shared" si="58"/>
        <v>-1.1790348499999999</v>
      </c>
      <c r="BR38" s="5">
        <f t="shared" si="59"/>
        <v>6.8173400000000051E-3</v>
      </c>
      <c r="BS38" s="5">
        <f t="shared" si="60"/>
        <v>0.10137942000000022</v>
      </c>
      <c r="BT38" s="22">
        <v>2.5072586536407471</v>
      </c>
      <c r="BV38" s="5"/>
      <c r="BW38" s="19">
        <v>1.2338648999999999</v>
      </c>
      <c r="BX38" s="20">
        <v>1.3729239</v>
      </c>
      <c r="BY38" s="20">
        <v>1.4312388</v>
      </c>
      <c r="BZ38" s="21">
        <v>5.0471687000000003</v>
      </c>
      <c r="CA38" s="5">
        <f t="shared" si="61"/>
        <v>-0.22290672000000011</v>
      </c>
      <c r="CB38" s="5">
        <f t="shared" si="62"/>
        <v>0.12974962999999984</v>
      </c>
      <c r="CC38" s="5">
        <f t="shared" si="63"/>
        <v>2.2215500000002386E-3</v>
      </c>
      <c r="CD38" s="22">
        <v>4.1506633758544922</v>
      </c>
      <c r="CI38">
        <v>4.2903838157653809</v>
      </c>
      <c r="CN38">
        <v>3.4586410522460942</v>
      </c>
    </row>
    <row r="39" spans="1:92" x14ac:dyDescent="0.25">
      <c r="A39" s="38"/>
      <c r="B39" s="5">
        <v>7</v>
      </c>
      <c r="C39" s="18">
        <v>33</v>
      </c>
      <c r="E39" s="19">
        <v>83.59545</v>
      </c>
      <c r="F39" s="20">
        <v>84.30095</v>
      </c>
      <c r="G39" s="20">
        <v>83.495400000000004</v>
      </c>
      <c r="H39" s="21">
        <v>83.702600000000004</v>
      </c>
      <c r="I39" s="5">
        <f t="shared" si="40"/>
        <v>0.6066341999999878</v>
      </c>
      <c r="J39" s="5">
        <f t="shared" si="41"/>
        <v>0.23362440000002493</v>
      </c>
      <c r="K39" s="5">
        <f t="shared" si="42"/>
        <v>-0.10607780000000844</v>
      </c>
      <c r="L39" s="22">
        <v>84.045852661132813</v>
      </c>
      <c r="M39" s="5"/>
      <c r="N39" s="5"/>
      <c r="O39" s="19">
        <v>72.468710000000002</v>
      </c>
      <c r="P39" s="20">
        <v>72.95017</v>
      </c>
      <c r="Q39" s="20">
        <v>72.446659999999994</v>
      </c>
      <c r="R39" s="21">
        <v>69.043210000000002</v>
      </c>
      <c r="S39" s="5">
        <f t="shared" si="43"/>
        <v>1.0603044000000068</v>
      </c>
      <c r="T39" s="5">
        <f t="shared" si="44"/>
        <v>2.7031899999997222E-2</v>
      </c>
      <c r="U39" s="5">
        <f t="shared" si="45"/>
        <v>6.9593799999992711E-2</v>
      </c>
      <c r="V39" s="22">
        <v>72.622489929199219</v>
      </c>
      <c r="W39" s="5"/>
      <c r="X39" s="5"/>
      <c r="Y39" s="19">
        <v>9.3809400000000007</v>
      </c>
      <c r="Z39" s="20">
        <v>9.8670639999999992</v>
      </c>
      <c r="AA39" s="20">
        <v>9.4444949999999999</v>
      </c>
      <c r="AB39" s="21">
        <v>36.173588000000002</v>
      </c>
      <c r="AC39" s="5">
        <f t="shared" si="46"/>
        <v>-1.2674551999999988</v>
      </c>
      <c r="AD39" s="5">
        <f t="shared" si="47"/>
        <v>0.13973399999999891</v>
      </c>
      <c r="AE39" s="5">
        <f t="shared" si="48"/>
        <v>-0.56162040000000069</v>
      </c>
      <c r="AF39" s="22">
        <v>19.921598434448239</v>
      </c>
      <c r="AG39" s="5"/>
      <c r="AH39" s="5"/>
      <c r="AI39" s="19">
        <v>6.8751429999999996</v>
      </c>
      <c r="AJ39" s="20">
        <v>7.0706959999999999</v>
      </c>
      <c r="AK39" s="20">
        <v>7.1248813000000002</v>
      </c>
      <c r="AL39" s="21">
        <v>6.9356375000000003</v>
      </c>
      <c r="AM39" s="5">
        <f t="shared" si="49"/>
        <v>-0.21935763000000108</v>
      </c>
      <c r="AN39" s="5">
        <f t="shared" si="50"/>
        <v>-2.5780640000000687E-2</v>
      </c>
      <c r="AO39" s="5">
        <f t="shared" si="51"/>
        <v>1.9413500000000639E-2</v>
      </c>
      <c r="AP39" s="22">
        <v>6.8207535743713379</v>
      </c>
      <c r="AR39" s="5"/>
      <c r="AS39" s="19">
        <v>9.1242959999999993</v>
      </c>
      <c r="AT39" s="20">
        <v>8.633127</v>
      </c>
      <c r="AU39" s="20">
        <v>8.7845279999999999</v>
      </c>
      <c r="AV39" s="21">
        <v>11.711016000000001</v>
      </c>
      <c r="AW39" s="5">
        <f t="shared" si="52"/>
        <v>-0.89584360000000096</v>
      </c>
      <c r="AX39" s="5">
        <f t="shared" si="53"/>
        <v>-2.4888199999997695E-2</v>
      </c>
      <c r="AY39" s="5">
        <f t="shared" si="54"/>
        <v>2.4326000000005621E-3</v>
      </c>
      <c r="AZ39" s="22">
        <v>8.4463167190551758</v>
      </c>
      <c r="BB39" s="5"/>
      <c r="BC39" s="19">
        <v>1.6366700999999999</v>
      </c>
      <c r="BD39" s="20">
        <v>1.6748983</v>
      </c>
      <c r="BE39" s="20">
        <v>1.7552338000000001</v>
      </c>
      <c r="BF39" s="21">
        <v>4.4305859999999999</v>
      </c>
      <c r="BG39" s="5">
        <f t="shared" si="55"/>
        <v>-0.1052038900000003</v>
      </c>
      <c r="BH39" s="5">
        <f t="shared" si="56"/>
        <v>3.1599029999999972E-2</v>
      </c>
      <c r="BI39" s="5">
        <f t="shared" si="57"/>
        <v>1.3274930000000129E-2</v>
      </c>
      <c r="BJ39" s="22">
        <v>2.0335762500762939</v>
      </c>
      <c r="BL39" s="5"/>
      <c r="BM39" s="19">
        <v>3.6157553</v>
      </c>
      <c r="BN39" s="20">
        <v>3.631024</v>
      </c>
      <c r="BO39" s="20">
        <v>4.0993880000000003</v>
      </c>
      <c r="BP39" s="21">
        <v>18.296935999999999</v>
      </c>
      <c r="BQ39" s="5">
        <f t="shared" si="58"/>
        <v>-1.1083245499999999</v>
      </c>
      <c r="BR39" s="5">
        <f t="shared" si="59"/>
        <v>3.6499340000000213E-2</v>
      </c>
      <c r="BS39" s="5">
        <f t="shared" si="60"/>
        <v>0.12241692000000048</v>
      </c>
      <c r="BT39" s="22">
        <v>12.93755626678467</v>
      </c>
      <c r="BV39" s="5"/>
      <c r="BW39" s="19">
        <v>1.2247854</v>
      </c>
      <c r="BX39" s="20">
        <v>1.1949444</v>
      </c>
      <c r="BY39" s="20">
        <v>1.4238476</v>
      </c>
      <c r="BZ39" s="21">
        <v>5.0050764000000001</v>
      </c>
      <c r="CA39" s="5">
        <f t="shared" si="61"/>
        <v>-0.23198622000000002</v>
      </c>
      <c r="CB39" s="5">
        <f t="shared" si="62"/>
        <v>-4.8229870000000119E-2</v>
      </c>
      <c r="CC39" s="5">
        <f t="shared" si="63"/>
        <v>-5.1696499999998036E-3</v>
      </c>
      <c r="CD39" s="22">
        <v>1.7011663913726811</v>
      </c>
      <c r="CI39">
        <v>1.6962500810623169</v>
      </c>
      <c r="CN39">
        <v>1.561901807785034</v>
      </c>
    </row>
    <row r="40" spans="1:92" x14ac:dyDescent="0.25">
      <c r="A40" s="38"/>
      <c r="B40" s="5">
        <v>8</v>
      </c>
      <c r="C40" s="18">
        <v>38</v>
      </c>
      <c r="E40" s="19">
        <v>83.591710000000006</v>
      </c>
      <c r="F40" s="20">
        <v>83.93383</v>
      </c>
      <c r="G40" s="20">
        <v>83.495400000000004</v>
      </c>
      <c r="H40" s="21">
        <v>82.764304999999993</v>
      </c>
      <c r="I40" s="5">
        <f t="shared" si="40"/>
        <v>0.60289419999999438</v>
      </c>
      <c r="J40" s="5">
        <f t="shared" si="41"/>
        <v>-0.13349559999997496</v>
      </c>
      <c r="K40" s="5">
        <f t="shared" si="42"/>
        <v>-0.10607780000000844</v>
      </c>
      <c r="L40" s="22">
        <v>83.614517211914063</v>
      </c>
      <c r="M40" s="5"/>
      <c r="N40" s="5"/>
      <c r="O40" s="19">
        <v>72.371123999999995</v>
      </c>
      <c r="P40" s="20">
        <v>72.819339999999997</v>
      </c>
      <c r="Q40" s="20">
        <v>72.446659999999994</v>
      </c>
      <c r="R40" s="21">
        <v>69.234560000000002</v>
      </c>
      <c r="S40" s="5">
        <f t="shared" si="43"/>
        <v>0.96271839999999997</v>
      </c>
      <c r="T40" s="5">
        <f t="shared" si="44"/>
        <v>-0.10379810000000589</v>
      </c>
      <c r="U40" s="5">
        <f t="shared" si="45"/>
        <v>6.9593799999992711E-2</v>
      </c>
      <c r="V40" s="22">
        <v>72.55279541015625</v>
      </c>
      <c r="W40" s="5"/>
      <c r="X40" s="5"/>
      <c r="Y40" s="19">
        <v>9.3987820000000006</v>
      </c>
      <c r="Z40" s="20">
        <v>9.8925059999999991</v>
      </c>
      <c r="AA40" s="20">
        <v>9.5049679999999999</v>
      </c>
      <c r="AB40" s="21">
        <v>36.205253999999996</v>
      </c>
      <c r="AC40" s="5">
        <f t="shared" si="46"/>
        <v>-1.2496131999999989</v>
      </c>
      <c r="AD40" s="5">
        <f t="shared" si="47"/>
        <v>0.16517599999999888</v>
      </c>
      <c r="AE40" s="5">
        <f t="shared" si="48"/>
        <v>-0.50114740000000069</v>
      </c>
      <c r="AF40" s="22">
        <v>19.79863357543945</v>
      </c>
      <c r="AG40" s="5"/>
      <c r="AH40" s="5"/>
      <c r="AI40" s="19">
        <v>7.0503590000000003</v>
      </c>
      <c r="AJ40" s="20">
        <v>7.0647883</v>
      </c>
      <c r="AK40" s="20">
        <v>7.1248813000000002</v>
      </c>
      <c r="AL40" s="21">
        <v>6.8674369999999998</v>
      </c>
      <c r="AM40" s="5">
        <f t="shared" si="49"/>
        <v>-4.4141630000000376E-2</v>
      </c>
      <c r="AN40" s="5">
        <f t="shared" si="50"/>
        <v>-3.1688340000000537E-2</v>
      </c>
      <c r="AO40" s="5">
        <f t="shared" si="51"/>
        <v>1.9413500000000639E-2</v>
      </c>
      <c r="AP40" s="22">
        <v>6.8207535743713379</v>
      </c>
      <c r="AR40" s="5"/>
      <c r="AS40" s="19">
        <v>8.9694800000000008</v>
      </c>
      <c r="AT40" s="20">
        <v>8.5903635000000005</v>
      </c>
      <c r="AU40" s="20">
        <v>8.7772699999999997</v>
      </c>
      <c r="AV40" s="21">
        <v>11.703111</v>
      </c>
      <c r="AW40" s="5">
        <f t="shared" si="52"/>
        <v>-1.0506595999999995</v>
      </c>
      <c r="AX40" s="5">
        <f t="shared" si="53"/>
        <v>-6.7651699999997206E-2</v>
      </c>
      <c r="AY40" s="5">
        <f t="shared" si="54"/>
        <v>-4.8253999999996466E-3</v>
      </c>
      <c r="AZ40" s="22">
        <v>8.4763889312744141</v>
      </c>
      <c r="BB40" s="5"/>
      <c r="BC40" s="19">
        <v>1.6520258000000001</v>
      </c>
      <c r="BD40" s="20">
        <v>1.6814127000000001</v>
      </c>
      <c r="BE40" s="20">
        <v>1.751258</v>
      </c>
      <c r="BF40" s="21">
        <v>4.4305859999999999</v>
      </c>
      <c r="BG40" s="5">
        <f t="shared" si="55"/>
        <v>-8.9848190000000105E-2</v>
      </c>
      <c r="BH40" s="5">
        <f t="shared" si="56"/>
        <v>3.8113430000000115E-2</v>
      </c>
      <c r="BI40" s="5">
        <f t="shared" si="57"/>
        <v>9.2991300000000443E-3</v>
      </c>
      <c r="BJ40" s="22">
        <v>2.017020463943481</v>
      </c>
      <c r="BL40" s="5"/>
      <c r="BM40" s="19">
        <v>3.6369623999999998</v>
      </c>
      <c r="BN40" s="20">
        <v>3.6109629999999999</v>
      </c>
      <c r="BO40" s="20">
        <v>3.8260204999999998</v>
      </c>
      <c r="BP40" s="21">
        <v>18.160171999999999</v>
      </c>
      <c r="BQ40" s="5">
        <f t="shared" si="58"/>
        <v>-1.08711745</v>
      </c>
      <c r="BR40" s="5">
        <f t="shared" si="59"/>
        <v>1.6438340000000107E-2</v>
      </c>
      <c r="BS40" s="5">
        <f t="shared" si="60"/>
        <v>-0.15095057999999995</v>
      </c>
      <c r="BT40" s="22">
        <v>12.45794677734375</v>
      </c>
      <c r="BV40" s="5"/>
      <c r="BW40" s="19">
        <v>1.2413278999999999</v>
      </c>
      <c r="BX40" s="20">
        <v>1.2027109</v>
      </c>
      <c r="BY40" s="20">
        <v>1.43459</v>
      </c>
      <c r="BZ40" s="21">
        <v>4.8543186</v>
      </c>
      <c r="CA40" s="5">
        <f t="shared" si="61"/>
        <v>-0.21544372000000012</v>
      </c>
      <c r="CB40" s="5">
        <f t="shared" si="62"/>
        <v>-4.046337000000011E-2</v>
      </c>
      <c r="CC40" s="5">
        <f t="shared" si="63"/>
        <v>5.5727500000002372E-3</v>
      </c>
      <c r="CD40" s="22">
        <v>1.706504106521606</v>
      </c>
      <c r="CI40">
        <v>1.7214871644973759</v>
      </c>
      <c r="CN40">
        <v>1.62769615650177</v>
      </c>
    </row>
    <row r="41" spans="1:92" x14ac:dyDescent="0.25">
      <c r="A41" s="38"/>
      <c r="B41" s="5">
        <v>9</v>
      </c>
      <c r="C41" s="18">
        <v>43</v>
      </c>
      <c r="E41" s="19">
        <v>83.617429999999999</v>
      </c>
      <c r="F41" s="20">
        <v>83.681884999999994</v>
      </c>
      <c r="G41" s="20">
        <v>83.472340000000003</v>
      </c>
      <c r="H41" s="21">
        <v>82.620639999999995</v>
      </c>
      <c r="I41" s="5">
        <f t="shared" si="40"/>
        <v>0.62861419999998702</v>
      </c>
      <c r="J41" s="5">
        <f t="shared" si="41"/>
        <v>-0.38544059999998126</v>
      </c>
      <c r="K41" s="5">
        <f t="shared" si="42"/>
        <v>-0.12913780000000941</v>
      </c>
      <c r="L41" s="22">
        <v>83.655174255371094</v>
      </c>
      <c r="M41" s="5"/>
      <c r="N41" s="5"/>
      <c r="O41" s="19">
        <v>72.349490000000003</v>
      </c>
      <c r="P41" s="20">
        <v>73.096320000000006</v>
      </c>
      <c r="Q41" s="20">
        <v>72.432236000000003</v>
      </c>
      <c r="R41" s="21">
        <v>69.191376000000005</v>
      </c>
      <c r="S41" s="5">
        <f t="shared" si="43"/>
        <v>0.94108440000000826</v>
      </c>
      <c r="T41" s="5">
        <f t="shared" si="44"/>
        <v>0.173181900000003</v>
      </c>
      <c r="U41" s="5">
        <f t="shared" si="45"/>
        <v>5.5169800000001601E-2</v>
      </c>
      <c r="V41" s="22">
        <v>72.63970947265625</v>
      </c>
      <c r="W41" s="5"/>
      <c r="X41" s="5"/>
      <c r="Y41" s="19">
        <v>9.6894559999999998</v>
      </c>
      <c r="Z41" s="20">
        <v>9.8628710000000002</v>
      </c>
      <c r="AA41" s="20">
        <v>10.666568</v>
      </c>
      <c r="AB41" s="21">
        <v>36.098950000000002</v>
      </c>
      <c r="AC41" s="5">
        <f t="shared" si="46"/>
        <v>-0.95893919999999966</v>
      </c>
      <c r="AD41" s="5">
        <f t="shared" si="47"/>
        <v>0.13554099999999991</v>
      </c>
      <c r="AE41" s="5">
        <f t="shared" si="48"/>
        <v>0.66045259999999928</v>
      </c>
      <c r="AF41" s="22">
        <v>25.944877624511719</v>
      </c>
      <c r="AG41" s="5"/>
      <c r="AH41" s="5"/>
      <c r="AI41" s="19">
        <v>7.1149170000000002</v>
      </c>
      <c r="AJ41" s="20">
        <v>7.1266910000000001</v>
      </c>
      <c r="AK41" s="20">
        <v>7.1130800000000001</v>
      </c>
      <c r="AL41" s="21">
        <v>6.8674369999999998</v>
      </c>
      <c r="AM41" s="5">
        <f t="shared" si="49"/>
        <v>2.0416369999999517E-2</v>
      </c>
      <c r="AN41" s="5">
        <f t="shared" si="50"/>
        <v>3.0214359999999552E-2</v>
      </c>
      <c r="AO41" s="5">
        <f t="shared" si="51"/>
        <v>7.612200000000513E-3</v>
      </c>
      <c r="AP41" s="22">
        <v>6.8013916015625</v>
      </c>
      <c r="AR41" s="5"/>
      <c r="AS41" s="19">
        <v>8.6782170000000001</v>
      </c>
      <c r="AT41" s="20">
        <v>8.4874559999999999</v>
      </c>
      <c r="AU41" s="20">
        <v>8.7751230000000007</v>
      </c>
      <c r="AV41" s="21">
        <v>11.703111</v>
      </c>
      <c r="AW41" s="5">
        <f t="shared" si="52"/>
        <v>-1.3419226000000002</v>
      </c>
      <c r="AX41" s="5">
        <f t="shared" si="53"/>
        <v>-0.1705591999999978</v>
      </c>
      <c r="AY41" s="5">
        <f t="shared" si="54"/>
        <v>-6.9723999999986574E-3</v>
      </c>
      <c r="AZ41" s="22">
        <v>9.1385240554809553</v>
      </c>
      <c r="BB41" s="5"/>
      <c r="BC41" s="19">
        <v>1.6520258000000001</v>
      </c>
      <c r="BD41" s="20">
        <v>1.6814127000000001</v>
      </c>
      <c r="BE41" s="20">
        <v>1.7378979999999999</v>
      </c>
      <c r="BF41" s="21">
        <v>4.4305859999999999</v>
      </c>
      <c r="BG41" s="5">
        <f t="shared" si="55"/>
        <v>-8.9848190000000105E-2</v>
      </c>
      <c r="BH41" s="5">
        <f t="shared" si="56"/>
        <v>3.8113430000000115E-2</v>
      </c>
      <c r="BI41" s="5">
        <f t="shared" si="57"/>
        <v>-4.0608699999999942E-3</v>
      </c>
      <c r="BJ41" s="22">
        <v>2.031427383422852</v>
      </c>
      <c r="BL41" s="5"/>
      <c r="BM41" s="19">
        <v>3.6661416999999998</v>
      </c>
      <c r="BN41" s="20">
        <v>3.6563690000000002</v>
      </c>
      <c r="BO41" s="20">
        <v>4.5185120000000003</v>
      </c>
      <c r="BP41" s="21">
        <v>18.311755999999999</v>
      </c>
      <c r="BQ41" s="5">
        <f t="shared" si="58"/>
        <v>-1.05793815</v>
      </c>
      <c r="BR41" s="5">
        <f t="shared" si="59"/>
        <v>6.1844340000000386E-2</v>
      </c>
      <c r="BS41" s="5">
        <f t="shared" si="60"/>
        <v>0.54154092000000054</v>
      </c>
      <c r="BT41" s="22">
        <v>11.588656425476071</v>
      </c>
      <c r="BV41" s="5"/>
      <c r="BW41" s="19">
        <v>1.2488648</v>
      </c>
      <c r="BX41" s="20">
        <v>1.4006945</v>
      </c>
      <c r="BY41" s="20">
        <v>1.5517002</v>
      </c>
      <c r="BZ41" s="21">
        <v>4.8543186</v>
      </c>
      <c r="CA41" s="5">
        <f t="shared" si="61"/>
        <v>-0.20790682000000005</v>
      </c>
      <c r="CB41" s="5">
        <f t="shared" si="62"/>
        <v>0.15752022999999982</v>
      </c>
      <c r="CC41" s="5">
        <f t="shared" si="63"/>
        <v>0.12268295000000018</v>
      </c>
      <c r="CD41" s="22">
        <v>1.721769452095032</v>
      </c>
      <c r="CI41">
        <v>1.6496796607971189</v>
      </c>
      <c r="CN41">
        <v>1.676179170608521</v>
      </c>
    </row>
    <row r="42" spans="1:92" x14ac:dyDescent="0.25">
      <c r="A42" s="39"/>
      <c r="B42" s="23">
        <v>10</v>
      </c>
      <c r="C42" s="24">
        <v>48</v>
      </c>
      <c r="E42" s="25">
        <v>77.235770000000002</v>
      </c>
      <c r="F42" s="26">
        <v>83.846919999999997</v>
      </c>
      <c r="G42" s="26">
        <v>83.521705999999995</v>
      </c>
      <c r="H42" s="27">
        <v>82.661360000000002</v>
      </c>
      <c r="I42" s="23">
        <f t="shared" si="40"/>
        <v>-5.7530458000000095</v>
      </c>
      <c r="J42" s="23">
        <f t="shared" si="41"/>
        <v>-0.22040559999997811</v>
      </c>
      <c r="K42" s="23">
        <f t="shared" si="42"/>
        <v>-7.9771800000017379E-2</v>
      </c>
      <c r="L42" s="28">
        <v>83.7171630859375</v>
      </c>
      <c r="M42" s="5"/>
      <c r="N42" s="5"/>
      <c r="O42" s="25">
        <v>62.470416999999998</v>
      </c>
      <c r="P42" s="26">
        <v>72.984375</v>
      </c>
      <c r="Q42" s="26">
        <v>72.331890000000001</v>
      </c>
      <c r="R42" s="27">
        <v>69.049059999999997</v>
      </c>
      <c r="S42" s="23">
        <f t="shared" si="43"/>
        <v>-8.9379885999999971</v>
      </c>
      <c r="T42" s="23">
        <f t="shared" si="44"/>
        <v>6.1236899999997263E-2</v>
      </c>
      <c r="U42" s="23">
        <f t="shared" si="45"/>
        <v>-4.5176200000000222E-2</v>
      </c>
      <c r="V42" s="28">
        <v>72.536308288574219</v>
      </c>
      <c r="W42" s="5"/>
      <c r="X42" s="5"/>
      <c r="Y42" s="25">
        <v>21.885884999999998</v>
      </c>
      <c r="Z42" s="26">
        <v>9.8556650000000001</v>
      </c>
      <c r="AA42" s="26">
        <v>10.031366999999999</v>
      </c>
      <c r="AB42" s="27">
        <v>36.094692000000002</v>
      </c>
      <c r="AC42" s="23">
        <f t="shared" si="46"/>
        <v>11.237489799999999</v>
      </c>
      <c r="AD42" s="23">
        <f t="shared" si="47"/>
        <v>0.12833499999999987</v>
      </c>
      <c r="AE42" s="23">
        <f t="shared" si="48"/>
        <v>2.525159999999893E-2</v>
      </c>
      <c r="AF42" s="28">
        <v>19.89193153381348</v>
      </c>
      <c r="AG42" s="5"/>
      <c r="AH42" s="5"/>
      <c r="AI42" s="25">
        <v>8.5092929999999996</v>
      </c>
      <c r="AJ42" s="26">
        <v>7.0746307000000002</v>
      </c>
      <c r="AK42" s="26">
        <v>7.0688453000000004</v>
      </c>
      <c r="AL42" s="27">
        <v>6.8963036999999998</v>
      </c>
      <c r="AM42" s="23">
        <f t="shared" si="49"/>
        <v>1.4147923699999989</v>
      </c>
      <c r="AN42" s="23">
        <f t="shared" si="50"/>
        <v>-2.1845940000000397E-2</v>
      </c>
      <c r="AO42" s="23">
        <f t="shared" si="51"/>
        <v>-3.6622499999999114E-2</v>
      </c>
      <c r="AP42" s="28">
        <v>6.7465343475341797</v>
      </c>
      <c r="AR42" s="5"/>
      <c r="AS42" s="25">
        <v>17.723372000000001</v>
      </c>
      <c r="AT42" s="26">
        <v>8.4313099999999999</v>
      </c>
      <c r="AU42" s="26">
        <v>8.8041</v>
      </c>
      <c r="AV42" s="27">
        <v>11.711016000000001</v>
      </c>
      <c r="AW42" s="23">
        <f t="shared" si="52"/>
        <v>7.703232400000001</v>
      </c>
      <c r="AX42" s="23">
        <f t="shared" si="53"/>
        <v>-0.22670519999999783</v>
      </c>
      <c r="AY42" s="23">
        <f t="shared" si="54"/>
        <v>2.2004600000000707E-2</v>
      </c>
      <c r="AZ42" s="28">
        <v>9.0340785980224592</v>
      </c>
      <c r="BB42" s="5"/>
      <c r="BC42" s="25">
        <v>2.6428232</v>
      </c>
      <c r="BD42" s="26">
        <v>1.6814127000000001</v>
      </c>
      <c r="BE42" s="26">
        <v>1.7437</v>
      </c>
      <c r="BF42" s="27">
        <v>4.4305859999999999</v>
      </c>
      <c r="BG42" s="23">
        <f t="shared" si="55"/>
        <v>0.90094920999999983</v>
      </c>
      <c r="BH42" s="23">
        <f t="shared" si="56"/>
        <v>3.8113430000000115E-2</v>
      </c>
      <c r="BI42" s="23">
        <f t="shared" si="57"/>
        <v>1.7411300000000907E-3</v>
      </c>
      <c r="BJ42" s="28">
        <v>2.0392179489135742</v>
      </c>
      <c r="BL42" s="5"/>
      <c r="BM42" s="25">
        <v>15.075961</v>
      </c>
      <c r="BN42" s="26">
        <v>3.8248321999999999</v>
      </c>
      <c r="BO42" s="26">
        <v>3.8313649999999999</v>
      </c>
      <c r="BP42" s="27">
        <v>18.286909999999999</v>
      </c>
      <c r="BQ42" s="23">
        <f t="shared" si="58"/>
        <v>10.351881150000001</v>
      </c>
      <c r="BR42" s="23">
        <f t="shared" si="59"/>
        <v>0.23030754000000009</v>
      </c>
      <c r="BS42" s="23">
        <f t="shared" si="60"/>
        <v>-0.14560607999999986</v>
      </c>
      <c r="BT42" s="28">
        <v>11.651078224182131</v>
      </c>
      <c r="BV42" s="5"/>
      <c r="BW42" s="25">
        <v>3.4586410000000001</v>
      </c>
      <c r="BX42" s="26">
        <v>1.2149338000000001</v>
      </c>
      <c r="BY42" s="26">
        <v>1.4502953999999999</v>
      </c>
      <c r="BZ42" s="27">
        <v>4.8429846999999997</v>
      </c>
      <c r="CA42" s="23">
        <f t="shared" si="61"/>
        <v>2.00186938</v>
      </c>
      <c r="CB42" s="23">
        <f t="shared" si="62"/>
        <v>-2.8240470000000073E-2</v>
      </c>
      <c r="CC42" s="23">
        <f t="shared" si="63"/>
        <v>2.1278150000000107E-2</v>
      </c>
      <c r="CD42" s="28">
        <v>1.7159682512283321</v>
      </c>
      <c r="CI42">
        <v>1.689140200614929</v>
      </c>
      <c r="CN42">
        <v>1.5457445383071899</v>
      </c>
    </row>
    <row r="43" spans="1:92" x14ac:dyDescent="0.25">
      <c r="A43" s="37">
        <v>4</v>
      </c>
      <c r="B43" s="12">
        <v>1</v>
      </c>
      <c r="C43" s="13">
        <v>4</v>
      </c>
      <c r="E43" s="14">
        <v>84.825905000000006</v>
      </c>
      <c r="F43" s="15">
        <v>85.466483999999994</v>
      </c>
      <c r="G43" s="15">
        <v>85.105639999999994</v>
      </c>
      <c r="H43" s="16">
        <v>83.996830000000003</v>
      </c>
      <c r="I43" s="12">
        <f t="shared" ref="I43:I52" si="64">IF(OR(E43="",E43="NaN"),"",E43-AVERAGE(E$43:E$52))</f>
        <v>0.86865590000000736</v>
      </c>
      <c r="J43" s="12">
        <f t="shared" ref="J43:J52" si="65">IF(OR(F43="",F43="NaN"),"",F43-AVERAGE(F$43:F$52))</f>
        <v>-7.2905099999999834E-2</v>
      </c>
      <c r="K43" s="12">
        <f t="shared" ref="K43:K52" si="66">IF(OR(G43="",G43="NaN"),"",G43-AVERAGE(G$43:G$52))</f>
        <v>7.6327599999999052E-2</v>
      </c>
      <c r="L43" s="17">
        <v>84.541900634765625</v>
      </c>
      <c r="M43" s="5"/>
      <c r="N43" s="5"/>
      <c r="O43" s="14">
        <v>69.1023</v>
      </c>
      <c r="P43" s="15">
        <v>60.144444</v>
      </c>
      <c r="Q43" s="15">
        <v>60.630940000000002</v>
      </c>
      <c r="R43" s="16">
        <v>58.647972000000003</v>
      </c>
      <c r="S43" s="12">
        <f t="shared" ref="S43:S52" si="67">IF(OR(O43="",O43="NaN"),"",O43-AVERAGE(O$43:O$52))</f>
        <v>0.55026870000000372</v>
      </c>
      <c r="T43" s="12">
        <f t="shared" ref="T43:T52" si="68">IF(OR(P43="",P43="NaN"),"",P43-AVERAGE(P$43:P$52))</f>
        <v>-0.20487340000000387</v>
      </c>
      <c r="U43" s="12">
        <f t="shared" ref="U43:U52" si="69">IF(OR(Q43="",Q43="NaN"),"",Q43-AVERAGE(Q$43:Q$52))</f>
        <v>3.4486000000008232E-2</v>
      </c>
      <c r="V43" s="17">
        <v>72.622596740722656</v>
      </c>
      <c r="W43" s="5"/>
      <c r="X43" s="5"/>
      <c r="Y43" s="14">
        <v>11.334633999999999</v>
      </c>
      <c r="Z43" s="15">
        <v>10.93052</v>
      </c>
      <c r="AA43" s="15">
        <v>11.315186499999999</v>
      </c>
      <c r="AB43" s="16">
        <v>38.246220000000001</v>
      </c>
      <c r="AC43" s="12">
        <f t="shared" ref="AC43:AC52" si="70">IF(OR(Y43="",Y43="NaN"),"",Y43-AVERAGE(Y$43:Y$52))</f>
        <v>-2.6263461500000016</v>
      </c>
      <c r="AD43" s="12">
        <f t="shared" ref="AD43:AD52" si="71">IF(OR(Z43="",Z43="NaN"),"",Z43-AVERAGE(Z$43:Z$52))</f>
        <v>-0.26105689999999981</v>
      </c>
      <c r="AE43" s="12">
        <f t="shared" ref="AE43:AE52" si="72">IF(OR(AA43="",AA43="NaN"),"",AA43-AVERAGE(AA$43:AA$52))</f>
        <v>-0.10772395000000046</v>
      </c>
      <c r="AF43" s="17">
        <v>19.79776573181152</v>
      </c>
      <c r="AG43" s="5"/>
      <c r="AH43" s="5"/>
      <c r="AI43" s="14">
        <v>5.7709665000000001</v>
      </c>
      <c r="AJ43" s="15">
        <v>6.9461411999999996</v>
      </c>
      <c r="AK43" s="15">
        <v>6.8353029999999997</v>
      </c>
      <c r="AL43" s="16">
        <v>7.2489552000000002</v>
      </c>
      <c r="AM43" s="12">
        <f t="shared" ref="AM43:AM52" si="73">IF(OR(AI43="",AI43="NaN"),"",AI43-AVERAGE(AI$43:AI$52))</f>
        <v>-0.42046859999999864</v>
      </c>
      <c r="AN43" s="12">
        <f t="shared" ref="AN43:AN52" si="74">IF(OR(AJ43="",AJ43="NaN"),"",AJ43-AVERAGE(AJ$43:AJ$52))</f>
        <v>-6.138819000000062E-2</v>
      </c>
      <c r="AO43" s="12">
        <f t="shared" ref="AO43:AO52" si="75">IF(OR(AK43="",AK43="NaN"),"",AK43-AVERAGE(AK$43:AK$52))</f>
        <v>0.12911732000000065</v>
      </c>
      <c r="AP43" s="17">
        <v>6.7035551071166992</v>
      </c>
      <c r="AR43" s="5"/>
      <c r="AS43" s="14">
        <v>11.471007</v>
      </c>
      <c r="AT43" s="15">
        <v>13.581201999999999</v>
      </c>
      <c r="AU43" s="15">
        <v>13.418187</v>
      </c>
      <c r="AV43" s="16">
        <v>16.113482000000001</v>
      </c>
      <c r="AW43" s="12">
        <f t="shared" ref="AW43:AW52" si="76">IF(OR(AS43="",AS43="NaN"),"",AS43-AVERAGE(AS$43:AS$52))</f>
        <v>-0.6480257500000004</v>
      </c>
      <c r="AX43" s="12">
        <f t="shared" ref="AX43:AX52" si="77">IF(OR(AT43="",AT43="NaN"),"",AT43-AVERAGE(AT$43:AT$52))</f>
        <v>0.10935269999999697</v>
      </c>
      <c r="AY43" s="12">
        <f t="shared" ref="AY43:AY52" si="78">IF(OR(AU43="",AU43="NaN"),"",AU43-AVERAGE(AU$43:AU$52))</f>
        <v>-6.2085300000001453E-2</v>
      </c>
      <c r="AZ43" s="17">
        <v>8.5472803115844727</v>
      </c>
      <c r="BB43" s="5"/>
      <c r="BC43" s="14">
        <v>4.1653237000000001</v>
      </c>
      <c r="BD43" s="15">
        <v>3.5523603000000001</v>
      </c>
      <c r="BE43" s="15">
        <v>3.5532292999999999</v>
      </c>
      <c r="BF43" s="16">
        <v>5.4661445999999998</v>
      </c>
      <c r="BG43" s="12">
        <f t="shared" ref="BG43:BG52" si="79">IF(OR(BC43="",BC43="NaN"),"",BC43-AVERAGE(BC$43:BC$52))</f>
        <v>0.17739716999999988</v>
      </c>
      <c r="BH43" s="12">
        <f t="shared" ref="BH43:BH52" si="80">IF(OR(BD43="",BD43="NaN"),"",BD43-AVERAGE(BD$43:BD$52))</f>
        <v>-0.46911019000000032</v>
      </c>
      <c r="BI43" s="12">
        <f t="shared" ref="BI43:BI52" si="81">IF(OR(BE43="",BE43="NaN"),"",BE43-AVERAGE(BE$43:BE$52))</f>
        <v>-0.51725317999999998</v>
      </c>
      <c r="BJ43" s="17">
        <v>2.0364480018615718</v>
      </c>
      <c r="BL43" s="5"/>
      <c r="BM43" s="14">
        <v>2.8669353000000002</v>
      </c>
      <c r="BN43" s="15">
        <v>2.521369</v>
      </c>
      <c r="BO43" s="15">
        <v>2.4601570000000001</v>
      </c>
      <c r="BP43" s="16">
        <v>16.774830000000001</v>
      </c>
      <c r="BQ43" s="12">
        <f t="shared" ref="BQ43:BQ52" si="82">IF(OR(BM43="",BM43="NaN"),"",BM43-AVERAGE(BM$43:BM$52))</f>
        <v>-2.2425538799999996</v>
      </c>
      <c r="BR43" s="12">
        <f t="shared" ref="BR43:BR52" si="83">IF(OR(BN43="",BN43="NaN"),"",BN43-AVERAGE(BN$43:BN$52))</f>
        <v>-0.1736025200000002</v>
      </c>
      <c r="BS43" s="12">
        <f t="shared" ref="BS43:BS52" si="84">IF(OR(BO43="",BO43="NaN"),"",BO43-AVERAGE(BO$43:BO$52))</f>
        <v>-3.3806650000000271E-2</v>
      </c>
      <c r="BT43" s="17">
        <v>11.600481033325201</v>
      </c>
      <c r="BV43" s="5"/>
      <c r="BW43" s="14">
        <v>2.9899561000000001</v>
      </c>
      <c r="BX43" s="15">
        <v>3.833599</v>
      </c>
      <c r="BY43" s="15">
        <v>4.5468029999999997</v>
      </c>
      <c r="BZ43" s="16">
        <v>5.0452123000000002</v>
      </c>
      <c r="CA43" s="12">
        <f t="shared" ref="CA43:CA52" si="85">IF(OR(BW43="",BW43="NaN"),"",BW43-AVERAGE(BW$43:BW$52))</f>
        <v>0.26430976999999967</v>
      </c>
      <c r="CB43" s="12">
        <f t="shared" ref="CB43:CB52" si="86">IF(OR(BX43="",BX43="NaN"),"",BX43-AVERAGE(BX$43:BX$52))</f>
        <v>-0.34197323000000024</v>
      </c>
      <c r="CC43" s="12">
        <f t="shared" ref="CC43:CC52" si="87">IF(OR(BY43="",BY43="NaN"),"",BY43-AVERAGE(BY$43:BY$52))</f>
        <v>0.21899000999999974</v>
      </c>
      <c r="CD43" s="17">
        <v>1.661480069160461</v>
      </c>
      <c r="CI43">
        <v>1.6860648393630979</v>
      </c>
      <c r="CN43">
        <v>1.5800526142120359</v>
      </c>
    </row>
    <row r="44" spans="1:92" x14ac:dyDescent="0.25">
      <c r="A44" s="38"/>
      <c r="B44" s="5">
        <v>2</v>
      </c>
      <c r="C44" s="18">
        <v>9</v>
      </c>
      <c r="E44" s="19">
        <v>84.799440000000004</v>
      </c>
      <c r="F44" s="20">
        <v>85.062169999999995</v>
      </c>
      <c r="G44" s="20">
        <v>84.964029999999994</v>
      </c>
      <c r="H44" s="21">
        <v>84.022360000000006</v>
      </c>
      <c r="I44" s="5">
        <f t="shared" si="64"/>
        <v>0.84219090000000563</v>
      </c>
      <c r="J44" s="5">
        <f t="shared" si="65"/>
        <v>-0.47721909999999923</v>
      </c>
      <c r="K44" s="5">
        <f t="shared" si="66"/>
        <v>-6.5282400000000962E-2</v>
      </c>
      <c r="L44" s="22">
        <v>83.76715087890625</v>
      </c>
      <c r="M44" s="5"/>
      <c r="N44" s="5"/>
      <c r="O44" s="19">
        <v>69.498199999999997</v>
      </c>
      <c r="P44" s="20">
        <v>60.457591999999998</v>
      </c>
      <c r="Q44" s="20">
        <v>60.465626</v>
      </c>
      <c r="R44" s="21">
        <v>58.649549999999998</v>
      </c>
      <c r="S44" s="5">
        <f t="shared" si="67"/>
        <v>0.94616870000000119</v>
      </c>
      <c r="T44" s="5">
        <f t="shared" si="68"/>
        <v>0.10827459999999434</v>
      </c>
      <c r="U44" s="5">
        <f t="shared" si="69"/>
        <v>-0.13082799999999395</v>
      </c>
      <c r="V44" s="22">
        <v>72.540420532226563</v>
      </c>
      <c r="W44" s="5"/>
      <c r="X44" s="5"/>
      <c r="Y44" s="19">
        <v>13.184450999999999</v>
      </c>
      <c r="Z44" s="20">
        <v>11.162521</v>
      </c>
      <c r="AA44" s="20">
        <v>11.289177</v>
      </c>
      <c r="AB44" s="21">
        <v>38.452030000000001</v>
      </c>
      <c r="AC44" s="5">
        <f t="shared" si="70"/>
        <v>-0.77652915000000178</v>
      </c>
      <c r="AD44" s="5">
        <f t="shared" si="71"/>
        <v>-2.9055899999999468E-2</v>
      </c>
      <c r="AE44" s="5">
        <f t="shared" si="72"/>
        <v>-0.13373344999999937</v>
      </c>
      <c r="AF44" s="22">
        <v>19.888605117797852</v>
      </c>
      <c r="AG44" s="5"/>
      <c r="AH44" s="5"/>
      <c r="AI44" s="19">
        <v>5.7695594000000003</v>
      </c>
      <c r="AJ44" s="20">
        <v>6.9723949999999997</v>
      </c>
      <c r="AK44" s="20">
        <v>6.7892020000000004</v>
      </c>
      <c r="AL44" s="21">
        <v>7.2179637000000003</v>
      </c>
      <c r="AM44" s="5">
        <f t="shared" si="73"/>
        <v>-0.42187569999999841</v>
      </c>
      <c r="AN44" s="5">
        <f t="shared" si="74"/>
        <v>-3.5134390000000515E-2</v>
      </c>
      <c r="AO44" s="5">
        <f t="shared" si="75"/>
        <v>8.3016320000001365E-2</v>
      </c>
      <c r="AP44" s="22">
        <v>6.8013916015625</v>
      </c>
      <c r="AR44" s="5"/>
      <c r="AS44" s="19">
        <v>11.41873</v>
      </c>
      <c r="AT44" s="20">
        <v>13.517735</v>
      </c>
      <c r="AU44" s="20">
        <v>13.480362</v>
      </c>
      <c r="AV44" s="21">
        <v>16.099208999999998</v>
      </c>
      <c r="AW44" s="5">
        <f t="shared" si="76"/>
        <v>-0.70030275000000053</v>
      </c>
      <c r="AX44" s="5">
        <f t="shared" si="77"/>
        <v>4.5885699999997698E-2</v>
      </c>
      <c r="AY44" s="5">
        <f t="shared" si="78"/>
        <v>8.9699999998416047E-5</v>
      </c>
      <c r="AZ44" s="22">
        <v>8.9385299682617188</v>
      </c>
      <c r="BB44" s="5"/>
      <c r="BC44" s="19">
        <v>4.1628685000000001</v>
      </c>
      <c r="BD44" s="20">
        <v>4.2261129999999998</v>
      </c>
      <c r="BE44" s="20">
        <v>3.5739515000000002</v>
      </c>
      <c r="BF44" s="21">
        <v>5.5210967000000002</v>
      </c>
      <c r="BG44" s="5">
        <f t="shared" si="79"/>
        <v>0.17494196999999989</v>
      </c>
      <c r="BH44" s="5">
        <f t="shared" si="80"/>
        <v>0.20464250999999933</v>
      </c>
      <c r="BI44" s="5">
        <f t="shared" si="81"/>
        <v>-0.49653097999999973</v>
      </c>
      <c r="BJ44" s="22">
        <v>2.031427383422852</v>
      </c>
      <c r="BL44" s="5"/>
      <c r="BM44" s="19">
        <v>4.0635176</v>
      </c>
      <c r="BN44" s="20">
        <v>2.7560131999999999</v>
      </c>
      <c r="BO44" s="20">
        <v>2.2916439999999998</v>
      </c>
      <c r="BP44" s="21">
        <v>21.127984999999999</v>
      </c>
      <c r="BQ44" s="5">
        <f t="shared" si="82"/>
        <v>-1.0459715799999998</v>
      </c>
      <c r="BR44" s="5">
        <f t="shared" si="83"/>
        <v>6.1041679999999765E-2</v>
      </c>
      <c r="BS44" s="5">
        <f t="shared" si="84"/>
        <v>-0.20231965000000063</v>
      </c>
      <c r="BT44" s="22">
        <v>11.676774024963381</v>
      </c>
      <c r="BV44" s="5"/>
      <c r="BW44" s="19">
        <v>2.6053255000000002</v>
      </c>
      <c r="BX44" s="20">
        <v>4.2305999999999999</v>
      </c>
      <c r="BY44" s="20">
        <v>4.4243994000000004</v>
      </c>
      <c r="BZ44" s="21">
        <v>5.0163693</v>
      </c>
      <c r="CA44" s="5">
        <f t="shared" si="85"/>
        <v>-0.12032083000000027</v>
      </c>
      <c r="CB44" s="5">
        <f t="shared" si="86"/>
        <v>5.5027769999999698E-2</v>
      </c>
      <c r="CC44" s="5">
        <f t="shared" si="87"/>
        <v>9.6586410000000456E-2</v>
      </c>
      <c r="CD44" s="22">
        <v>1.714858412742615</v>
      </c>
      <c r="CI44">
        <v>1.69561243057251</v>
      </c>
      <c r="CN44">
        <v>1.572405934333801</v>
      </c>
    </row>
    <row r="45" spans="1:92" x14ac:dyDescent="0.25">
      <c r="A45" s="38"/>
      <c r="B45" s="5">
        <v>3</v>
      </c>
      <c r="C45" s="18">
        <v>14</v>
      </c>
      <c r="E45" s="19">
        <v>84.6614</v>
      </c>
      <c r="F45" s="20">
        <v>85.188299999999998</v>
      </c>
      <c r="G45" s="20">
        <v>85.120186000000004</v>
      </c>
      <c r="H45" s="21">
        <v>84.148520000000005</v>
      </c>
      <c r="I45" s="5">
        <f t="shared" si="64"/>
        <v>0.70415090000000191</v>
      </c>
      <c r="J45" s="5">
        <f t="shared" si="65"/>
        <v>-0.35108909999999582</v>
      </c>
      <c r="K45" s="5">
        <f t="shared" si="66"/>
        <v>9.0873600000008992E-2</v>
      </c>
      <c r="L45" s="22">
        <v>83.730636596679688</v>
      </c>
      <c r="M45" s="5"/>
      <c r="N45" s="5"/>
      <c r="O45" s="19">
        <v>68.948009999999996</v>
      </c>
      <c r="P45" s="20">
        <v>60.420673000000001</v>
      </c>
      <c r="Q45" s="20">
        <v>60.794559999999997</v>
      </c>
      <c r="R45" s="21">
        <v>58.533897000000003</v>
      </c>
      <c r="S45" s="5">
        <f t="shared" si="67"/>
        <v>0.39597870000000057</v>
      </c>
      <c r="T45" s="5">
        <f t="shared" si="68"/>
        <v>7.1355599999996855E-2</v>
      </c>
      <c r="U45" s="5">
        <f t="shared" si="69"/>
        <v>0.19810600000000278</v>
      </c>
      <c r="V45" s="22">
        <v>72.576461791992188</v>
      </c>
      <c r="W45" s="5"/>
      <c r="X45" s="5"/>
      <c r="Y45" s="19">
        <v>13.300062</v>
      </c>
      <c r="Z45" s="20">
        <v>10.964683000000001</v>
      </c>
      <c r="AA45" s="20">
        <v>11.309704</v>
      </c>
      <c r="AB45" s="21">
        <v>38.342692999999997</v>
      </c>
      <c r="AC45" s="5">
        <f t="shared" si="70"/>
        <v>-0.66091815000000054</v>
      </c>
      <c r="AD45" s="5">
        <f t="shared" si="71"/>
        <v>-0.22689389999999854</v>
      </c>
      <c r="AE45" s="5">
        <f t="shared" si="72"/>
        <v>-0.11320644999999985</v>
      </c>
      <c r="AF45" s="22">
        <v>19.812723159790039</v>
      </c>
      <c r="AG45" s="5"/>
      <c r="AH45" s="5"/>
      <c r="AI45" s="19">
        <v>6.3697113999999999</v>
      </c>
      <c r="AJ45" s="20">
        <v>6.9528679999999996</v>
      </c>
      <c r="AK45" s="20">
        <v>6.8250419999999998</v>
      </c>
      <c r="AL45" s="21">
        <v>7.1987860000000001</v>
      </c>
      <c r="AM45" s="5">
        <f t="shared" si="73"/>
        <v>0.17827630000000116</v>
      </c>
      <c r="AN45" s="5">
        <f t="shared" si="74"/>
        <v>-5.4661390000000587E-2</v>
      </c>
      <c r="AO45" s="5">
        <f t="shared" si="75"/>
        <v>0.11885632000000079</v>
      </c>
      <c r="AP45" s="22">
        <v>6.7438144683837891</v>
      </c>
      <c r="AR45" s="5"/>
      <c r="AS45" s="19">
        <v>11.442378</v>
      </c>
      <c r="AT45" s="20">
        <v>13.391052</v>
      </c>
      <c r="AU45" s="20">
        <v>13.475142999999999</v>
      </c>
      <c r="AV45" s="21">
        <v>16.050384999999999</v>
      </c>
      <c r="AW45" s="5">
        <f t="shared" si="76"/>
        <v>-0.67665475000000086</v>
      </c>
      <c r="AX45" s="5">
        <f t="shared" si="77"/>
        <v>-8.0797300000002181E-2</v>
      </c>
      <c r="AY45" s="5">
        <f t="shared" si="78"/>
        <v>-5.1293000000018907E-3</v>
      </c>
      <c r="AZ45" s="22">
        <v>8.4710245132446289</v>
      </c>
      <c r="BB45" s="5"/>
      <c r="BC45" s="19">
        <v>4.0518689999999999</v>
      </c>
      <c r="BD45" s="20">
        <v>3.5628839000000001</v>
      </c>
      <c r="BE45" s="20">
        <v>4.2121979999999999</v>
      </c>
      <c r="BF45" s="21">
        <v>5.7889350000000004</v>
      </c>
      <c r="BG45" s="5">
        <f t="shared" si="79"/>
        <v>6.3942469999999751E-2</v>
      </c>
      <c r="BH45" s="5">
        <f t="shared" si="80"/>
        <v>-0.45858659000000035</v>
      </c>
      <c r="BI45" s="5">
        <f t="shared" si="81"/>
        <v>0.14171551999999998</v>
      </c>
      <c r="BJ45" s="22">
        <v>2.031427383422852</v>
      </c>
      <c r="BL45" s="5"/>
      <c r="BM45" s="19">
        <v>4.4920229999999997</v>
      </c>
      <c r="BN45" s="20">
        <v>2.6372607000000001</v>
      </c>
      <c r="BO45" s="20">
        <v>2.624647</v>
      </c>
      <c r="BP45" s="21">
        <v>21.543558000000001</v>
      </c>
      <c r="BQ45" s="5">
        <f t="shared" si="82"/>
        <v>-0.61746618000000009</v>
      </c>
      <c r="BR45" s="5">
        <f t="shared" si="83"/>
        <v>-5.7710820000000052E-2</v>
      </c>
      <c r="BS45" s="5">
        <f t="shared" si="84"/>
        <v>0.13068334999999953</v>
      </c>
      <c r="BT45" s="22">
        <v>11.68335056304932</v>
      </c>
      <c r="BV45" s="5"/>
      <c r="BW45" s="19">
        <v>2.6675762999999999</v>
      </c>
      <c r="BX45" s="20">
        <v>4.2189546</v>
      </c>
      <c r="BY45" s="20">
        <v>4.6857300000000004</v>
      </c>
      <c r="BZ45" s="21">
        <v>5.1580824999999999</v>
      </c>
      <c r="CA45" s="5">
        <f t="shared" si="85"/>
        <v>-5.807003000000055E-2</v>
      </c>
      <c r="CB45" s="5">
        <f t="shared" si="86"/>
        <v>4.3382369999999781E-2</v>
      </c>
      <c r="CC45" s="5">
        <f t="shared" si="87"/>
        <v>0.35791701000000042</v>
      </c>
      <c r="CD45" s="22">
        <v>1.708797335624695</v>
      </c>
      <c r="CI45">
        <v>1.6461713314056401</v>
      </c>
      <c r="CN45">
        <v>1.572405934333801</v>
      </c>
    </row>
    <row r="46" spans="1:92" x14ac:dyDescent="0.25">
      <c r="A46" s="38"/>
      <c r="B46" s="5">
        <v>4</v>
      </c>
      <c r="C46" s="18">
        <v>19</v>
      </c>
      <c r="E46" s="19">
        <v>84.661529999999999</v>
      </c>
      <c r="F46" s="20">
        <v>85.788749999999993</v>
      </c>
      <c r="G46" s="20">
        <v>84.941559999999996</v>
      </c>
      <c r="H46" s="21">
        <v>84.176370000000006</v>
      </c>
      <c r="I46" s="5">
        <f t="shared" si="64"/>
        <v>0.70428090000000054</v>
      </c>
      <c r="J46" s="5">
        <f t="shared" si="65"/>
        <v>0.24936089999999922</v>
      </c>
      <c r="K46" s="5">
        <f t="shared" si="66"/>
        <v>-8.7752399999999398E-2</v>
      </c>
      <c r="L46" s="22">
        <v>83.663612365722656</v>
      </c>
      <c r="M46" s="5"/>
      <c r="N46" s="5"/>
      <c r="O46" s="19">
        <v>68.639206000000001</v>
      </c>
      <c r="P46" s="20">
        <v>60.363140000000001</v>
      </c>
      <c r="Q46" s="20">
        <v>60.769505000000002</v>
      </c>
      <c r="R46" s="21">
        <v>59.629654000000002</v>
      </c>
      <c r="S46" s="5">
        <f t="shared" si="67"/>
        <v>8.71747000000056E-2</v>
      </c>
      <c r="T46" s="5">
        <f t="shared" si="68"/>
        <v>1.3822599999997465E-2</v>
      </c>
      <c r="U46" s="5">
        <f t="shared" si="69"/>
        <v>0.17305100000000806</v>
      </c>
      <c r="V46" s="22">
        <v>72.547767639160156</v>
      </c>
      <c r="W46" s="5"/>
      <c r="X46" s="5"/>
      <c r="Y46" s="19">
        <v>13.772845999999999</v>
      </c>
      <c r="Z46" s="20">
        <v>11.227504</v>
      </c>
      <c r="AA46" s="20">
        <v>11.331403999999999</v>
      </c>
      <c r="AB46" s="21">
        <v>39.014426999999998</v>
      </c>
      <c r="AC46" s="5">
        <f t="shared" si="70"/>
        <v>-0.18813415000000155</v>
      </c>
      <c r="AD46" s="5">
        <f t="shared" si="71"/>
        <v>3.5927100000000323E-2</v>
      </c>
      <c r="AE46" s="5">
        <f t="shared" si="72"/>
        <v>-9.1506450000000683E-2</v>
      </c>
      <c r="AF46" s="22">
        <v>25.950006484985352</v>
      </c>
      <c r="AG46" s="5"/>
      <c r="AH46" s="5"/>
      <c r="AI46" s="19">
        <v>6.3922366999999998</v>
      </c>
      <c r="AJ46" s="20">
        <v>6.9427203999999998</v>
      </c>
      <c r="AK46" s="20">
        <v>6.7821116000000004</v>
      </c>
      <c r="AL46" s="21">
        <v>7.0689916999999998</v>
      </c>
      <c r="AM46" s="5">
        <f t="shared" si="73"/>
        <v>0.20080160000000102</v>
      </c>
      <c r="AN46" s="5">
        <f t="shared" si="74"/>
        <v>-6.4808990000000399E-2</v>
      </c>
      <c r="AO46" s="5">
        <f t="shared" si="75"/>
        <v>7.5925920000001312E-2</v>
      </c>
      <c r="AP46" s="22">
        <v>6.8058485984802246</v>
      </c>
      <c r="AR46" s="5"/>
      <c r="AS46" s="19">
        <v>11.693916</v>
      </c>
      <c r="AT46" s="20">
        <v>13.434488999999999</v>
      </c>
      <c r="AU46" s="20">
        <v>13.378705999999999</v>
      </c>
      <c r="AV46" s="21">
        <v>16.016932000000001</v>
      </c>
      <c r="AW46" s="5">
        <f t="shared" si="76"/>
        <v>-0.42511675000000082</v>
      </c>
      <c r="AX46" s="5">
        <f t="shared" si="77"/>
        <v>-3.7360300000003122E-2</v>
      </c>
      <c r="AY46" s="5">
        <f t="shared" si="78"/>
        <v>-0.10156630000000177</v>
      </c>
      <c r="AZ46" s="22">
        <v>8.9618806838989258</v>
      </c>
      <c r="BB46" s="5"/>
      <c r="BC46" s="19">
        <v>4.1857049999999996</v>
      </c>
      <c r="BD46" s="20">
        <v>4.2231025999999998</v>
      </c>
      <c r="BE46" s="20">
        <v>4.1946253999999996</v>
      </c>
      <c r="BF46" s="21">
        <v>5.7651051999999998</v>
      </c>
      <c r="BG46" s="5">
        <f t="shared" si="79"/>
        <v>0.19777846999999937</v>
      </c>
      <c r="BH46" s="5">
        <f t="shared" si="80"/>
        <v>0.20163210999999936</v>
      </c>
      <c r="BI46" s="5">
        <f t="shared" si="81"/>
        <v>0.12414291999999971</v>
      </c>
      <c r="BJ46" s="22">
        <v>2.0164527893066411</v>
      </c>
      <c r="BL46" s="5"/>
      <c r="BM46" s="19">
        <v>4.1857689999999996</v>
      </c>
      <c r="BN46" s="20">
        <v>2.8812897</v>
      </c>
      <c r="BO46" s="20">
        <v>2.4235443999999999</v>
      </c>
      <c r="BP46" s="21">
        <v>19.563739999999999</v>
      </c>
      <c r="BQ46" s="5">
        <f t="shared" si="82"/>
        <v>-0.92372018000000011</v>
      </c>
      <c r="BR46" s="5">
        <f t="shared" si="83"/>
        <v>0.18631817999999978</v>
      </c>
      <c r="BS46" s="5">
        <f t="shared" si="84"/>
        <v>-7.0419250000000488E-2</v>
      </c>
      <c r="BT46" s="22">
        <v>11.590792655944821</v>
      </c>
      <c r="BV46" s="5"/>
      <c r="BW46" s="19">
        <v>2.6654260000000001</v>
      </c>
      <c r="BX46" s="20">
        <v>4.1315565000000003</v>
      </c>
      <c r="BY46" s="20">
        <v>4.5592259999999998</v>
      </c>
      <c r="BZ46" s="21">
        <v>5.1035969999999997</v>
      </c>
      <c r="CA46" s="5">
        <f t="shared" si="85"/>
        <v>-6.0220330000000377E-2</v>
      </c>
      <c r="CB46" s="5">
        <f t="shared" si="86"/>
        <v>-4.401572999999992E-2</v>
      </c>
      <c r="CC46" s="5">
        <f t="shared" si="87"/>
        <v>0.23141300999999981</v>
      </c>
      <c r="CD46" s="22">
        <v>1.7022615671157839</v>
      </c>
      <c r="CI46">
        <v>1.62053918838501</v>
      </c>
      <c r="CN46">
        <v>1.554257750511169</v>
      </c>
    </row>
    <row r="47" spans="1:92" x14ac:dyDescent="0.25">
      <c r="A47" s="38"/>
      <c r="B47" s="5">
        <v>5</v>
      </c>
      <c r="C47" s="18">
        <v>24</v>
      </c>
      <c r="E47" s="19">
        <v>84.703680000000006</v>
      </c>
      <c r="F47" s="20">
        <v>85.409835999999999</v>
      </c>
      <c r="G47" s="20">
        <v>84.946610000000007</v>
      </c>
      <c r="H47" s="21">
        <v>83.865134999999995</v>
      </c>
      <c r="I47" s="5">
        <f t="shared" si="64"/>
        <v>0.74643090000000711</v>
      </c>
      <c r="J47" s="5">
        <f t="shared" si="65"/>
        <v>-0.12955309999999542</v>
      </c>
      <c r="K47" s="5">
        <f t="shared" si="66"/>
        <v>-8.2702399999988074E-2</v>
      </c>
      <c r="L47" s="22">
        <v>83.662490844726563</v>
      </c>
      <c r="M47" s="5"/>
      <c r="N47" s="5"/>
      <c r="O47" s="19">
        <v>69.403000000000006</v>
      </c>
      <c r="P47" s="20">
        <v>60.479973000000001</v>
      </c>
      <c r="Q47" s="20">
        <v>60.568190000000001</v>
      </c>
      <c r="R47" s="21">
        <v>58.882350000000002</v>
      </c>
      <c r="S47" s="5">
        <f t="shared" si="67"/>
        <v>0.8509687000000099</v>
      </c>
      <c r="T47" s="5">
        <f t="shared" si="68"/>
        <v>0.13065559999999721</v>
      </c>
      <c r="U47" s="5">
        <f t="shared" si="69"/>
        <v>-2.8263999999992961E-2</v>
      </c>
      <c r="V47" s="22">
        <v>72.642753601074219</v>
      </c>
      <c r="W47" s="5"/>
      <c r="X47" s="5"/>
      <c r="Y47" s="19">
        <v>13.230494500000001</v>
      </c>
      <c r="Z47" s="20">
        <v>11.107028</v>
      </c>
      <c r="AA47" s="20">
        <v>11.593785</v>
      </c>
      <c r="AB47" s="21">
        <v>37.529409999999999</v>
      </c>
      <c r="AC47" s="5">
        <f t="shared" si="70"/>
        <v>-0.73048565000000032</v>
      </c>
      <c r="AD47" s="5">
        <f t="shared" si="71"/>
        <v>-8.4548899999999705E-2</v>
      </c>
      <c r="AE47" s="5">
        <f t="shared" si="72"/>
        <v>0.17087455000000062</v>
      </c>
      <c r="AF47" s="22">
        <v>26.017669677734371</v>
      </c>
      <c r="AG47" s="5"/>
      <c r="AH47" s="5"/>
      <c r="AI47" s="19">
        <v>5.6522864999999998</v>
      </c>
      <c r="AJ47" s="20">
        <v>6.9710463999999996</v>
      </c>
      <c r="AK47" s="20">
        <v>6.6063270000000003</v>
      </c>
      <c r="AL47" s="21">
        <v>7.3868302999999997</v>
      </c>
      <c r="AM47" s="5">
        <f t="shared" si="73"/>
        <v>-0.53914859999999898</v>
      </c>
      <c r="AN47" s="5">
        <f t="shared" si="74"/>
        <v>-3.6482990000000548E-2</v>
      </c>
      <c r="AO47" s="5">
        <f t="shared" si="75"/>
        <v>-9.9858679999998756E-2</v>
      </c>
      <c r="AP47" s="22">
        <v>6.7330117225646973</v>
      </c>
      <c r="AR47" s="5"/>
      <c r="AS47" s="19">
        <v>11.463749999999999</v>
      </c>
      <c r="AT47" s="20">
        <v>13.541428</v>
      </c>
      <c r="AU47" s="20">
        <v>13.5566225</v>
      </c>
      <c r="AV47" s="21">
        <v>15.705059</v>
      </c>
      <c r="AW47" s="5">
        <f t="shared" si="76"/>
        <v>-0.65528275000000136</v>
      </c>
      <c r="AX47" s="5">
        <f t="shared" si="77"/>
        <v>6.957869999999744E-2</v>
      </c>
      <c r="AY47" s="5">
        <f t="shared" si="78"/>
        <v>7.635019999999848E-2</v>
      </c>
      <c r="AZ47" s="22">
        <v>9.1056165695190447</v>
      </c>
      <c r="BB47" s="5"/>
      <c r="BC47" s="19">
        <v>4.1744327999999999</v>
      </c>
      <c r="BD47" s="20">
        <v>3.5536766000000002</v>
      </c>
      <c r="BE47" s="20">
        <v>4.2036667000000003</v>
      </c>
      <c r="BF47" s="21">
        <v>5.4800899999999997</v>
      </c>
      <c r="BG47" s="5">
        <f t="shared" si="79"/>
        <v>0.18650626999999975</v>
      </c>
      <c r="BH47" s="5">
        <f t="shared" si="80"/>
        <v>-0.46779389000000027</v>
      </c>
      <c r="BI47" s="5">
        <f t="shared" si="81"/>
        <v>0.13318422000000041</v>
      </c>
      <c r="BJ47" s="22">
        <v>2.0164527893066411</v>
      </c>
      <c r="BL47" s="5"/>
      <c r="BM47" s="19">
        <v>4.443543</v>
      </c>
      <c r="BN47" s="20">
        <v>2.5333318999999999</v>
      </c>
      <c r="BO47" s="20">
        <v>2.5212943999999999</v>
      </c>
      <c r="BP47" s="21">
        <v>19.054834</v>
      </c>
      <c r="BQ47" s="5">
        <f t="shared" si="82"/>
        <v>-0.66594617999999972</v>
      </c>
      <c r="BR47" s="5">
        <f t="shared" si="83"/>
        <v>-0.16163962000000032</v>
      </c>
      <c r="BS47" s="5">
        <f t="shared" si="84"/>
        <v>2.7330749999999515E-2</v>
      </c>
      <c r="BT47" s="22">
        <v>11.654411315917971</v>
      </c>
      <c r="BV47" s="5"/>
      <c r="BW47" s="19">
        <v>2.6942835000000001</v>
      </c>
      <c r="BX47" s="20">
        <v>4.0001936000000002</v>
      </c>
      <c r="BY47" s="20">
        <v>4.2597885</v>
      </c>
      <c r="BZ47" s="21">
        <v>5.0835303999999999</v>
      </c>
      <c r="CA47" s="5">
        <f t="shared" si="85"/>
        <v>-3.1362830000000397E-2</v>
      </c>
      <c r="CB47" s="5">
        <f t="shared" si="86"/>
        <v>-0.17537862999999998</v>
      </c>
      <c r="CC47" s="5">
        <f t="shared" si="87"/>
        <v>-6.8024489999999993E-2</v>
      </c>
      <c r="CD47" s="22">
        <v>1.719078540802002</v>
      </c>
      <c r="CI47">
        <v>1.6216087341308589</v>
      </c>
      <c r="CN47">
        <v>1.6146572828292849</v>
      </c>
    </row>
    <row r="48" spans="1:92" x14ac:dyDescent="0.25">
      <c r="A48" s="38"/>
      <c r="B48" s="5">
        <v>6</v>
      </c>
      <c r="C48" s="18">
        <v>29</v>
      </c>
      <c r="E48" s="19">
        <v>84.694069999999996</v>
      </c>
      <c r="F48" s="20">
        <v>85.729489999999998</v>
      </c>
      <c r="G48" s="20">
        <v>85.044420000000002</v>
      </c>
      <c r="H48" s="21">
        <v>83.955579999999998</v>
      </c>
      <c r="I48" s="5">
        <f t="shared" si="64"/>
        <v>0.73682089999999789</v>
      </c>
      <c r="J48" s="5">
        <f t="shared" si="65"/>
        <v>0.19010090000000446</v>
      </c>
      <c r="K48" s="5">
        <f t="shared" si="66"/>
        <v>1.5107600000007437E-2</v>
      </c>
      <c r="L48" s="22">
        <v>83.633644104003906</v>
      </c>
      <c r="M48" s="5"/>
      <c r="N48" s="5"/>
      <c r="O48" s="19">
        <v>69.413240000000002</v>
      </c>
      <c r="P48" s="20">
        <v>60.355705</v>
      </c>
      <c r="Q48" s="20">
        <v>60.668765999999998</v>
      </c>
      <c r="R48" s="21">
        <v>58.848976</v>
      </c>
      <c r="S48" s="5">
        <f t="shared" si="67"/>
        <v>0.86120870000000593</v>
      </c>
      <c r="T48" s="5">
        <f t="shared" si="68"/>
        <v>6.3875999999964961E-3</v>
      </c>
      <c r="U48" s="5">
        <f t="shared" si="69"/>
        <v>7.2312000000003707E-2</v>
      </c>
      <c r="V48" s="22">
        <v>72.665420532226563</v>
      </c>
      <c r="W48" s="5"/>
      <c r="X48" s="5"/>
      <c r="Y48" s="19">
        <v>13.502363000000001</v>
      </c>
      <c r="Z48" s="20">
        <v>11.29927</v>
      </c>
      <c r="AA48" s="20">
        <v>11.369883</v>
      </c>
      <c r="AB48" s="21">
        <v>37.559612000000001</v>
      </c>
      <c r="AC48" s="5">
        <f t="shared" si="70"/>
        <v>-0.45861715000000025</v>
      </c>
      <c r="AD48" s="5">
        <f t="shared" si="71"/>
        <v>0.10769310000000054</v>
      </c>
      <c r="AE48" s="5">
        <f t="shared" si="72"/>
        <v>-5.3027450000000087E-2</v>
      </c>
      <c r="AF48" s="22">
        <v>26.01823806762696</v>
      </c>
      <c r="AG48" s="5"/>
      <c r="AH48" s="5"/>
      <c r="AI48" s="19">
        <v>5.6590604999999998</v>
      </c>
      <c r="AJ48" s="20">
        <v>6.9900365000000004</v>
      </c>
      <c r="AK48" s="20">
        <v>6.8312189999999999</v>
      </c>
      <c r="AL48" s="21">
        <v>7.4787749999999997</v>
      </c>
      <c r="AM48" s="5">
        <f t="shared" si="73"/>
        <v>-0.53237459999999892</v>
      </c>
      <c r="AN48" s="5">
        <f t="shared" si="74"/>
        <v>-1.7492889999999761E-2</v>
      </c>
      <c r="AO48" s="5">
        <f t="shared" si="75"/>
        <v>0.12503332000000089</v>
      </c>
      <c r="AP48" s="22">
        <v>6.7330117225646973</v>
      </c>
      <c r="AR48" s="5"/>
      <c r="AS48" s="19">
        <v>11.400034</v>
      </c>
      <c r="AT48" s="20">
        <v>13.390286</v>
      </c>
      <c r="AU48" s="20">
        <v>13.241203000000001</v>
      </c>
      <c r="AV48" s="21">
        <v>15.647313</v>
      </c>
      <c r="AW48" s="5">
        <f t="shared" si="76"/>
        <v>-0.7189987500000008</v>
      </c>
      <c r="AX48" s="5">
        <f t="shared" si="77"/>
        <v>-8.156330000000267E-2</v>
      </c>
      <c r="AY48" s="5">
        <f t="shared" si="78"/>
        <v>-0.2390693000000006</v>
      </c>
      <c r="AZ48" s="22">
        <v>8.5940036773681641</v>
      </c>
      <c r="BB48" s="5"/>
      <c r="BC48" s="19">
        <v>4.1614876000000001</v>
      </c>
      <c r="BD48" s="20">
        <v>4.2211546999999996</v>
      </c>
      <c r="BE48" s="20">
        <v>4.1946253999999996</v>
      </c>
      <c r="BF48" s="21">
        <v>5.5123290000000003</v>
      </c>
      <c r="BG48" s="5">
        <f t="shared" si="79"/>
        <v>0.17356106999999987</v>
      </c>
      <c r="BH48" s="5">
        <f t="shared" si="80"/>
        <v>0.19968420999999914</v>
      </c>
      <c r="BI48" s="5">
        <f t="shared" si="81"/>
        <v>0.12414291999999971</v>
      </c>
      <c r="BJ48" s="22">
        <v>2.0392179489135742</v>
      </c>
      <c r="BL48" s="5"/>
      <c r="BM48" s="19">
        <v>4.4019769999999996</v>
      </c>
      <c r="BN48" s="20">
        <v>2.7439817999999998</v>
      </c>
      <c r="BO48" s="20">
        <v>2.3718886000000001</v>
      </c>
      <c r="BP48" s="21">
        <v>21.245480000000001</v>
      </c>
      <c r="BQ48" s="5">
        <f t="shared" si="82"/>
        <v>-0.70751218000000016</v>
      </c>
      <c r="BR48" s="5">
        <f t="shared" si="83"/>
        <v>4.9010279999999629E-2</v>
      </c>
      <c r="BS48" s="5">
        <f t="shared" si="84"/>
        <v>-0.1220750500000003</v>
      </c>
      <c r="BT48" s="22">
        <v>11.75373458862305</v>
      </c>
      <c r="BV48" s="5"/>
      <c r="BW48" s="19">
        <v>2.4472287000000001</v>
      </c>
      <c r="BX48" s="20">
        <v>4.0436779999999999</v>
      </c>
      <c r="BY48" s="20">
        <v>4.5513849999999998</v>
      </c>
      <c r="BZ48" s="21">
        <v>5.2302504000000001</v>
      </c>
      <c r="CA48" s="5">
        <f t="shared" si="85"/>
        <v>-0.2784176300000003</v>
      </c>
      <c r="CB48" s="5">
        <f t="shared" si="86"/>
        <v>-0.13189423000000033</v>
      </c>
      <c r="CC48" s="5">
        <f t="shared" si="87"/>
        <v>0.22357200999999982</v>
      </c>
      <c r="CD48" s="22">
        <v>1.708797335624695</v>
      </c>
      <c r="CI48">
        <v>1.645041227340698</v>
      </c>
      <c r="CN48">
        <v>3.4586410522460942</v>
      </c>
    </row>
    <row r="49" spans="1:82" x14ac:dyDescent="0.25">
      <c r="A49" s="38"/>
      <c r="B49" s="5">
        <v>7</v>
      </c>
      <c r="C49" s="18">
        <v>34</v>
      </c>
      <c r="E49" s="19">
        <v>84.586330000000004</v>
      </c>
      <c r="F49" s="20">
        <v>85.75712</v>
      </c>
      <c r="G49" s="20">
        <v>85.158519999999996</v>
      </c>
      <c r="H49" s="21">
        <v>83.89573</v>
      </c>
      <c r="I49" s="5">
        <f t="shared" si="64"/>
        <v>0.62908090000000527</v>
      </c>
      <c r="J49" s="5">
        <f t="shared" si="65"/>
        <v>0.2177309000000065</v>
      </c>
      <c r="K49" s="5">
        <f t="shared" si="66"/>
        <v>0.12920760000000087</v>
      </c>
      <c r="L49" s="22">
        <f>IF(OR(H49="",H49="NaN"),"",H49-AVERAGE(H$43:H$52))</f>
        <v>-6.0263100000000236E-2</v>
      </c>
      <c r="M49" s="5"/>
      <c r="N49" s="5"/>
      <c r="O49" s="19">
        <v>69.197569999999999</v>
      </c>
      <c r="P49" s="20">
        <v>60.441032</v>
      </c>
      <c r="Q49" s="20">
        <v>60.418990000000001</v>
      </c>
      <c r="R49" s="21">
        <v>58.993879999999997</v>
      </c>
      <c r="S49" s="5">
        <f t="shared" si="67"/>
        <v>0.64553870000000302</v>
      </c>
      <c r="T49" s="5">
        <f t="shared" si="68"/>
        <v>9.1714599999995983E-2</v>
      </c>
      <c r="U49" s="5">
        <f t="shared" si="69"/>
        <v>-0.1774639999999934</v>
      </c>
      <c r="V49" s="22">
        <f>IF(OR(R49="",R49="NaN"),"",R49-AVERAGE(R$43:R$52))</f>
        <v>-0.13889170000000206</v>
      </c>
      <c r="W49" s="5"/>
      <c r="X49" s="5"/>
      <c r="Y49" s="19">
        <v>12.871314999999999</v>
      </c>
      <c r="Z49" s="20">
        <v>11.335751</v>
      </c>
      <c r="AA49" s="20">
        <v>11.453647999999999</v>
      </c>
      <c r="AB49" s="21">
        <v>37.403984000000001</v>
      </c>
      <c r="AC49" s="5">
        <f t="shared" si="70"/>
        <v>-1.0896651500000019</v>
      </c>
      <c r="AD49" s="5">
        <f t="shared" si="71"/>
        <v>0.14417410000000075</v>
      </c>
      <c r="AE49" s="5">
        <f t="shared" si="72"/>
        <v>3.0737549999999558E-2</v>
      </c>
      <c r="AF49" s="22">
        <f>IF(OR(AB49="",AB49="NaN"),"",AB49-AVERAGE(AB$43:AB$52))</f>
        <v>-0.50456149999999411</v>
      </c>
      <c r="AG49" s="5"/>
      <c r="AH49" s="5"/>
      <c r="AI49" s="19">
        <v>5.6073575</v>
      </c>
      <c r="AJ49" s="20">
        <v>7.2017993999999996</v>
      </c>
      <c r="AK49" s="20">
        <v>6.6808230000000002</v>
      </c>
      <c r="AL49" s="21">
        <v>7.3530220000000002</v>
      </c>
      <c r="AM49" s="5">
        <f t="shared" si="73"/>
        <v>-0.58407759999999875</v>
      </c>
      <c r="AN49" s="5">
        <f t="shared" si="74"/>
        <v>0.19427000999999944</v>
      </c>
      <c r="AO49" s="5">
        <f t="shared" si="75"/>
        <v>-2.5362679999998861E-2</v>
      </c>
      <c r="AP49" s="22">
        <f>IF(OR(AL49="",AL49="NaN"),"",AL49-AVERAGE(AL$43:AL$52))</f>
        <v>-3.2863980000000126E-2</v>
      </c>
      <c r="AR49" s="5"/>
      <c r="AS49" s="19">
        <v>11.511649</v>
      </c>
      <c r="AT49" s="20">
        <v>13.424815000000001</v>
      </c>
      <c r="AU49" s="20">
        <v>13.590052999999999</v>
      </c>
      <c r="AV49" s="21">
        <v>15.668552999999999</v>
      </c>
      <c r="AW49" s="5">
        <f t="shared" si="76"/>
        <v>-0.60738375000000033</v>
      </c>
      <c r="AX49" s="5">
        <f t="shared" si="77"/>
        <v>-4.703430000000175E-2</v>
      </c>
      <c r="AY49" s="5">
        <f t="shared" si="78"/>
        <v>0.10978069999999818</v>
      </c>
      <c r="AZ49" s="22">
        <f>IF(OR(AV49="",AV49="NaN"),"",AV49-AVERAGE(AV$43:AV$52))</f>
        <v>8.1640100000001325E-2</v>
      </c>
      <c r="BB49" s="5"/>
      <c r="BC49" s="19">
        <v>4.1530290000000001</v>
      </c>
      <c r="BD49" s="20">
        <v>4.2494630000000004</v>
      </c>
      <c r="BE49" s="20">
        <v>4.2163424000000003</v>
      </c>
      <c r="BF49" s="21">
        <v>5.4699755000000003</v>
      </c>
      <c r="BG49" s="5">
        <f t="shared" si="79"/>
        <v>0.16510246999999989</v>
      </c>
      <c r="BH49" s="5">
        <f t="shared" si="80"/>
        <v>0.22799250999999998</v>
      </c>
      <c r="BI49" s="5">
        <f t="shared" si="81"/>
        <v>0.14585992000000036</v>
      </c>
      <c r="BJ49" s="22">
        <f>IF(OR(BF49="",BF49="NaN"),"",BF49-AVERAGE(BF$43:BF$52))</f>
        <v>-7.9321999999999449E-2</v>
      </c>
      <c r="BL49" s="5"/>
      <c r="BM49" s="19">
        <v>3.3982991999999999</v>
      </c>
      <c r="BN49" s="20">
        <v>2.8647733</v>
      </c>
      <c r="BO49" s="20">
        <v>2.7542925</v>
      </c>
      <c r="BP49" s="21">
        <v>21.154692000000001</v>
      </c>
      <c r="BQ49" s="5">
        <f t="shared" si="82"/>
        <v>-1.7111899799999999</v>
      </c>
      <c r="BR49" s="5">
        <f t="shared" si="83"/>
        <v>0.16980177999999979</v>
      </c>
      <c r="BS49" s="5">
        <f t="shared" si="84"/>
        <v>0.26032884999999961</v>
      </c>
      <c r="BT49" s="22">
        <f>IF(OR(BP49="",BP49="NaN"),"",BP49-AVERAGE(BP$43:BP$52))</f>
        <v>0.68203739999999868</v>
      </c>
      <c r="BV49" s="5"/>
      <c r="BW49" s="19">
        <v>2.5300178999999998</v>
      </c>
      <c r="BX49" s="20">
        <v>4.4434376000000002</v>
      </c>
      <c r="BY49" s="20">
        <v>4.0003386000000001</v>
      </c>
      <c r="BZ49" s="21">
        <v>5.1042829999999997</v>
      </c>
      <c r="CA49" s="5">
        <f t="shared" si="85"/>
        <v>-0.19562843000000063</v>
      </c>
      <c r="CB49" s="5">
        <f t="shared" si="86"/>
        <v>0.26786536999999999</v>
      </c>
      <c r="CC49" s="5">
        <f t="shared" si="87"/>
        <v>-0.32747438999999989</v>
      </c>
      <c r="CD49" s="22">
        <f>IF(OR(BZ49="",BZ49="NaN"),"",BZ49-AVERAGE(BZ$43:BZ$52))</f>
        <v>-1.7346419999999974E-2</v>
      </c>
    </row>
    <row r="50" spans="1:82" x14ac:dyDescent="0.25">
      <c r="A50" s="38"/>
      <c r="B50" s="5">
        <v>8</v>
      </c>
      <c r="C50" s="18">
        <v>39</v>
      </c>
      <c r="E50" s="19">
        <v>84.664406</v>
      </c>
      <c r="F50" s="20">
        <v>85.720084999999997</v>
      </c>
      <c r="G50" s="20">
        <v>85.037964000000002</v>
      </c>
      <c r="H50" s="21">
        <v>83.758529999999993</v>
      </c>
      <c r="I50" s="5">
        <f t="shared" si="64"/>
        <v>0.70715690000000109</v>
      </c>
      <c r="J50" s="5">
        <f t="shared" si="65"/>
        <v>0.18069590000000346</v>
      </c>
      <c r="K50" s="5">
        <f t="shared" si="66"/>
        <v>8.65160000000742E-3</v>
      </c>
      <c r="L50" s="22">
        <f>IF(OR(H50="",H50="NaN"),"",H50-AVERAGE(H$43:H$52))</f>
        <v>-0.19746310000000733</v>
      </c>
      <c r="M50" s="5"/>
      <c r="N50" s="5"/>
      <c r="O50" s="19">
        <v>69.425439999999995</v>
      </c>
      <c r="P50" s="20">
        <v>60.496017000000002</v>
      </c>
      <c r="Q50" s="20">
        <v>60.565295999999996</v>
      </c>
      <c r="R50" s="21">
        <v>59.627597999999999</v>
      </c>
      <c r="S50" s="5">
        <f t="shared" si="67"/>
        <v>0.87340869999999882</v>
      </c>
      <c r="T50" s="5">
        <f t="shared" si="68"/>
        <v>0.14669959999999804</v>
      </c>
      <c r="U50" s="5">
        <f t="shared" si="69"/>
        <v>-3.1157999999997799E-2</v>
      </c>
      <c r="V50" s="22">
        <f>IF(OR(R50="",R50="NaN"),"",R50-AVERAGE(R$43:R$52))</f>
        <v>0.49482629999999972</v>
      </c>
      <c r="W50" s="5"/>
      <c r="X50" s="5"/>
      <c r="Y50" s="19">
        <v>13.373143000000001</v>
      </c>
      <c r="Z50" s="20">
        <v>11.305336</v>
      </c>
      <c r="AA50" s="20">
        <v>11.647710999999999</v>
      </c>
      <c r="AB50" s="21">
        <v>37.671700000000001</v>
      </c>
      <c r="AC50" s="5">
        <f t="shared" si="70"/>
        <v>-0.58783715000000036</v>
      </c>
      <c r="AD50" s="5">
        <f t="shared" si="71"/>
        <v>0.11375910000000111</v>
      </c>
      <c r="AE50" s="5">
        <f t="shared" si="72"/>
        <v>0.22480054999999943</v>
      </c>
      <c r="AF50" s="22">
        <f>IF(OR(AB50="",AB50="NaN"),"",AB50-AVERAGE(AB$43:AB$52))</f>
        <v>-0.23684549999999405</v>
      </c>
      <c r="AG50" s="5"/>
      <c r="AH50" s="5"/>
      <c r="AI50" s="19">
        <v>5.6483034999999999</v>
      </c>
      <c r="AJ50" s="20">
        <v>7.1959643</v>
      </c>
      <c r="AK50" s="20">
        <v>6.6499715000000004</v>
      </c>
      <c r="AL50" s="21">
        <v>7.7284794000000003</v>
      </c>
      <c r="AM50" s="5">
        <f t="shared" si="73"/>
        <v>-0.54313159999999883</v>
      </c>
      <c r="AN50" s="5">
        <f t="shared" si="74"/>
        <v>0.18843490999999979</v>
      </c>
      <c r="AO50" s="5">
        <f t="shared" si="75"/>
        <v>-5.621417999999867E-2</v>
      </c>
      <c r="AP50" s="22">
        <f>IF(OR(AL50="",AL50="NaN"),"",AL50-AVERAGE(AL$43:AL$52))</f>
        <v>0.34259342000000004</v>
      </c>
      <c r="AR50" s="5"/>
      <c r="AS50" s="19">
        <v>11.44746</v>
      </c>
      <c r="AT50" s="20">
        <v>13.408571999999999</v>
      </c>
      <c r="AU50" s="20">
        <v>13.648581999999999</v>
      </c>
      <c r="AV50" s="21">
        <v>14.572709</v>
      </c>
      <c r="AW50" s="5">
        <f t="shared" si="76"/>
        <v>-0.67157275000000105</v>
      </c>
      <c r="AX50" s="5">
        <f t="shared" si="77"/>
        <v>-6.3277300000002867E-2</v>
      </c>
      <c r="AY50" s="5">
        <f t="shared" si="78"/>
        <v>0.16830969999999823</v>
      </c>
      <c r="AZ50" s="22">
        <f>IF(OR(AV50="",AV50="NaN"),"",AV50-AVERAGE(AV$43:AV$52))</f>
        <v>-1.0142038999999983</v>
      </c>
      <c r="BB50" s="5"/>
      <c r="BC50" s="19">
        <v>4.1530290000000001</v>
      </c>
      <c r="BD50" s="20">
        <v>4.2119527000000003</v>
      </c>
      <c r="BE50" s="20">
        <v>4.1814426999999998</v>
      </c>
      <c r="BF50" s="21">
        <v>5.4998746000000001</v>
      </c>
      <c r="BG50" s="5">
        <f t="shared" si="79"/>
        <v>0.16510246999999989</v>
      </c>
      <c r="BH50" s="5">
        <f t="shared" si="80"/>
        <v>0.19048220999999987</v>
      </c>
      <c r="BI50" s="5">
        <f t="shared" si="81"/>
        <v>0.11096021999999994</v>
      </c>
      <c r="BJ50" s="22">
        <f>IF(OR(BF50="",BF50="NaN"),"",BF50-AVERAGE(BF$43:BF$52))</f>
        <v>-4.9422899999999714E-2</v>
      </c>
      <c r="BL50" s="5"/>
      <c r="BM50" s="19">
        <v>4.0309423999999998</v>
      </c>
      <c r="BN50" s="20">
        <v>2.7176657</v>
      </c>
      <c r="BO50" s="20">
        <v>2.4448099999999999</v>
      </c>
      <c r="BP50" s="21">
        <v>21.349122999999999</v>
      </c>
      <c r="BQ50" s="5">
        <f t="shared" si="82"/>
        <v>-1.0785467799999999</v>
      </c>
      <c r="BR50" s="5">
        <f t="shared" si="83"/>
        <v>2.2694179999999786E-2</v>
      </c>
      <c r="BS50" s="5">
        <f t="shared" si="84"/>
        <v>-4.9153650000000493E-2</v>
      </c>
      <c r="BT50" s="22">
        <f>IF(OR(BP50="",BP50="NaN"),"",BP50-AVERAGE(BP$43:BP$52))</f>
        <v>0.87646839999999671</v>
      </c>
      <c r="BV50" s="5"/>
      <c r="BW50" s="19">
        <v>2.5207198000000002</v>
      </c>
      <c r="BX50" s="20">
        <v>4.3859510000000004</v>
      </c>
      <c r="BY50" s="20">
        <v>4.0664179999999996</v>
      </c>
      <c r="BZ50" s="21">
        <v>5.1934876000000001</v>
      </c>
      <c r="CA50" s="5">
        <f t="shared" si="85"/>
        <v>-0.20492653000000027</v>
      </c>
      <c r="CB50" s="5">
        <f t="shared" si="86"/>
        <v>0.21037877000000016</v>
      </c>
      <c r="CC50" s="5">
        <f t="shared" si="87"/>
        <v>-0.26139499000000033</v>
      </c>
      <c r="CD50" s="22">
        <f>IF(OR(BZ50="",BZ50="NaN"),"",BZ50-AVERAGE(BZ$43:BZ$52))</f>
        <v>7.1858180000000438E-2</v>
      </c>
    </row>
    <row r="51" spans="1:82" x14ac:dyDescent="0.25">
      <c r="A51" s="38"/>
      <c r="B51" s="5">
        <v>9</v>
      </c>
      <c r="C51" s="18">
        <v>44</v>
      </c>
      <c r="E51" s="19">
        <v>84.739959999999996</v>
      </c>
      <c r="F51" s="20">
        <v>85.636889999999994</v>
      </c>
      <c r="G51" s="20">
        <v>84.921974000000006</v>
      </c>
      <c r="H51" s="21">
        <v>83.775245999999996</v>
      </c>
      <c r="I51" s="5">
        <f t="shared" si="64"/>
        <v>0.78271089999999788</v>
      </c>
      <c r="J51" s="5">
        <f t="shared" si="65"/>
        <v>9.7500900000000001E-2</v>
      </c>
      <c r="K51" s="5">
        <f t="shared" si="66"/>
        <v>-0.10733839999998906</v>
      </c>
      <c r="L51" s="22">
        <f>IF(OR(H51="",H51="NaN"),"",H51-AVERAGE(H$43:H$52))</f>
        <v>-0.18074710000000493</v>
      </c>
      <c r="M51" s="5"/>
      <c r="N51" s="5"/>
      <c r="O51" s="19">
        <v>69.422929999999994</v>
      </c>
      <c r="P51" s="20">
        <v>60.246223000000001</v>
      </c>
      <c r="Q51" s="20">
        <v>60.568370000000002</v>
      </c>
      <c r="R51" s="21">
        <v>59.226025</v>
      </c>
      <c r="S51" s="5">
        <f t="shared" si="67"/>
        <v>0.87089869999999792</v>
      </c>
      <c r="T51" s="5">
        <f t="shared" si="68"/>
        <v>-0.10309440000000336</v>
      </c>
      <c r="U51" s="5">
        <f t="shared" si="69"/>
        <v>-2.808399999999267E-2</v>
      </c>
      <c r="V51" s="22">
        <f>IF(OR(R51="",R51="NaN"),"",R51-AVERAGE(R$43:R$52))</f>
        <v>9.325330000000065E-2</v>
      </c>
      <c r="W51" s="5"/>
      <c r="X51" s="5"/>
      <c r="Y51" s="19">
        <v>13.154608</v>
      </c>
      <c r="Z51" s="20">
        <v>11.257016</v>
      </c>
      <c r="AA51" s="20">
        <v>11.517763</v>
      </c>
      <c r="AB51" s="21">
        <v>37.526474</v>
      </c>
      <c r="AC51" s="5">
        <f t="shared" si="70"/>
        <v>-0.8063721500000014</v>
      </c>
      <c r="AD51" s="5">
        <f t="shared" si="71"/>
        <v>6.5439100000000749E-2</v>
      </c>
      <c r="AE51" s="5">
        <f t="shared" si="72"/>
        <v>9.4852550000000591E-2</v>
      </c>
      <c r="AF51" s="22">
        <f>IF(OR(AB51="",AB51="NaN"),"",AB51-AVERAGE(AB$43:AB$52))</f>
        <v>-0.38207149999999501</v>
      </c>
      <c r="AG51" s="5"/>
      <c r="AH51" s="5"/>
      <c r="AI51" s="19">
        <v>6.5355759999999998</v>
      </c>
      <c r="AJ51" s="20">
        <v>6.9568390000000004</v>
      </c>
      <c r="AK51" s="20">
        <v>6.2145752999999999</v>
      </c>
      <c r="AL51" s="21">
        <v>7.5018560000000001</v>
      </c>
      <c r="AM51" s="5">
        <f t="shared" si="73"/>
        <v>0.34414090000000108</v>
      </c>
      <c r="AN51" s="5">
        <f t="shared" si="74"/>
        <v>-5.0690389999999752E-2</v>
      </c>
      <c r="AO51" s="5">
        <f t="shared" si="75"/>
        <v>-0.49161037999999913</v>
      </c>
      <c r="AP51" s="22">
        <f>IF(OR(AL51="",AL51="NaN"),"",AL51-AVERAGE(AL$43:AL$52))</f>
        <v>0.11597001999999978</v>
      </c>
      <c r="AR51" s="5"/>
      <c r="AS51" s="19">
        <v>11.618031500000001</v>
      </c>
      <c r="AT51" s="20">
        <v>13.454518</v>
      </c>
      <c r="AU51" s="20">
        <v>13.408885</v>
      </c>
      <c r="AV51" s="21">
        <v>15.074871999999999</v>
      </c>
      <c r="AW51" s="5">
        <f t="shared" si="76"/>
        <v>-0.50100124999999984</v>
      </c>
      <c r="AX51" s="5">
        <f t="shared" si="77"/>
        <v>-1.7331300000002159E-2</v>
      </c>
      <c r="AY51" s="5">
        <f t="shared" si="78"/>
        <v>-7.1387300000001375E-2</v>
      </c>
      <c r="AZ51" s="22">
        <f>IF(OR(AV51="",AV51="NaN"),"",AV51-AVERAGE(AV$43:AV$52))</f>
        <v>-0.5120408999999988</v>
      </c>
      <c r="BB51" s="5"/>
      <c r="BC51" s="19">
        <v>4.0286974999999998</v>
      </c>
      <c r="BD51" s="20">
        <v>4.2020454000000003</v>
      </c>
      <c r="BE51" s="20">
        <v>4.1814426999999998</v>
      </c>
      <c r="BF51" s="21">
        <v>5.4841319999999998</v>
      </c>
      <c r="BG51" s="5">
        <f t="shared" si="79"/>
        <v>4.0770969999999629E-2</v>
      </c>
      <c r="BH51" s="5">
        <f t="shared" si="80"/>
        <v>0.18057490999999981</v>
      </c>
      <c r="BI51" s="5">
        <f t="shared" si="81"/>
        <v>0.11096021999999994</v>
      </c>
      <c r="BJ51" s="22">
        <f>IF(OR(BF51="",BF51="NaN"),"",BF51-AVERAGE(BF$43:BF$52))</f>
        <v>-6.5165499999999987E-2</v>
      </c>
      <c r="BL51" s="5"/>
      <c r="BM51" s="19">
        <v>4.1359243000000001</v>
      </c>
      <c r="BN51" s="20">
        <v>2.6886117</v>
      </c>
      <c r="BO51" s="20">
        <v>2.5400999</v>
      </c>
      <c r="BP51" s="21">
        <v>21.541685000000001</v>
      </c>
      <c r="BQ51" s="5">
        <f t="shared" si="82"/>
        <v>-0.97356487999999963</v>
      </c>
      <c r="BR51" s="5">
        <f t="shared" si="83"/>
        <v>-6.359820000000127E-3</v>
      </c>
      <c r="BS51" s="5">
        <f t="shared" si="84"/>
        <v>4.6136249999999546E-2</v>
      </c>
      <c r="BT51" s="22">
        <f>IF(OR(BP51="",BP51="NaN"),"",BP51-AVERAGE(BP$43:BP$52))</f>
        <v>1.069030399999999</v>
      </c>
      <c r="BV51" s="5"/>
      <c r="BW51" s="19">
        <v>2.6772885</v>
      </c>
      <c r="BX51" s="20">
        <v>4.1773680000000004</v>
      </c>
      <c r="BY51" s="20">
        <v>4.0333779999999999</v>
      </c>
      <c r="BZ51" s="21">
        <v>5.0954236999999996</v>
      </c>
      <c r="CA51" s="5">
        <f t="shared" si="85"/>
        <v>-4.835783000000049E-2</v>
      </c>
      <c r="CB51" s="5">
        <f t="shared" si="86"/>
        <v>1.7957700000001964E-3</v>
      </c>
      <c r="CC51" s="5">
        <f t="shared" si="87"/>
        <v>-0.29443499000000006</v>
      </c>
      <c r="CD51" s="22">
        <f>IF(OR(BZ51="",BZ51="NaN"),"",BZ51-AVERAGE(BZ$43:BZ$52))</f>
        <v>-2.6205720000000099E-2</v>
      </c>
    </row>
    <row r="52" spans="1:82" x14ac:dyDescent="0.25">
      <c r="A52" s="39"/>
      <c r="B52" s="23">
        <v>10</v>
      </c>
      <c r="C52" s="24">
        <v>49</v>
      </c>
      <c r="E52" s="25">
        <v>77.235770000000002</v>
      </c>
      <c r="F52" s="26">
        <v>85.634765999999999</v>
      </c>
      <c r="G52" s="26">
        <v>85.052220000000005</v>
      </c>
      <c r="H52" s="27">
        <v>83.965630000000004</v>
      </c>
      <c r="I52" s="23">
        <f t="shared" si="64"/>
        <v>-6.7214790999999963</v>
      </c>
      <c r="J52" s="23">
        <f t="shared" si="65"/>
        <v>9.5376900000005094E-2</v>
      </c>
      <c r="K52" s="23">
        <f t="shared" si="66"/>
        <v>2.2907600000010575E-2</v>
      </c>
      <c r="L52" s="28">
        <f>IF(OR(H52="",H52="NaN"),"",H52-AVERAGE(H$43:H$52))</f>
        <v>9.6369000000038341E-3</v>
      </c>
      <c r="M52" s="5"/>
      <c r="N52" s="5"/>
      <c r="O52" s="25">
        <v>62.470416999999998</v>
      </c>
      <c r="P52" s="26">
        <v>60.088374999999999</v>
      </c>
      <c r="Q52" s="26">
        <v>60.514296999999999</v>
      </c>
      <c r="R52" s="27">
        <v>60.287815000000002</v>
      </c>
      <c r="S52" s="23">
        <f t="shared" si="67"/>
        <v>-6.0816142999999983</v>
      </c>
      <c r="T52" s="23">
        <f t="shared" si="68"/>
        <v>-0.26094240000000468</v>
      </c>
      <c r="U52" s="23">
        <f t="shared" si="69"/>
        <v>-8.2156999999995151E-2</v>
      </c>
      <c r="V52" s="28">
        <f>IF(OR(R52="",R52="NaN"),"",R52-AVERAGE(R$43:R$52))</f>
        <v>1.1550433000000027</v>
      </c>
      <c r="W52" s="5"/>
      <c r="X52" s="5"/>
      <c r="Y52" s="25">
        <v>21.885884999999998</v>
      </c>
      <c r="Z52" s="26">
        <v>11.326140000000001</v>
      </c>
      <c r="AA52" s="26">
        <v>11.400843</v>
      </c>
      <c r="AB52" s="27">
        <v>37.338904999999997</v>
      </c>
      <c r="AC52" s="23">
        <f t="shared" si="70"/>
        <v>7.9249048499999972</v>
      </c>
      <c r="AD52" s="23">
        <f t="shared" si="71"/>
        <v>0.13456310000000116</v>
      </c>
      <c r="AE52" s="23">
        <f t="shared" si="72"/>
        <v>-2.2067449999999766E-2</v>
      </c>
      <c r="AF52" s="28">
        <f>IF(OR(AB52="",AB52="NaN"),"",AB52-AVERAGE(AB$43:AB$52))</f>
        <v>-0.56964049999999844</v>
      </c>
      <c r="AG52" s="5"/>
      <c r="AH52" s="5"/>
      <c r="AI52" s="25">
        <v>8.5092929999999996</v>
      </c>
      <c r="AJ52" s="26">
        <v>6.9454836999999996</v>
      </c>
      <c r="AK52" s="26">
        <v>6.8472824000000001</v>
      </c>
      <c r="AL52" s="27">
        <v>7.6752004999999999</v>
      </c>
      <c r="AM52" s="23">
        <f t="shared" si="73"/>
        <v>2.3178579000000008</v>
      </c>
      <c r="AN52" s="23">
        <f t="shared" si="74"/>
        <v>-6.2045690000000597E-2</v>
      </c>
      <c r="AO52" s="23">
        <f t="shared" si="75"/>
        <v>0.14109672000000106</v>
      </c>
      <c r="AP52" s="28">
        <f>IF(OR(AL52="",AL52="NaN"),"",AL52-AVERAGE(AL$43:AL$52))</f>
        <v>0.28931451999999958</v>
      </c>
      <c r="AR52" s="5"/>
      <c r="AS52" s="25">
        <v>17.723372000000001</v>
      </c>
      <c r="AT52" s="26">
        <v>13.574396</v>
      </c>
      <c r="AU52" s="26">
        <v>13.604979500000001</v>
      </c>
      <c r="AV52" s="27">
        <v>14.920615</v>
      </c>
      <c r="AW52" s="23">
        <f t="shared" si="76"/>
        <v>5.6043392500000007</v>
      </c>
      <c r="AX52" s="23">
        <f t="shared" si="77"/>
        <v>0.10254669999999777</v>
      </c>
      <c r="AY52" s="23">
        <f t="shared" si="78"/>
        <v>0.12470719999999957</v>
      </c>
      <c r="AZ52" s="28">
        <f>IF(OR(AV52="",AV52="NaN"),"",AV52-AVERAGE(AV$43:AV$52))</f>
        <v>-0.66629789999999822</v>
      </c>
      <c r="BB52" s="5"/>
      <c r="BC52" s="25">
        <v>2.6428232</v>
      </c>
      <c r="BD52" s="26">
        <v>4.2119527000000003</v>
      </c>
      <c r="BE52" s="26">
        <v>4.1933007</v>
      </c>
      <c r="BF52" s="27">
        <v>5.5052924000000001</v>
      </c>
      <c r="BG52" s="23">
        <f t="shared" si="79"/>
        <v>-1.3451033300000002</v>
      </c>
      <c r="BH52" s="23">
        <f t="shared" si="80"/>
        <v>0.19048220999999987</v>
      </c>
      <c r="BI52" s="23">
        <f t="shared" si="81"/>
        <v>0.12281822000000009</v>
      </c>
      <c r="BJ52" s="28">
        <f>IF(OR(BF52="",BF52="NaN"),"",BF52-AVERAGE(BF$43:BF$52))</f>
        <v>-4.4005099999999686E-2</v>
      </c>
      <c r="BL52" s="5"/>
      <c r="BM52" s="25">
        <v>15.075961</v>
      </c>
      <c r="BN52" s="26">
        <v>2.6054181999999999</v>
      </c>
      <c r="BO52" s="26">
        <v>2.5072587</v>
      </c>
      <c r="BP52" s="27">
        <v>21.370619000000001</v>
      </c>
      <c r="BQ52" s="23">
        <f t="shared" si="82"/>
        <v>9.9664718199999989</v>
      </c>
      <c r="BR52" s="23">
        <f t="shared" si="83"/>
        <v>-8.9553320000000269E-2</v>
      </c>
      <c r="BS52" s="23">
        <f t="shared" si="84"/>
        <v>1.3295049999999531E-2</v>
      </c>
      <c r="BT52" s="28">
        <f>IF(OR(BP52="",BP52="NaN"),"",BP52-AVERAGE(BP$43:BP$52))</f>
        <v>0.89796439999999933</v>
      </c>
      <c r="BV52" s="5"/>
      <c r="BW52" s="25">
        <v>3.4586410000000001</v>
      </c>
      <c r="BX52" s="26">
        <v>4.2903840000000004</v>
      </c>
      <c r="BY52" s="26">
        <v>4.1506634</v>
      </c>
      <c r="BZ52" s="27">
        <v>5.1860580000000001</v>
      </c>
      <c r="CA52" s="23">
        <f t="shared" si="85"/>
        <v>0.73299466999999963</v>
      </c>
      <c r="CB52" s="23">
        <f t="shared" si="86"/>
        <v>0.1148117700000002</v>
      </c>
      <c r="CC52" s="23">
        <f t="shared" si="87"/>
        <v>-0.17714958999999997</v>
      </c>
      <c r="CD52" s="28">
        <f>IF(OR(BZ52="",BZ52="NaN"),"",BZ52-AVERAGE(BZ$43:BZ$52))</f>
        <v>6.4428580000000402E-2</v>
      </c>
    </row>
    <row r="53" spans="1:82" x14ac:dyDescent="0.25">
      <c r="A53" s="37">
        <v>5</v>
      </c>
      <c r="B53" s="12">
        <v>1</v>
      </c>
      <c r="C53" s="13">
        <v>5</v>
      </c>
      <c r="E53" s="14">
        <v>84.675520000000006</v>
      </c>
      <c r="F53" s="15">
        <v>84.733819999999994</v>
      </c>
      <c r="G53" s="15">
        <v>84.045850000000002</v>
      </c>
      <c r="H53" s="16">
        <v>83.461619999999996</v>
      </c>
      <c r="I53" s="12">
        <f t="shared" ref="I53:I62" si="88">IF(OR(E53="",E53="NaN"),"",E53-AVERAGE(E$53:E$62))</f>
        <v>0.80577790000000959</v>
      </c>
      <c r="J53" s="12">
        <f t="shared" ref="J53:J62" si="89">IF(OR(F53="",F53="NaN"),"",F53-AVERAGE(F$53:F$62))</f>
        <v>0.22700940000000003</v>
      </c>
      <c r="K53" s="12">
        <f t="shared" ref="K53:K62" si="90">IF(OR(G53="",G53="NaN"),"",G53-AVERAGE(G$53:G$62))</f>
        <v>0.24263619999999264</v>
      </c>
      <c r="L53" s="17">
        <f t="shared" ref="L53:L62" si="91">IF(OR(H53="",H53="NaN"),"",H53-AVERAGE(H$53:H$62))</f>
        <v>7.7785199999993893E-2</v>
      </c>
      <c r="M53" s="5"/>
      <c r="N53" s="5"/>
      <c r="O53" s="14">
        <v>72.390816000000001</v>
      </c>
      <c r="P53" s="15">
        <v>72.520256000000003</v>
      </c>
      <c r="Q53" s="15">
        <v>72.622489999999999</v>
      </c>
      <c r="R53" s="16">
        <v>69.264899999999997</v>
      </c>
      <c r="S53" s="12">
        <f t="shared" ref="S53:S62" si="92">IF(OR(O53="",O53="NaN"),"",O53-AVERAGE(O$53:O$62))</f>
        <v>0.95617219999999747</v>
      </c>
      <c r="T53" s="12">
        <f t="shared" ref="T53:T62" si="93">IF(OR(P53="",P53="NaN"),"",P53-AVERAGE(P$53:P$62))</f>
        <v>-8.1423499999985438E-2</v>
      </c>
      <c r="U53" s="12">
        <f t="shared" ref="U53:U62" si="94">IF(OR(Q53="",Q53="NaN"),"",Q53-AVERAGE(Q$53:Q$62))</f>
        <v>2.7817499999997608E-2</v>
      </c>
      <c r="V53" s="17">
        <f t="shared" ref="V53:V62" si="95">IF(OR(R53="",R53="NaN"),"",R53-AVERAGE(R$53:R$62))</f>
        <v>-6.9749600000008627E-2</v>
      </c>
      <c r="W53" s="5"/>
      <c r="X53" s="5"/>
      <c r="Y53" s="14">
        <v>19.750019999999999</v>
      </c>
      <c r="Z53" s="15">
        <v>19.704317</v>
      </c>
      <c r="AA53" s="15">
        <v>19.921597999999999</v>
      </c>
      <c r="AB53" s="16">
        <v>35.308197</v>
      </c>
      <c r="AC53" s="12">
        <f t="shared" ref="AC53:AC62" si="96">IF(OR(Y53="",Y53="NaN"),"",Y53-AVERAGE(Y$53:Y$62))</f>
        <v>0.40114029999999801</v>
      </c>
      <c r="AD53" s="12">
        <f t="shared" ref="AD53:AD62" si="97">IF(OR(Z53="",Z53="NaN"),"",Z53-AVERAGE(Z$53:Z$62))</f>
        <v>-4.9142259999999993</v>
      </c>
      <c r="AE53" s="12">
        <f t="shared" ref="AE53:AE62" si="98">IF(OR(AA53="",AA53="NaN"),"",AA53-AVERAGE(AA$53:AA$62))</f>
        <v>-2.3826070000000001</v>
      </c>
      <c r="AF53" s="17">
        <f t="shared" ref="AF53:AF62" si="99">IF(OR(AB53="",AB53="NaN"),"",AB53-AVERAGE(AB$53:AB$62))</f>
        <v>2.4251767000000015</v>
      </c>
      <c r="AG53" s="5"/>
      <c r="AH53" s="5"/>
      <c r="AI53" s="14">
        <v>6.795471</v>
      </c>
      <c r="AJ53" s="15">
        <v>6.7378809999999998</v>
      </c>
      <c r="AK53" s="15">
        <v>6.8207535999999998</v>
      </c>
      <c r="AL53" s="16">
        <v>6.0673385</v>
      </c>
      <c r="AM53" s="12">
        <f t="shared" ref="AM53:AM62" si="100">IF(OR(AI53="",AI53="NaN"),"",AI53-AVERAGE(AI$53:AI$62))</f>
        <v>1.426278000000103E-2</v>
      </c>
      <c r="AN53" s="12">
        <f t="shared" ref="AN53:AN62" si="101">IF(OR(AJ53="",AJ53="NaN"),"",AJ53-AVERAGE(AJ$53:AJ$62))</f>
        <v>1.6953719999999173E-2</v>
      </c>
      <c r="AO53" s="12">
        <f t="shared" ref="AO53:AO62" si="102">IF(OR(AK53="",AK53="NaN"),"",AK53-AVERAGE(AK$53:AK$62))</f>
        <v>4.9746980000000107E-2</v>
      </c>
      <c r="AP53" s="17">
        <f t="shared" ref="AP53:AP62" si="103">IF(OR(AL53="",AL53="NaN"),"",AL53-AVERAGE(AL$53:AL$62))</f>
        <v>0.11573901999999947</v>
      </c>
      <c r="AR53" s="5"/>
      <c r="AS53" s="14">
        <v>8.8316110000000005</v>
      </c>
      <c r="AT53" s="15">
        <v>8.6379490000000008</v>
      </c>
      <c r="AU53" s="15">
        <v>8.4463170000000005</v>
      </c>
      <c r="AV53" s="16">
        <v>10.832482000000001</v>
      </c>
      <c r="AW53" s="12">
        <f t="shared" ref="AW53:AW62" si="104">IF(OR(AS53="",AS53="NaN"),"",AS53-AVERAGE(AS$53:AS$62))</f>
        <v>-0.90971389999999808</v>
      </c>
      <c r="AX53" s="12">
        <f t="shared" ref="AX53:AX62" si="105">IF(OR(AT53="",AT53="NaN"),"",AT53-AVERAGE(AT$53:AT$62))</f>
        <v>0.39187763000000153</v>
      </c>
      <c r="AY53" s="12">
        <f t="shared" ref="AY53:AY62" si="106">IF(OR(AU53="",AU53="NaN"),"",AU53-AVERAGE(AU$53:AU$62))</f>
        <v>-0.32504754999999896</v>
      </c>
      <c r="AZ53" s="17">
        <f t="shared" ref="AZ53:AZ62" si="107">IF(OR(AV53="",AV53="NaN"),"",AV53-AVERAGE(AV$53:AV$62))</f>
        <v>6.4824599999999677E-2</v>
      </c>
      <c r="BB53" s="5"/>
      <c r="BC53" s="14">
        <v>1.8122632999999999</v>
      </c>
      <c r="BD53" s="15">
        <v>2.0322163</v>
      </c>
      <c r="BE53" s="15">
        <v>2.0335763</v>
      </c>
      <c r="BF53" s="16">
        <v>4.2327880000000002</v>
      </c>
      <c r="BG53" s="12">
        <f t="shared" ref="BG53:BG62" si="108">IF(OR(BC53="",BC53="NaN"),"",BC53-AVERAGE(BC$53:BC$62))</f>
        <v>-0.18642437000000012</v>
      </c>
      <c r="BH53" s="12">
        <f t="shared" ref="BH53:BH62" si="109">IF(OR(BD53="",BD53="NaN"),"",BD53-AVERAGE(BD$53:BD$62))</f>
        <v>-6.9901100000007155E-3</v>
      </c>
      <c r="BI53" s="12">
        <f t="shared" ref="BI53:BI62" si="110">IF(OR(BE53="",BE53="NaN"),"",BE53-AVERAGE(BE$53:BE$62))</f>
        <v>4.3094400000001087E-3</v>
      </c>
      <c r="BJ53" s="17">
        <f t="shared" ref="BJ53:BJ62" si="111">IF(OR(BF53="",BF53="NaN"),"",BF53-AVERAGE(BF$53:BF$62))</f>
        <v>-1.9053469999999351E-2</v>
      </c>
      <c r="BL53" s="5"/>
      <c r="BM53" s="14">
        <v>5.7342715000000002</v>
      </c>
      <c r="BN53" s="15">
        <v>11.79072</v>
      </c>
      <c r="BO53" s="15">
        <v>12.937556000000001</v>
      </c>
      <c r="BP53" s="16">
        <v>19.232927</v>
      </c>
      <c r="BQ53" s="12">
        <f t="shared" ref="BQ53:BQ62" si="112">IF(OR(BM53="",BM53="NaN"),"",BM53-AVERAGE(BM$53:BM$62))</f>
        <v>-1.409665079999999</v>
      </c>
      <c r="BR53" s="12">
        <f t="shared" ref="BR53:BR62" si="113">IF(OR(BN53="",BN53="NaN"),"",BN53-AVERAGE(BN$53:BN$62))</f>
        <v>0.15488090000000021</v>
      </c>
      <c r="BS53" s="12">
        <f t="shared" ref="BS53:BS62" si="114">IF(OR(BO53="",BO53="NaN"),"",BO53-AVERAGE(BO$53:BO$62))</f>
        <v>1.0780777999999991</v>
      </c>
      <c r="BT53" s="17">
        <f t="shared" ref="BT53:BT62" si="115">IF(OR(BP53="",BP53="NaN"),"",BP53-AVERAGE(BP$53:BP$62))</f>
        <v>-4.9177999999976407E-3</v>
      </c>
      <c r="BV53" s="5"/>
      <c r="BW53" s="14">
        <v>1.5619018</v>
      </c>
      <c r="BX53" s="15">
        <v>1.6962501000000001</v>
      </c>
      <c r="BY53" s="15">
        <v>1.7011664</v>
      </c>
      <c r="BZ53" s="16">
        <v>4.4304560000000004</v>
      </c>
      <c r="CA53" s="12">
        <f t="shared" ref="CA53:CA62" si="116">IF(OR(BW53="",BW53="NaN"),"",BW53-AVERAGE(BW$53:BW$62))</f>
        <v>-0.21449241999999979</v>
      </c>
      <c r="CB53" s="12">
        <f t="shared" ref="CB53:CB62" si="117">IF(OR(BX53="",BX53="NaN"),"",BX53-AVERAGE(BX$53:BX$62))</f>
        <v>2.9090620000000067E-2</v>
      </c>
      <c r="CC53" s="12">
        <f t="shared" ref="CC53:CC62" si="118">IF(OR(BY53="",BY53="NaN"),"",BY53-AVERAGE(BY$53:BY$62))</f>
        <v>-4.901750000000149E-3</v>
      </c>
      <c r="CD53" s="17">
        <f t="shared" ref="CD53:CD62" si="119">IF(OR(BZ53="",BZ53="NaN"),"",BZ53-AVERAGE(BZ$53:BZ$62))</f>
        <v>-0.16611325999999949</v>
      </c>
    </row>
    <row r="54" spans="1:82" x14ac:dyDescent="0.25">
      <c r="A54" s="38"/>
      <c r="B54" s="5">
        <v>2</v>
      </c>
      <c r="C54" s="18">
        <v>10</v>
      </c>
      <c r="E54" s="19">
        <v>84.328864999999993</v>
      </c>
      <c r="F54" s="20">
        <v>84.829679999999996</v>
      </c>
      <c r="G54" s="20">
        <v>83.614519999999999</v>
      </c>
      <c r="H54" s="21">
        <v>83.356093999999999</v>
      </c>
      <c r="I54" s="5">
        <f t="shared" si="88"/>
        <v>0.459122899999997</v>
      </c>
      <c r="J54" s="5">
        <f t="shared" si="89"/>
        <v>0.32286940000000186</v>
      </c>
      <c r="K54" s="5">
        <f t="shared" si="90"/>
        <v>-0.18869380000001001</v>
      </c>
      <c r="L54" s="22">
        <f t="shared" si="91"/>
        <v>-2.7740800000003674E-2</v>
      </c>
      <c r="M54" s="5"/>
      <c r="N54" s="5"/>
      <c r="O54" s="19">
        <v>72.418509999999998</v>
      </c>
      <c r="P54" s="20">
        <v>72.732994000000005</v>
      </c>
      <c r="Q54" s="20">
        <v>72.552795000000003</v>
      </c>
      <c r="R54" s="21">
        <v>69.298385999999994</v>
      </c>
      <c r="S54" s="5">
        <f t="shared" si="92"/>
        <v>0.98386619999999425</v>
      </c>
      <c r="T54" s="5">
        <f t="shared" si="93"/>
        <v>0.13131450000001621</v>
      </c>
      <c r="U54" s="5">
        <f t="shared" si="94"/>
        <v>-4.1877499999998236E-2</v>
      </c>
      <c r="V54" s="22">
        <f t="shared" si="95"/>
        <v>-3.6263600000012275E-2</v>
      </c>
      <c r="W54" s="5"/>
      <c r="X54" s="5"/>
      <c r="Y54" s="19">
        <v>19.958393000000001</v>
      </c>
      <c r="Z54" s="20">
        <v>25.820215000000001</v>
      </c>
      <c r="AA54" s="20">
        <v>19.798634</v>
      </c>
      <c r="AB54" s="21">
        <v>33.294899999999998</v>
      </c>
      <c r="AC54" s="5">
        <f t="shared" si="96"/>
        <v>0.6095132999999997</v>
      </c>
      <c r="AD54" s="5">
        <f t="shared" si="97"/>
        <v>1.2016720000000021</v>
      </c>
      <c r="AE54" s="5">
        <f t="shared" si="98"/>
        <v>-2.5055709999999998</v>
      </c>
      <c r="AF54" s="22">
        <f t="shared" si="99"/>
        <v>0.41187970000000007</v>
      </c>
      <c r="AG54" s="5"/>
      <c r="AH54" s="5"/>
      <c r="AI54" s="19">
        <v>6.8681855000000001</v>
      </c>
      <c r="AJ54" s="20">
        <v>6.7213669999999999</v>
      </c>
      <c r="AK54" s="20">
        <v>6.8207535999999998</v>
      </c>
      <c r="AL54" s="21">
        <v>6.0400539999999996</v>
      </c>
      <c r="AM54" s="5">
        <f t="shared" si="100"/>
        <v>8.6977280000001045E-2</v>
      </c>
      <c r="AN54" s="5">
        <f t="shared" si="101"/>
        <v>4.3971999999925515E-4</v>
      </c>
      <c r="AO54" s="5">
        <f t="shared" si="102"/>
        <v>4.9746980000000107E-2</v>
      </c>
      <c r="AP54" s="22">
        <f t="shared" si="103"/>
        <v>8.8454519999999093E-2</v>
      </c>
      <c r="AR54" s="5"/>
      <c r="AS54" s="19">
        <v>8.816281</v>
      </c>
      <c r="AT54" s="20">
        <v>8.7880400000000005</v>
      </c>
      <c r="AU54" s="20">
        <v>8.4763889999999993</v>
      </c>
      <c r="AV54" s="21">
        <v>10.791468</v>
      </c>
      <c r="AW54" s="5">
        <f t="shared" si="104"/>
        <v>-0.92504389999999859</v>
      </c>
      <c r="AX54" s="5">
        <f t="shared" si="105"/>
        <v>0.54196863000000128</v>
      </c>
      <c r="AY54" s="5">
        <f t="shared" si="106"/>
        <v>-0.2949755500000002</v>
      </c>
      <c r="AZ54" s="22">
        <f t="shared" si="107"/>
        <v>2.3810599999999127E-2</v>
      </c>
      <c r="BB54" s="5"/>
      <c r="BC54" s="19">
        <v>2.0123123999999999</v>
      </c>
      <c r="BD54" s="20">
        <v>2.0194200000000002</v>
      </c>
      <c r="BE54" s="20">
        <v>2.0170205000000001</v>
      </c>
      <c r="BF54" s="21">
        <v>4.2406930000000003</v>
      </c>
      <c r="BG54" s="5">
        <f t="shared" si="108"/>
        <v>1.3624729999999863E-2</v>
      </c>
      <c r="BH54" s="5">
        <f t="shared" si="109"/>
        <v>-1.9786410000000476E-2</v>
      </c>
      <c r="BI54" s="5">
        <f t="shared" si="110"/>
        <v>-1.224635999999979E-2</v>
      </c>
      <c r="BJ54" s="22">
        <f t="shared" si="111"/>
        <v>-1.11484699999993E-2</v>
      </c>
      <c r="BL54" s="5"/>
      <c r="BM54" s="19">
        <v>5.2726573999999999</v>
      </c>
      <c r="BN54" s="20">
        <v>11.574168999999999</v>
      </c>
      <c r="BO54" s="20">
        <v>12.457947000000001</v>
      </c>
      <c r="BP54" s="21">
        <v>19.233713000000002</v>
      </c>
      <c r="BQ54" s="5">
        <f t="shared" si="112"/>
        <v>-1.8712791799999993</v>
      </c>
      <c r="BR54" s="5">
        <f t="shared" si="113"/>
        <v>-6.1670100000000616E-2</v>
      </c>
      <c r="BS54" s="5">
        <f t="shared" si="114"/>
        <v>0.59846879999999913</v>
      </c>
      <c r="BT54" s="22">
        <f t="shared" si="115"/>
        <v>-4.131799999996133E-3</v>
      </c>
      <c r="BV54" s="5"/>
      <c r="BW54" s="19">
        <v>1.6276961999999999</v>
      </c>
      <c r="BX54" s="20">
        <v>1.7214872000000001</v>
      </c>
      <c r="BY54" s="20">
        <v>1.7065041000000001</v>
      </c>
      <c r="BZ54" s="21">
        <v>4.7436579999999999</v>
      </c>
      <c r="CA54" s="5">
        <f t="shared" si="116"/>
        <v>-0.14869801999999988</v>
      </c>
      <c r="CB54" s="5">
        <f t="shared" si="117"/>
        <v>5.4327720000000079E-2</v>
      </c>
      <c r="CC54" s="5">
        <f t="shared" si="118"/>
        <v>4.3594999999996276E-4</v>
      </c>
      <c r="CD54" s="22">
        <f t="shared" si="119"/>
        <v>0.14708874000000005</v>
      </c>
    </row>
    <row r="55" spans="1:82" x14ac:dyDescent="0.25">
      <c r="A55" s="38"/>
      <c r="B55" s="5">
        <v>3</v>
      </c>
      <c r="C55" s="18">
        <v>15</v>
      </c>
      <c r="E55" s="19">
        <v>84.483260000000001</v>
      </c>
      <c r="F55" s="20">
        <v>84.320205999999999</v>
      </c>
      <c r="G55" s="20">
        <v>83.655174000000002</v>
      </c>
      <c r="H55" s="21">
        <v>83.168000000000006</v>
      </c>
      <c r="I55" s="5">
        <f t="shared" si="88"/>
        <v>0.61351790000000506</v>
      </c>
      <c r="J55" s="5">
        <f t="shared" si="89"/>
        <v>-0.18660459999999546</v>
      </c>
      <c r="K55" s="5">
        <f t="shared" si="90"/>
        <v>-0.14803980000000649</v>
      </c>
      <c r="L55" s="22">
        <f t="shared" si="91"/>
        <v>-0.21583479999999611</v>
      </c>
      <c r="M55" s="5"/>
      <c r="N55" s="5"/>
      <c r="O55" s="19">
        <v>72.376909999999995</v>
      </c>
      <c r="P55" s="20">
        <v>72.492739999999998</v>
      </c>
      <c r="Q55" s="20">
        <v>72.639709999999994</v>
      </c>
      <c r="R55" s="21">
        <v>69.330690000000004</v>
      </c>
      <c r="S55" s="5">
        <f t="shared" si="92"/>
        <v>0.94226619999999173</v>
      </c>
      <c r="T55" s="5">
        <f t="shared" si="93"/>
        <v>-0.10893949999999109</v>
      </c>
      <c r="U55" s="5">
        <f t="shared" si="94"/>
        <v>4.5037499999992292E-2</v>
      </c>
      <c r="V55" s="22">
        <f t="shared" si="95"/>
        <v>-3.9596000000017284E-3</v>
      </c>
      <c r="W55" s="5"/>
      <c r="X55" s="5"/>
      <c r="Y55" s="19">
        <v>19.78349</v>
      </c>
      <c r="Z55" s="20">
        <v>25.907171000000002</v>
      </c>
      <c r="AA55" s="20">
        <v>25.944877999999999</v>
      </c>
      <c r="AB55" s="21">
        <v>32.990772</v>
      </c>
      <c r="AC55" s="5">
        <f t="shared" si="96"/>
        <v>0.43461029999999923</v>
      </c>
      <c r="AD55" s="5">
        <f t="shared" si="97"/>
        <v>1.2886280000000028</v>
      </c>
      <c r="AE55" s="5">
        <f t="shared" si="98"/>
        <v>3.6406729999999996</v>
      </c>
      <c r="AF55" s="22">
        <f t="shared" si="99"/>
        <v>0.10775170000000145</v>
      </c>
      <c r="AG55" s="5"/>
      <c r="AH55" s="5"/>
      <c r="AI55" s="19">
        <v>6.7847099999999996</v>
      </c>
      <c r="AJ55" s="20">
        <v>6.7647753000000002</v>
      </c>
      <c r="AK55" s="20">
        <v>6.8013915999999996</v>
      </c>
      <c r="AL55" s="21">
        <v>6.2238949999999997</v>
      </c>
      <c r="AM55" s="5">
        <f t="shared" si="100"/>
        <v>3.501780000000565E-3</v>
      </c>
      <c r="AN55" s="5">
        <f t="shared" si="101"/>
        <v>4.3848019999999543E-2</v>
      </c>
      <c r="AO55" s="5">
        <f t="shared" si="102"/>
        <v>3.0384980000000006E-2</v>
      </c>
      <c r="AP55" s="22">
        <f t="shared" si="103"/>
        <v>0.27229551999999924</v>
      </c>
      <c r="AR55" s="5"/>
      <c r="AS55" s="19">
        <v>8.8941590000000001</v>
      </c>
      <c r="AT55" s="20">
        <v>7.9746059999999996</v>
      </c>
      <c r="AU55" s="20">
        <v>9.1385240000000003</v>
      </c>
      <c r="AV55" s="21">
        <v>10.702128</v>
      </c>
      <c r="AW55" s="5">
        <f t="shared" si="104"/>
        <v>-0.84716589999999847</v>
      </c>
      <c r="AX55" s="5">
        <f t="shared" si="105"/>
        <v>-0.2714653699999996</v>
      </c>
      <c r="AY55" s="5">
        <f t="shared" si="106"/>
        <v>0.36715945000000083</v>
      </c>
      <c r="AZ55" s="22">
        <f t="shared" si="107"/>
        <v>-6.5529400000000848E-2</v>
      </c>
      <c r="BB55" s="5"/>
      <c r="BC55" s="19">
        <v>2.0267195999999998</v>
      </c>
      <c r="BD55" s="20">
        <v>2.0248110000000001</v>
      </c>
      <c r="BE55" s="20">
        <v>2.0314274000000001</v>
      </c>
      <c r="BF55" s="21">
        <v>4.2286960000000002</v>
      </c>
      <c r="BG55" s="5">
        <f t="shared" si="108"/>
        <v>2.8031929999999816E-2</v>
      </c>
      <c r="BH55" s="5">
        <f t="shared" si="109"/>
        <v>-1.4395410000000552E-2</v>
      </c>
      <c r="BI55" s="5">
        <f t="shared" si="110"/>
        <v>2.1605400000002106E-3</v>
      </c>
      <c r="BJ55" s="22">
        <f t="shared" si="111"/>
        <v>-2.3145469999999335E-2</v>
      </c>
      <c r="BL55" s="5"/>
      <c r="BM55" s="19">
        <v>9.4675809999999991</v>
      </c>
      <c r="BN55" s="20">
        <v>11.741770000000001</v>
      </c>
      <c r="BO55" s="20">
        <v>11.588656</v>
      </c>
      <c r="BP55" s="21">
        <v>19.24202</v>
      </c>
      <c r="BQ55" s="5">
        <f t="shared" si="112"/>
        <v>2.3236444199999999</v>
      </c>
      <c r="BR55" s="5">
        <f t="shared" si="113"/>
        <v>0.10593090000000061</v>
      </c>
      <c r="BS55" s="5">
        <f t="shared" si="114"/>
        <v>-0.27082220000000135</v>
      </c>
      <c r="BT55" s="22">
        <f t="shared" si="115"/>
        <v>4.175200000002377E-3</v>
      </c>
      <c r="BV55" s="5"/>
      <c r="BW55" s="19">
        <v>1.6761792</v>
      </c>
      <c r="BX55" s="20">
        <v>1.6496797000000001</v>
      </c>
      <c r="BY55" s="20">
        <v>1.7217695</v>
      </c>
      <c r="BZ55" s="21">
        <v>4.4412446000000001</v>
      </c>
      <c r="CA55" s="5">
        <f t="shared" si="116"/>
        <v>-0.10021501999999982</v>
      </c>
      <c r="CB55" s="5">
        <f t="shared" si="117"/>
        <v>-1.7479779999999945E-2</v>
      </c>
      <c r="CC55" s="5">
        <f t="shared" si="118"/>
        <v>1.5701349999999836E-2</v>
      </c>
      <c r="CD55" s="22">
        <f t="shared" si="119"/>
        <v>-0.15532465999999978</v>
      </c>
    </row>
    <row r="56" spans="1:82" x14ac:dyDescent="0.25">
      <c r="A56" s="38"/>
      <c r="B56" s="5">
        <v>4</v>
      </c>
      <c r="C56" s="18">
        <v>20</v>
      </c>
      <c r="E56" s="19">
        <v>84.330039999999997</v>
      </c>
      <c r="F56" s="20">
        <v>84.581249999999997</v>
      </c>
      <c r="G56" s="20">
        <v>83.717160000000007</v>
      </c>
      <c r="H56" s="21">
        <v>83.415099999999995</v>
      </c>
      <c r="I56" s="5">
        <f t="shared" si="88"/>
        <v>0.46029790000000048</v>
      </c>
      <c r="J56" s="5">
        <f t="shared" si="89"/>
        <v>7.443940000000282E-2</v>
      </c>
      <c r="K56" s="5">
        <f t="shared" si="90"/>
        <v>-8.6053800000001957E-2</v>
      </c>
      <c r="L56" s="22">
        <f t="shared" si="91"/>
        <v>3.1265199999992888E-2</v>
      </c>
      <c r="M56" s="5"/>
      <c r="N56" s="5"/>
      <c r="O56" s="19">
        <v>72.450100000000006</v>
      </c>
      <c r="P56" s="20">
        <v>72.510859999999994</v>
      </c>
      <c r="Q56" s="20">
        <v>72.53631</v>
      </c>
      <c r="R56" s="21">
        <v>69.347080000000005</v>
      </c>
      <c r="S56" s="5">
        <f t="shared" si="92"/>
        <v>1.0154562000000027</v>
      </c>
      <c r="T56" s="5">
        <f t="shared" si="93"/>
        <v>-9.0819499999994946E-2</v>
      </c>
      <c r="U56" s="5">
        <f t="shared" si="94"/>
        <v>-5.8362500000001205E-2</v>
      </c>
      <c r="V56" s="22">
        <f t="shared" si="95"/>
        <v>1.2430399999999509E-2</v>
      </c>
      <c r="W56" s="5"/>
      <c r="X56" s="5"/>
      <c r="Y56" s="19">
        <v>19.674537999999998</v>
      </c>
      <c r="Z56" s="20">
        <v>25.599730000000001</v>
      </c>
      <c r="AA56" s="20">
        <v>19.891932000000001</v>
      </c>
      <c r="AB56" s="21">
        <v>32.990425000000002</v>
      </c>
      <c r="AC56" s="5">
        <f t="shared" si="96"/>
        <v>0.32565829999999707</v>
      </c>
      <c r="AD56" s="5">
        <f t="shared" si="97"/>
        <v>0.98118700000000203</v>
      </c>
      <c r="AE56" s="5">
        <f t="shared" si="98"/>
        <v>-2.412272999999999</v>
      </c>
      <c r="AF56" s="22">
        <f t="shared" si="99"/>
        <v>0.10740470000000357</v>
      </c>
      <c r="AG56" s="5"/>
      <c r="AH56" s="5"/>
      <c r="AI56" s="19">
        <v>6.5837501999999999</v>
      </c>
      <c r="AJ56" s="20">
        <v>6.7131267000000001</v>
      </c>
      <c r="AK56" s="20">
        <v>6.7465343000000004</v>
      </c>
      <c r="AL56" s="21">
        <v>5.4113607000000004</v>
      </c>
      <c r="AM56" s="5">
        <f t="shared" si="100"/>
        <v>-0.19745801999999912</v>
      </c>
      <c r="AN56" s="5">
        <f t="shared" si="101"/>
        <v>-7.800580000000501E-3</v>
      </c>
      <c r="AO56" s="5">
        <f t="shared" si="102"/>
        <v>-2.4472319999999215E-2</v>
      </c>
      <c r="AP56" s="22">
        <f t="shared" si="103"/>
        <v>-0.54023878000000014</v>
      </c>
      <c r="AR56" s="5"/>
      <c r="AS56" s="19">
        <v>8.9395710000000008</v>
      </c>
      <c r="AT56" s="20">
        <v>8.5585109999999993</v>
      </c>
      <c r="AU56" s="20">
        <v>9.0340790000000002</v>
      </c>
      <c r="AV56" s="21">
        <v>10.856121</v>
      </c>
      <c r="AW56" s="5">
        <f t="shared" si="104"/>
        <v>-0.8017538999999978</v>
      </c>
      <c r="AX56" s="5">
        <f t="shared" si="105"/>
        <v>0.31243963000000008</v>
      </c>
      <c r="AY56" s="5">
        <f t="shared" si="106"/>
        <v>0.26271445000000071</v>
      </c>
      <c r="AZ56" s="22">
        <f t="shared" si="107"/>
        <v>8.8463599999998976E-2</v>
      </c>
      <c r="BB56" s="5"/>
      <c r="BC56" s="19">
        <v>2.0039546000000001</v>
      </c>
      <c r="BD56" s="20">
        <v>2.032232</v>
      </c>
      <c r="BE56" s="20">
        <v>2.039218</v>
      </c>
      <c r="BF56" s="21">
        <v>4.2455699999999998</v>
      </c>
      <c r="BG56" s="5">
        <f t="shared" si="108"/>
        <v>5.266930000000114E-3</v>
      </c>
      <c r="BH56" s="5">
        <f t="shared" si="109"/>
        <v>-6.9744100000006526E-3</v>
      </c>
      <c r="BI56" s="5">
        <f t="shared" si="110"/>
        <v>9.9511400000000805E-3</v>
      </c>
      <c r="BJ56" s="22">
        <f t="shared" si="111"/>
        <v>-6.2714699999997237E-3</v>
      </c>
      <c r="BL56" s="5"/>
      <c r="BM56" s="19">
        <v>5.350492</v>
      </c>
      <c r="BN56" s="20">
        <v>11.548052</v>
      </c>
      <c r="BO56" s="20">
        <v>11.651078</v>
      </c>
      <c r="BP56" s="21">
        <v>19.160350000000001</v>
      </c>
      <c r="BQ56" s="5">
        <f t="shared" si="112"/>
        <v>-1.7934445799999992</v>
      </c>
      <c r="BR56" s="5">
        <f t="shared" si="113"/>
        <v>-8.7787099999999896E-2</v>
      </c>
      <c r="BS56" s="5">
        <f t="shared" si="114"/>
        <v>-0.20840020000000159</v>
      </c>
      <c r="BT56" s="22">
        <f t="shared" si="115"/>
        <v>-7.7494799999996644E-2</v>
      </c>
      <c r="BV56" s="5"/>
      <c r="BW56" s="19">
        <v>1.5457445000000001</v>
      </c>
      <c r="BX56" s="20">
        <v>1.6891402</v>
      </c>
      <c r="BY56" s="20">
        <v>1.7159682999999999</v>
      </c>
      <c r="BZ56" s="21">
        <v>4.7578144</v>
      </c>
      <c r="CA56" s="5">
        <f t="shared" si="116"/>
        <v>-0.23064971999999972</v>
      </c>
      <c r="CB56" s="5">
        <f t="shared" si="117"/>
        <v>2.1980719999999954E-2</v>
      </c>
      <c r="CC56" s="5">
        <f t="shared" si="118"/>
        <v>9.9001499999997744E-3</v>
      </c>
      <c r="CD56" s="22">
        <f t="shared" si="119"/>
        <v>0.16124514000000012</v>
      </c>
    </row>
    <row r="57" spans="1:82" x14ac:dyDescent="0.25">
      <c r="A57" s="38"/>
      <c r="B57" s="5">
        <v>5</v>
      </c>
      <c r="C57" s="18">
        <v>25</v>
      </c>
      <c r="E57" s="19">
        <v>84.919079999999994</v>
      </c>
      <c r="F57" s="20">
        <v>84.266499999999994</v>
      </c>
      <c r="G57" s="20">
        <v>84.541899999999998</v>
      </c>
      <c r="H57" s="21">
        <v>83.358733999999998</v>
      </c>
      <c r="I57" s="5">
        <f t="shared" si="88"/>
        <v>1.0493378999999976</v>
      </c>
      <c r="J57" s="5">
        <f t="shared" si="89"/>
        <v>-0.24031060000000082</v>
      </c>
      <c r="K57" s="5">
        <f t="shared" si="90"/>
        <v>0.73868619999998941</v>
      </c>
      <c r="L57" s="22">
        <f t="shared" si="91"/>
        <v>-2.5100800000004142E-2</v>
      </c>
      <c r="M57" s="5"/>
      <c r="N57" s="5"/>
      <c r="O57" s="19">
        <v>72.4679</v>
      </c>
      <c r="P57" s="20">
        <v>72.554040000000001</v>
      </c>
      <c r="Q57" s="20">
        <v>72.622600000000006</v>
      </c>
      <c r="R57" s="21">
        <v>69.290409999999994</v>
      </c>
      <c r="S57" s="5">
        <f t="shared" si="92"/>
        <v>1.0332561999999967</v>
      </c>
      <c r="T57" s="5">
        <f t="shared" si="93"/>
        <v>-4.7639499999988288E-2</v>
      </c>
      <c r="U57" s="5">
        <f t="shared" si="94"/>
        <v>2.7927500000004102E-2</v>
      </c>
      <c r="V57" s="22">
        <f t="shared" si="95"/>
        <v>-4.4239600000011592E-2</v>
      </c>
      <c r="W57" s="5"/>
      <c r="X57" s="5"/>
      <c r="Y57" s="19">
        <v>12.927726</v>
      </c>
      <c r="Z57" s="20">
        <v>19.69661</v>
      </c>
      <c r="AA57" s="20">
        <v>19.797765999999999</v>
      </c>
      <c r="AB57" s="21">
        <v>33.232684999999996</v>
      </c>
      <c r="AC57" s="5">
        <f t="shared" si="96"/>
        <v>-6.4211537000000014</v>
      </c>
      <c r="AD57" s="5">
        <f t="shared" si="97"/>
        <v>-4.9219329999999992</v>
      </c>
      <c r="AE57" s="5">
        <f t="shared" si="98"/>
        <v>-2.5064390000000003</v>
      </c>
      <c r="AF57" s="22">
        <f t="shared" si="99"/>
        <v>0.34966469999999816</v>
      </c>
      <c r="AG57" s="5"/>
      <c r="AH57" s="5"/>
      <c r="AI57" s="19">
        <v>5.9717289999999998</v>
      </c>
      <c r="AJ57" s="20">
        <v>6.7115345</v>
      </c>
      <c r="AK57" s="20">
        <v>6.7035549999999997</v>
      </c>
      <c r="AL57" s="21">
        <v>5.446644</v>
      </c>
      <c r="AM57" s="5">
        <f t="shared" si="100"/>
        <v>-0.80947921999999917</v>
      </c>
      <c r="AN57" s="5">
        <f t="shared" si="101"/>
        <v>-9.3927800000006556E-3</v>
      </c>
      <c r="AO57" s="5">
        <f t="shared" si="102"/>
        <v>-6.7451619999999934E-2</v>
      </c>
      <c r="AP57" s="22">
        <f t="shared" si="103"/>
        <v>-0.50495548000000046</v>
      </c>
      <c r="AR57" s="5"/>
      <c r="AS57" s="19">
        <v>8.8247710000000001</v>
      </c>
      <c r="AT57" s="20">
        <v>8.4561670000000007</v>
      </c>
      <c r="AU57" s="20">
        <v>8.5472800000000007</v>
      </c>
      <c r="AV57" s="21">
        <v>10.902309000000001</v>
      </c>
      <c r="AW57" s="5">
        <f t="shared" si="104"/>
        <v>-0.91655389999999848</v>
      </c>
      <c r="AX57" s="5">
        <f t="shared" si="105"/>
        <v>0.21009563000000142</v>
      </c>
      <c r="AY57" s="5">
        <f t="shared" si="106"/>
        <v>-0.22408454999999883</v>
      </c>
      <c r="AZ57" s="22">
        <f t="shared" si="107"/>
        <v>0.13465159999999976</v>
      </c>
      <c r="BB57" s="5"/>
      <c r="BC57" s="19">
        <v>1.8101145999999999</v>
      </c>
      <c r="BD57" s="20">
        <v>2.0413668</v>
      </c>
      <c r="BE57" s="20">
        <v>2.036448</v>
      </c>
      <c r="BF57" s="21">
        <v>4.2375670000000003</v>
      </c>
      <c r="BG57" s="5">
        <f t="shared" si="108"/>
        <v>-0.18857307000000012</v>
      </c>
      <c r="BH57" s="5">
        <f t="shared" si="109"/>
        <v>2.1603899999993459E-3</v>
      </c>
      <c r="BI57" s="5">
        <f t="shared" si="110"/>
        <v>7.1811400000001413E-3</v>
      </c>
      <c r="BJ57" s="22">
        <f t="shared" si="111"/>
        <v>-1.4274469999999262E-2</v>
      </c>
      <c r="BL57" s="5"/>
      <c r="BM57" s="19">
        <v>5.2911672999999997</v>
      </c>
      <c r="BN57" s="20">
        <v>11.502687999999999</v>
      </c>
      <c r="BO57" s="20">
        <v>11.600481</v>
      </c>
      <c r="BP57" s="21">
        <v>19.152007999999999</v>
      </c>
      <c r="BQ57" s="5">
        <f t="shared" si="112"/>
        <v>-1.8527692799999995</v>
      </c>
      <c r="BR57" s="5">
        <f t="shared" si="113"/>
        <v>-0.13315110000000097</v>
      </c>
      <c r="BS57" s="5">
        <f t="shared" si="114"/>
        <v>-0.25899720000000137</v>
      </c>
      <c r="BT57" s="22">
        <f t="shared" si="115"/>
        <v>-8.5836799999999158E-2</v>
      </c>
      <c r="BV57" s="5"/>
      <c r="BW57" s="19">
        <v>1.5800525999999999</v>
      </c>
      <c r="BX57" s="20">
        <v>1.6860648</v>
      </c>
      <c r="BY57" s="20">
        <v>1.6614800999999999</v>
      </c>
      <c r="BZ57" s="21">
        <v>4.6909784999999999</v>
      </c>
      <c r="CA57" s="5">
        <f t="shared" si="116"/>
        <v>-0.19634161999999988</v>
      </c>
      <c r="CB57" s="5">
        <f t="shared" si="117"/>
        <v>1.8905320000000003E-2</v>
      </c>
      <c r="CC57" s="5">
        <f t="shared" si="118"/>
        <v>-4.4588050000000212E-2</v>
      </c>
      <c r="CD57" s="22">
        <f t="shared" si="119"/>
        <v>9.4409240000000061E-2</v>
      </c>
    </row>
    <row r="58" spans="1:82" x14ac:dyDescent="0.25">
      <c r="A58" s="38"/>
      <c r="B58" s="5">
        <v>6</v>
      </c>
      <c r="C58" s="18">
        <v>30</v>
      </c>
      <c r="E58" s="19">
        <v>84.528689999999997</v>
      </c>
      <c r="F58" s="20">
        <v>84.77664</v>
      </c>
      <c r="G58" s="20">
        <v>83.767150000000001</v>
      </c>
      <c r="H58" s="21">
        <v>83.595830000000007</v>
      </c>
      <c r="I58" s="5">
        <f t="shared" si="88"/>
        <v>0.65894790000000114</v>
      </c>
      <c r="J58" s="5">
        <f t="shared" si="89"/>
        <v>0.2698294000000061</v>
      </c>
      <c r="K58" s="5">
        <f t="shared" si="90"/>
        <v>-3.6063800000007973E-2</v>
      </c>
      <c r="L58" s="22">
        <f t="shared" si="91"/>
        <v>0.21199520000000405</v>
      </c>
      <c r="M58" s="5"/>
      <c r="N58" s="5"/>
      <c r="O58" s="19">
        <v>72.455600000000004</v>
      </c>
      <c r="P58" s="20">
        <v>72.629350000000002</v>
      </c>
      <c r="Q58" s="20">
        <v>72.540419999999997</v>
      </c>
      <c r="R58" s="21">
        <v>69.330590000000001</v>
      </c>
      <c r="S58" s="5">
        <f t="shared" si="92"/>
        <v>1.0209562000000005</v>
      </c>
      <c r="T58" s="5">
        <f t="shared" si="93"/>
        <v>2.7670500000013476E-2</v>
      </c>
      <c r="U58" s="5">
        <f t="shared" si="94"/>
        <v>-5.4252500000004034E-2</v>
      </c>
      <c r="V58" s="22">
        <f t="shared" si="95"/>
        <v>-4.0596000000050481E-3</v>
      </c>
      <c r="W58" s="5"/>
      <c r="X58" s="5"/>
      <c r="Y58" s="19">
        <v>19.822524999999999</v>
      </c>
      <c r="Z58" s="20">
        <v>25.790949999999999</v>
      </c>
      <c r="AA58" s="20">
        <v>19.888604999999998</v>
      </c>
      <c r="AB58" s="21">
        <v>32.958908000000001</v>
      </c>
      <c r="AC58" s="5">
        <f t="shared" si="96"/>
        <v>0.4736452999999976</v>
      </c>
      <c r="AD58" s="5">
        <f t="shared" si="97"/>
        <v>1.1724069999999998</v>
      </c>
      <c r="AE58" s="5">
        <f t="shared" si="98"/>
        <v>-2.4156000000000013</v>
      </c>
      <c r="AF58" s="22">
        <f t="shared" si="99"/>
        <v>7.5887700000002667E-2</v>
      </c>
      <c r="AG58" s="5"/>
      <c r="AH58" s="5"/>
      <c r="AI58" s="19">
        <v>6.5584873999999997</v>
      </c>
      <c r="AJ58" s="20">
        <v>6.7131267000000001</v>
      </c>
      <c r="AK58" s="20">
        <v>6.8013915999999996</v>
      </c>
      <c r="AL58" s="21">
        <v>6.0659875999999997</v>
      </c>
      <c r="AM58" s="5">
        <f t="shared" si="100"/>
        <v>-0.22272081999999926</v>
      </c>
      <c r="AN58" s="5">
        <f t="shared" si="101"/>
        <v>-7.800580000000501E-3</v>
      </c>
      <c r="AO58" s="5">
        <f t="shared" si="102"/>
        <v>3.0384980000000006E-2</v>
      </c>
      <c r="AP58" s="22">
        <f t="shared" si="103"/>
        <v>0.1143881199999992</v>
      </c>
      <c r="AR58" s="5"/>
      <c r="AS58" s="19">
        <v>8.7666380000000004</v>
      </c>
      <c r="AT58" s="20">
        <v>8.2371929999999995</v>
      </c>
      <c r="AU58" s="20">
        <v>8.9385300000000001</v>
      </c>
      <c r="AV58" s="21">
        <v>10.753375999999999</v>
      </c>
      <c r="AW58" s="5">
        <f t="shared" si="104"/>
        <v>-0.97468689999999825</v>
      </c>
      <c r="AX58" s="5">
        <f t="shared" si="105"/>
        <v>-8.8783699999996912E-3</v>
      </c>
      <c r="AY58" s="5">
        <f t="shared" si="106"/>
        <v>0.1671654500000006</v>
      </c>
      <c r="AZ58" s="22">
        <f t="shared" si="107"/>
        <v>-1.4281400000001554E-2</v>
      </c>
      <c r="BB58" s="5"/>
      <c r="BC58" s="19">
        <v>1.8101145999999999</v>
      </c>
      <c r="BD58" s="20">
        <v>2.0413668</v>
      </c>
      <c r="BE58" s="20">
        <v>2.0314274000000001</v>
      </c>
      <c r="BF58" s="21">
        <v>4.2286960000000002</v>
      </c>
      <c r="BG58" s="5">
        <f t="shared" si="108"/>
        <v>-0.18857307000000012</v>
      </c>
      <c r="BH58" s="5">
        <f t="shared" si="109"/>
        <v>2.1603899999993459E-3</v>
      </c>
      <c r="BI58" s="5">
        <f t="shared" si="110"/>
        <v>2.1605400000002106E-3</v>
      </c>
      <c r="BJ58" s="22">
        <f t="shared" si="111"/>
        <v>-2.3145469999999335E-2</v>
      </c>
      <c r="BL58" s="5"/>
      <c r="BM58" s="19">
        <v>5.2864065</v>
      </c>
      <c r="BN58" s="20">
        <v>11.601367</v>
      </c>
      <c r="BO58" s="20">
        <v>11.676774</v>
      </c>
      <c r="BP58" s="21">
        <v>19.256433000000001</v>
      </c>
      <c r="BQ58" s="5">
        <f t="shared" si="112"/>
        <v>-1.8575300799999992</v>
      </c>
      <c r="BR58" s="5">
        <f t="shared" si="113"/>
        <v>-3.4472100000000339E-2</v>
      </c>
      <c r="BS58" s="5">
        <f t="shared" si="114"/>
        <v>-0.18270420000000165</v>
      </c>
      <c r="BT58" s="22">
        <f t="shared" si="115"/>
        <v>1.8588200000003496E-2</v>
      </c>
      <c r="BV58" s="5"/>
      <c r="BW58" s="19">
        <v>1.5724058999999999</v>
      </c>
      <c r="BX58" s="20">
        <v>1.6956123999999999</v>
      </c>
      <c r="BY58" s="20">
        <v>1.7148584</v>
      </c>
      <c r="BZ58" s="21">
        <v>4.4137729999999999</v>
      </c>
      <c r="CA58" s="5">
        <f t="shared" si="116"/>
        <v>-0.20398831999999989</v>
      </c>
      <c r="CB58" s="5">
        <f t="shared" si="117"/>
        <v>2.8452919999999882E-2</v>
      </c>
      <c r="CC58" s="5">
        <f t="shared" si="118"/>
        <v>8.7902499999998884E-3</v>
      </c>
      <c r="CD58" s="22">
        <f t="shared" si="119"/>
        <v>-0.18279625999999993</v>
      </c>
    </row>
    <row r="59" spans="1:82" x14ac:dyDescent="0.25">
      <c r="A59" s="38"/>
      <c r="B59" s="5">
        <v>7</v>
      </c>
      <c r="C59" s="18">
        <v>35</v>
      </c>
      <c r="E59" s="19">
        <v>84.875910000000005</v>
      </c>
      <c r="F59" s="20">
        <v>84.791210000000007</v>
      </c>
      <c r="G59" s="20">
        <v>83.730639999999994</v>
      </c>
      <c r="H59" s="21">
        <v>83.413970000000006</v>
      </c>
      <c r="I59" s="5">
        <f t="shared" si="88"/>
        <v>1.0061679000000083</v>
      </c>
      <c r="J59" s="5">
        <f t="shared" si="89"/>
        <v>0.28439940000001229</v>
      </c>
      <c r="K59" s="5">
        <f t="shared" si="90"/>
        <v>-7.2573800000014899E-2</v>
      </c>
      <c r="L59" s="22">
        <f t="shared" si="91"/>
        <v>3.0135200000003692E-2</v>
      </c>
      <c r="M59" s="5"/>
      <c r="N59" s="5"/>
      <c r="O59" s="19">
        <v>72.441559999999996</v>
      </c>
      <c r="P59" s="20">
        <v>72.658479999999997</v>
      </c>
      <c r="Q59" s="20">
        <v>72.576459999999997</v>
      </c>
      <c r="R59" s="21">
        <v>69.361379999999997</v>
      </c>
      <c r="S59" s="5">
        <f t="shared" si="92"/>
        <v>1.006916199999992</v>
      </c>
      <c r="T59" s="5">
        <f t="shared" si="93"/>
        <v>5.6800500000008469E-2</v>
      </c>
      <c r="U59" s="5">
        <f t="shared" si="94"/>
        <v>-1.8212500000004184E-2</v>
      </c>
      <c r="V59" s="22">
        <f t="shared" si="95"/>
        <v>2.673039999999105E-2</v>
      </c>
      <c r="W59" s="5"/>
      <c r="X59" s="5"/>
      <c r="Y59" s="19">
        <v>19.764109999999999</v>
      </c>
      <c r="Z59" s="20">
        <v>25.779153999999998</v>
      </c>
      <c r="AA59" s="20">
        <v>19.812722999999998</v>
      </c>
      <c r="AB59" s="21">
        <v>32.963303000000003</v>
      </c>
      <c r="AC59" s="5">
        <f t="shared" si="96"/>
        <v>0.4152302999999975</v>
      </c>
      <c r="AD59" s="5">
        <f t="shared" si="97"/>
        <v>1.1606109999999994</v>
      </c>
      <c r="AE59" s="5">
        <f t="shared" si="98"/>
        <v>-2.4914820000000013</v>
      </c>
      <c r="AF59" s="22">
        <f t="shared" si="99"/>
        <v>8.0282700000005036E-2</v>
      </c>
      <c r="AG59" s="5"/>
      <c r="AH59" s="5"/>
      <c r="AI59" s="19">
        <v>6.5796213000000003</v>
      </c>
      <c r="AJ59" s="20">
        <v>6.7727323000000004</v>
      </c>
      <c r="AK59" s="20">
        <v>6.7438145</v>
      </c>
      <c r="AL59" s="21">
        <v>6.0681285999999997</v>
      </c>
      <c r="AM59" s="5">
        <f t="shared" si="100"/>
        <v>-0.20158691999999867</v>
      </c>
      <c r="AN59" s="5">
        <f t="shared" si="101"/>
        <v>5.1805019999999757E-2</v>
      </c>
      <c r="AO59" s="5">
        <f t="shared" si="102"/>
        <v>-2.7192119999999598E-2</v>
      </c>
      <c r="AP59" s="22">
        <f t="shared" si="103"/>
        <v>0.11652911999999915</v>
      </c>
      <c r="AR59" s="5"/>
      <c r="AS59" s="19">
        <v>8.6506340000000002</v>
      </c>
      <c r="AT59" s="20">
        <v>7.9808469999999998</v>
      </c>
      <c r="AU59" s="20">
        <v>8.4710245000000004</v>
      </c>
      <c r="AV59" s="21">
        <v>10.759245999999999</v>
      </c>
      <c r="AW59" s="5">
        <f t="shared" si="104"/>
        <v>-1.0906908999999985</v>
      </c>
      <c r="AX59" s="5">
        <f t="shared" si="105"/>
        <v>-0.26522436999999943</v>
      </c>
      <c r="AY59" s="5">
        <f t="shared" si="106"/>
        <v>-0.30034004999999908</v>
      </c>
      <c r="AZ59" s="22">
        <f t="shared" si="107"/>
        <v>-8.4114000000017342E-3</v>
      </c>
      <c r="BB59" s="5"/>
      <c r="BC59" s="19">
        <v>2.0317402000000002</v>
      </c>
      <c r="BD59" s="20">
        <v>2.0413668</v>
      </c>
      <c r="BE59" s="20">
        <v>2.0314274000000001</v>
      </c>
      <c r="BF59" s="21">
        <v>4.2286960000000002</v>
      </c>
      <c r="BG59" s="5">
        <f t="shared" si="108"/>
        <v>3.3052530000000191E-2</v>
      </c>
      <c r="BH59" s="5">
        <f t="shared" si="109"/>
        <v>2.1603899999993459E-3</v>
      </c>
      <c r="BI59" s="5">
        <f t="shared" si="110"/>
        <v>2.1605400000002106E-3</v>
      </c>
      <c r="BJ59" s="22">
        <f t="shared" si="111"/>
        <v>-2.3145469999999335E-2</v>
      </c>
      <c r="BL59" s="5"/>
      <c r="BM59" s="19">
        <v>5.2585077</v>
      </c>
      <c r="BN59" s="20">
        <v>11.595656</v>
      </c>
      <c r="BO59" s="20">
        <v>11.683351</v>
      </c>
      <c r="BP59" s="21">
        <v>19.255776999999998</v>
      </c>
      <c r="BQ59" s="5">
        <f t="shared" si="112"/>
        <v>-1.8854288799999992</v>
      </c>
      <c r="BR59" s="5">
        <f t="shared" si="113"/>
        <v>-4.0183100000000138E-2</v>
      </c>
      <c r="BS59" s="5">
        <f t="shared" si="114"/>
        <v>-0.17612720000000159</v>
      </c>
      <c r="BT59" s="22">
        <f t="shared" si="115"/>
        <v>1.793220000000062E-2</v>
      </c>
      <c r="BV59" s="5"/>
      <c r="BW59" s="19">
        <v>1.5724058999999999</v>
      </c>
      <c r="BX59" s="20">
        <v>1.6461713</v>
      </c>
      <c r="BY59" s="20">
        <v>1.7087973000000001</v>
      </c>
      <c r="BZ59" s="21">
        <v>4.6789135999999996</v>
      </c>
      <c r="CA59" s="5">
        <f t="shared" si="116"/>
        <v>-0.20398831999999989</v>
      </c>
      <c r="CB59" s="5">
        <f t="shared" si="117"/>
        <v>-2.0988180000000023E-2</v>
      </c>
      <c r="CC59" s="5">
        <f t="shared" si="118"/>
        <v>2.729149999999958E-3</v>
      </c>
      <c r="CD59" s="22">
        <f t="shared" si="119"/>
        <v>8.2344339999999683E-2</v>
      </c>
    </row>
    <row r="60" spans="1:82" x14ac:dyDescent="0.25">
      <c r="A60" s="38"/>
      <c r="B60" s="5">
        <v>8</v>
      </c>
      <c r="C60" s="18">
        <v>40</v>
      </c>
      <c r="E60" s="19">
        <v>84.636985999999993</v>
      </c>
      <c r="F60" s="20">
        <v>84.284760000000006</v>
      </c>
      <c r="G60" s="20">
        <v>83.663610000000006</v>
      </c>
      <c r="H60" s="21">
        <v>83.556240000000003</v>
      </c>
      <c r="I60" s="5">
        <f t="shared" si="88"/>
        <v>0.76724389999999687</v>
      </c>
      <c r="J60" s="5">
        <f t="shared" si="89"/>
        <v>-0.22205059999998866</v>
      </c>
      <c r="K60" s="5">
        <f t="shared" si="90"/>
        <v>-0.13960380000000328</v>
      </c>
      <c r="L60" s="22">
        <f t="shared" si="91"/>
        <v>0.17240520000000004</v>
      </c>
      <c r="M60" s="5"/>
      <c r="N60" s="5"/>
      <c r="O60" s="19">
        <v>72.404669999999996</v>
      </c>
      <c r="P60" s="20">
        <v>72.636719999999997</v>
      </c>
      <c r="Q60" s="20">
        <v>72.54777</v>
      </c>
      <c r="R60" s="21">
        <v>69.346320000000006</v>
      </c>
      <c r="S60" s="5">
        <f t="shared" si="92"/>
        <v>0.9700261999999924</v>
      </c>
      <c r="T60" s="5">
        <f t="shared" si="93"/>
        <v>3.5040500000008024E-2</v>
      </c>
      <c r="U60" s="5">
        <f t="shared" si="94"/>
        <v>-4.6902500000001623E-2</v>
      </c>
      <c r="V60" s="22">
        <f t="shared" si="95"/>
        <v>1.1670399999999859E-2</v>
      </c>
      <c r="W60" s="5"/>
      <c r="X60" s="5"/>
      <c r="Y60" s="19">
        <v>19.957228000000001</v>
      </c>
      <c r="Z60" s="20">
        <v>25.964409</v>
      </c>
      <c r="AA60" s="20">
        <v>25.950005999999998</v>
      </c>
      <c r="AB60" s="21">
        <v>32.983074000000002</v>
      </c>
      <c r="AC60" s="5">
        <f t="shared" si="96"/>
        <v>0.6083482999999994</v>
      </c>
      <c r="AD60" s="5">
        <f t="shared" si="97"/>
        <v>1.3458660000000009</v>
      </c>
      <c r="AE60" s="5">
        <f t="shared" si="98"/>
        <v>3.6458009999999987</v>
      </c>
      <c r="AF60" s="22">
        <f t="shared" si="99"/>
        <v>0.10005370000000369</v>
      </c>
      <c r="AG60" s="5"/>
      <c r="AH60" s="5"/>
      <c r="AI60" s="19">
        <v>6.5796213000000003</v>
      </c>
      <c r="AJ60" s="20">
        <v>6.6712213</v>
      </c>
      <c r="AK60" s="20">
        <v>6.8058486</v>
      </c>
      <c r="AL60" s="21">
        <v>6.0681310000000002</v>
      </c>
      <c r="AM60" s="5">
        <f t="shared" si="100"/>
        <v>-0.20158691999999867</v>
      </c>
      <c r="AN60" s="5">
        <f t="shared" si="101"/>
        <v>-4.9705980000000594E-2</v>
      </c>
      <c r="AO60" s="5">
        <f t="shared" si="102"/>
        <v>3.4841980000000383E-2</v>
      </c>
      <c r="AP60" s="22">
        <f t="shared" si="103"/>
        <v>0.11653151999999967</v>
      </c>
      <c r="AR60" s="5"/>
      <c r="AS60" s="19">
        <v>8.810708</v>
      </c>
      <c r="AT60" s="20">
        <v>7.9099693000000002</v>
      </c>
      <c r="AU60" s="20">
        <v>8.961881</v>
      </c>
      <c r="AV60" s="21">
        <v>10.734885</v>
      </c>
      <c r="AW60" s="5">
        <f t="shared" si="104"/>
        <v>-0.93061689999999864</v>
      </c>
      <c r="AX60" s="5">
        <f t="shared" si="105"/>
        <v>-0.33610206999999903</v>
      </c>
      <c r="AY60" s="5">
        <f t="shared" si="106"/>
        <v>0.1905164500000005</v>
      </c>
      <c r="AZ60" s="22">
        <f t="shared" si="107"/>
        <v>-3.2772400000000701E-2</v>
      </c>
      <c r="BB60" s="5"/>
      <c r="BC60" s="19">
        <v>1.8101145999999999</v>
      </c>
      <c r="BD60" s="20">
        <v>2.0641319999999999</v>
      </c>
      <c r="BE60" s="20">
        <v>2.0164528000000002</v>
      </c>
      <c r="BF60" s="21">
        <v>4.2444972999999999</v>
      </c>
      <c r="BG60" s="5">
        <f t="shared" si="108"/>
        <v>-0.18857307000000012</v>
      </c>
      <c r="BH60" s="5">
        <f t="shared" si="109"/>
        <v>2.4925589999999165E-2</v>
      </c>
      <c r="BI60" s="5">
        <f t="shared" si="110"/>
        <v>-1.2814059999999738E-2</v>
      </c>
      <c r="BJ60" s="22">
        <f t="shared" si="111"/>
        <v>-7.3441699999996501E-3</v>
      </c>
      <c r="BL60" s="5"/>
      <c r="BM60" s="19">
        <v>5.2342123999999997</v>
      </c>
      <c r="BN60" s="20">
        <v>11.647548</v>
      </c>
      <c r="BO60" s="20">
        <v>11.590793</v>
      </c>
      <c r="BP60" s="21">
        <v>19.331327000000002</v>
      </c>
      <c r="BQ60" s="5">
        <f t="shared" si="112"/>
        <v>-1.9097241799999995</v>
      </c>
      <c r="BR60" s="5">
        <f t="shared" si="113"/>
        <v>1.1708900000000355E-2</v>
      </c>
      <c r="BS60" s="5">
        <f t="shared" si="114"/>
        <v>-0.26868520000000196</v>
      </c>
      <c r="BT60" s="22">
        <f t="shared" si="115"/>
        <v>9.3482200000003957E-2</v>
      </c>
      <c r="BV60" s="5"/>
      <c r="BW60" s="19">
        <v>1.5542578</v>
      </c>
      <c r="BX60" s="20">
        <v>1.6205392000000001</v>
      </c>
      <c r="BY60" s="20">
        <v>1.7022615999999999</v>
      </c>
      <c r="BZ60" s="21">
        <v>4.3957839999999999</v>
      </c>
      <c r="CA60" s="5">
        <f t="shared" si="116"/>
        <v>-0.22213641999999978</v>
      </c>
      <c r="CB60" s="5">
        <f t="shared" si="117"/>
        <v>-4.6620279999999958E-2</v>
      </c>
      <c r="CC60" s="5">
        <f t="shared" si="118"/>
        <v>-3.8065500000001862E-3</v>
      </c>
      <c r="CD60" s="22">
        <f t="shared" si="119"/>
        <v>-0.20078525999999997</v>
      </c>
    </row>
    <row r="61" spans="1:82" x14ac:dyDescent="0.25">
      <c r="A61" s="38"/>
      <c r="B61" s="5">
        <v>9</v>
      </c>
      <c r="C61" s="18">
        <v>45</v>
      </c>
      <c r="E61" s="19">
        <v>84.683300000000003</v>
      </c>
      <c r="F61" s="20">
        <v>84.2624</v>
      </c>
      <c r="G61" s="20">
        <v>83.662490000000005</v>
      </c>
      <c r="H61" s="21">
        <v>83.407349999999994</v>
      </c>
      <c r="I61" s="5">
        <f t="shared" si="88"/>
        <v>0.81355790000000638</v>
      </c>
      <c r="J61" s="5">
        <f t="shared" si="89"/>
        <v>-0.24441059999999482</v>
      </c>
      <c r="K61" s="5">
        <f t="shared" si="90"/>
        <v>-0.14072380000000351</v>
      </c>
      <c r="L61" s="22">
        <f t="shared" si="91"/>
        <v>2.351519999999141E-2</v>
      </c>
      <c r="M61" s="5"/>
      <c r="N61" s="5"/>
      <c r="O61" s="19">
        <v>72.469954999999999</v>
      </c>
      <c r="P61" s="20">
        <v>72.622794999999996</v>
      </c>
      <c r="Q61" s="20">
        <v>72.642750000000007</v>
      </c>
      <c r="R61" s="21">
        <v>69.295739999999995</v>
      </c>
      <c r="S61" s="5">
        <f t="shared" si="92"/>
        <v>1.0353111999999953</v>
      </c>
      <c r="T61" s="5">
        <f t="shared" si="93"/>
        <v>2.1115500000007614E-2</v>
      </c>
      <c r="U61" s="5">
        <f t="shared" si="94"/>
        <v>4.8077500000005102E-2</v>
      </c>
      <c r="V61" s="22">
        <f t="shared" si="95"/>
        <v>-3.8909600000010869E-2</v>
      </c>
      <c r="W61" s="5"/>
      <c r="X61" s="5"/>
      <c r="Y61" s="19">
        <v>19.964881999999999</v>
      </c>
      <c r="Z61" s="20">
        <v>25.969732</v>
      </c>
      <c r="AA61" s="20">
        <v>26.017669999999999</v>
      </c>
      <c r="AB61" s="21">
        <v>31.007769</v>
      </c>
      <c r="AC61" s="5">
        <f t="shared" si="96"/>
        <v>0.61600229999999812</v>
      </c>
      <c r="AD61" s="5">
        <f t="shared" si="97"/>
        <v>1.3511890000000015</v>
      </c>
      <c r="AE61" s="5">
        <f t="shared" si="98"/>
        <v>3.7134649999999993</v>
      </c>
      <c r="AF61" s="22">
        <f t="shared" si="99"/>
        <v>-1.8752512999999986</v>
      </c>
      <c r="AG61" s="5"/>
      <c r="AH61" s="5"/>
      <c r="AI61" s="19">
        <v>6.5812134999999996</v>
      </c>
      <c r="AJ61" s="20">
        <v>6.6756760000000002</v>
      </c>
      <c r="AK61" s="20">
        <v>6.7330116999999996</v>
      </c>
      <c r="AL61" s="21">
        <v>6.0777729999999996</v>
      </c>
      <c r="AM61" s="5">
        <f t="shared" si="100"/>
        <v>-0.1999947199999994</v>
      </c>
      <c r="AN61" s="5">
        <f t="shared" si="101"/>
        <v>-4.5251280000000449E-2</v>
      </c>
      <c r="AO61" s="5">
        <f t="shared" si="102"/>
        <v>-3.7994920000000043E-2</v>
      </c>
      <c r="AP61" s="22">
        <f t="shared" si="103"/>
        <v>0.12617351999999915</v>
      </c>
      <c r="AR61" s="5"/>
      <c r="AS61" s="19">
        <v>9.1555040000000005</v>
      </c>
      <c r="AT61" s="20">
        <v>7.9584637000000003</v>
      </c>
      <c r="AU61" s="20">
        <v>9.1056170000000005</v>
      </c>
      <c r="AV61" s="21">
        <v>10.680773</v>
      </c>
      <c r="AW61" s="5">
        <f t="shared" si="104"/>
        <v>-0.58582089999999809</v>
      </c>
      <c r="AX61" s="5">
        <f t="shared" si="105"/>
        <v>-0.28760766999999898</v>
      </c>
      <c r="AY61" s="5">
        <f t="shared" si="106"/>
        <v>0.33425245000000103</v>
      </c>
      <c r="AZ61" s="22">
        <f t="shared" si="107"/>
        <v>-8.6884400000000639E-2</v>
      </c>
      <c r="BB61" s="5"/>
      <c r="BC61" s="19">
        <v>2.0267195999999998</v>
      </c>
      <c r="BD61" s="20">
        <v>2.0475762</v>
      </c>
      <c r="BE61" s="20">
        <v>2.0164528000000002</v>
      </c>
      <c r="BF61" s="21">
        <v>4.2366010000000003</v>
      </c>
      <c r="BG61" s="5">
        <f t="shared" si="108"/>
        <v>2.8031929999999816E-2</v>
      </c>
      <c r="BH61" s="5">
        <f t="shared" si="109"/>
        <v>8.3697899999992664E-3</v>
      </c>
      <c r="BI61" s="5">
        <f t="shared" si="110"/>
        <v>-1.2814059999999738E-2</v>
      </c>
      <c r="BJ61" s="22">
        <f t="shared" si="111"/>
        <v>-1.5240469999999284E-2</v>
      </c>
      <c r="BL61" s="5"/>
      <c r="BM61" s="19">
        <v>9.4681090000000001</v>
      </c>
      <c r="BN61" s="20">
        <v>11.661447000000001</v>
      </c>
      <c r="BO61" s="20">
        <v>11.654411</v>
      </c>
      <c r="BP61" s="21">
        <v>19.254591000000001</v>
      </c>
      <c r="BQ61" s="5">
        <f t="shared" si="112"/>
        <v>2.3241724200000009</v>
      </c>
      <c r="BR61" s="5">
        <f t="shared" si="113"/>
        <v>2.5607900000000683E-2</v>
      </c>
      <c r="BS61" s="5">
        <f t="shared" si="114"/>
        <v>-0.205067200000002</v>
      </c>
      <c r="BT61" s="22">
        <f t="shared" si="115"/>
        <v>1.6746200000003597E-2</v>
      </c>
      <c r="BV61" s="5"/>
      <c r="BW61" s="19">
        <v>1.6146573</v>
      </c>
      <c r="BX61" s="20">
        <v>1.6216086999999999</v>
      </c>
      <c r="BY61" s="20">
        <v>1.7190785</v>
      </c>
      <c r="BZ61" s="21">
        <v>4.7346069999999996</v>
      </c>
      <c r="CA61" s="5">
        <f t="shared" si="116"/>
        <v>-0.16173691999999984</v>
      </c>
      <c r="CB61" s="5">
        <f t="shared" si="117"/>
        <v>-4.5550780000000124E-2</v>
      </c>
      <c r="CC61" s="5">
        <f t="shared" si="118"/>
        <v>1.3010349999999837E-2</v>
      </c>
      <c r="CD61" s="22">
        <f t="shared" si="119"/>
        <v>0.13803773999999969</v>
      </c>
    </row>
    <row r="62" spans="1:82" x14ac:dyDescent="0.25">
      <c r="A62" s="39"/>
      <c r="B62" s="23">
        <v>10</v>
      </c>
      <c r="C62" s="24">
        <v>50</v>
      </c>
      <c r="E62" s="25">
        <v>77.235770000000002</v>
      </c>
      <c r="F62" s="26">
        <v>84.221639999999994</v>
      </c>
      <c r="G62" s="26">
        <v>83.633644000000004</v>
      </c>
      <c r="H62" s="27">
        <v>83.105410000000006</v>
      </c>
      <c r="I62" s="23">
        <f t="shared" si="88"/>
        <v>-6.633972099999994</v>
      </c>
      <c r="J62" s="23">
        <f t="shared" si="89"/>
        <v>-0.28517060000000072</v>
      </c>
      <c r="K62" s="23">
        <f t="shared" si="90"/>
        <v>-0.16956980000000499</v>
      </c>
      <c r="L62" s="28">
        <f t="shared" si="91"/>
        <v>-0.27842479999999625</v>
      </c>
      <c r="M62" s="5"/>
      <c r="N62" s="5"/>
      <c r="O62" s="25">
        <v>62.470416999999998</v>
      </c>
      <c r="P62" s="26">
        <v>72.658559999999994</v>
      </c>
      <c r="Q62" s="26">
        <v>72.665419999999997</v>
      </c>
      <c r="R62" s="27">
        <v>69.480999999999995</v>
      </c>
      <c r="S62" s="23">
        <f t="shared" si="92"/>
        <v>-8.9642268000000058</v>
      </c>
      <c r="T62" s="23">
        <f t="shared" si="93"/>
        <v>5.6880500000005441E-2</v>
      </c>
      <c r="U62" s="23">
        <f t="shared" si="94"/>
        <v>7.0747499999995966E-2</v>
      </c>
      <c r="V62" s="28">
        <f t="shared" si="95"/>
        <v>0.14635039999998867</v>
      </c>
      <c r="W62" s="5"/>
      <c r="X62" s="5"/>
      <c r="Y62" s="25">
        <v>21.885884999999998</v>
      </c>
      <c r="Z62" s="26">
        <v>25.953142</v>
      </c>
      <c r="AA62" s="26">
        <v>26.018238</v>
      </c>
      <c r="AB62" s="27">
        <v>31.100169999999999</v>
      </c>
      <c r="AC62" s="23">
        <f t="shared" si="96"/>
        <v>2.537005299999997</v>
      </c>
      <c r="AD62" s="23">
        <f t="shared" si="97"/>
        <v>1.3345990000000008</v>
      </c>
      <c r="AE62" s="23">
        <f t="shared" si="98"/>
        <v>3.7140330000000006</v>
      </c>
      <c r="AF62" s="28">
        <f t="shared" si="99"/>
        <v>-1.7828502999999998</v>
      </c>
      <c r="AG62" s="5"/>
      <c r="AH62" s="5"/>
      <c r="AI62" s="25">
        <v>8.5092929999999996</v>
      </c>
      <c r="AJ62" s="26">
        <v>6.7278320000000003</v>
      </c>
      <c r="AK62" s="26">
        <v>6.7330116999999996</v>
      </c>
      <c r="AL62" s="27">
        <v>6.0466823999999999</v>
      </c>
      <c r="AM62" s="23">
        <f t="shared" si="100"/>
        <v>1.7280847800000005</v>
      </c>
      <c r="AN62" s="23">
        <f t="shared" si="101"/>
        <v>6.9047199999996423E-3</v>
      </c>
      <c r="AO62" s="23">
        <f t="shared" si="102"/>
        <v>-3.7994920000000043E-2</v>
      </c>
      <c r="AP62" s="28">
        <f t="shared" si="103"/>
        <v>9.5082919999999405E-2</v>
      </c>
      <c r="AR62" s="5"/>
      <c r="AS62" s="25">
        <v>17.723372000000001</v>
      </c>
      <c r="AT62" s="26">
        <v>7.9589676999999996</v>
      </c>
      <c r="AU62" s="26">
        <v>8.594004</v>
      </c>
      <c r="AV62" s="27">
        <v>10.663786</v>
      </c>
      <c r="AW62" s="23">
        <f t="shared" si="104"/>
        <v>7.9820471000000026</v>
      </c>
      <c r="AX62" s="23">
        <f t="shared" si="105"/>
        <v>-0.28710366999999959</v>
      </c>
      <c r="AY62" s="23">
        <f t="shared" si="106"/>
        <v>-0.17736054999999951</v>
      </c>
      <c r="AZ62" s="28">
        <f t="shared" si="107"/>
        <v>-0.10387140000000095</v>
      </c>
      <c r="BB62" s="5"/>
      <c r="BC62" s="25">
        <v>2.6428232</v>
      </c>
      <c r="BD62" s="26">
        <v>2.0475762</v>
      </c>
      <c r="BE62" s="26">
        <v>2.039218</v>
      </c>
      <c r="BF62" s="27">
        <v>4.3946104000000004</v>
      </c>
      <c r="BG62" s="23">
        <f t="shared" si="108"/>
        <v>0.64413553000000001</v>
      </c>
      <c r="BH62" s="23">
        <f t="shared" si="109"/>
        <v>8.3697899999992664E-3</v>
      </c>
      <c r="BI62" s="23">
        <f t="shared" si="110"/>
        <v>9.9511400000000805E-3</v>
      </c>
      <c r="BJ62" s="28">
        <f t="shared" si="111"/>
        <v>0.14276893000000079</v>
      </c>
      <c r="BL62" s="5"/>
      <c r="BM62" s="25">
        <v>15.075961</v>
      </c>
      <c r="BN62" s="26">
        <v>11.694974</v>
      </c>
      <c r="BO62" s="26">
        <v>11.753735000000001</v>
      </c>
      <c r="BP62" s="27">
        <v>19.259302000000002</v>
      </c>
      <c r="BQ62" s="23">
        <f t="shared" si="112"/>
        <v>7.9320244200000003</v>
      </c>
      <c r="BR62" s="23">
        <f t="shared" si="113"/>
        <v>5.9134900000000101E-2</v>
      </c>
      <c r="BS62" s="23">
        <f t="shared" si="114"/>
        <v>-0.10574320000000093</v>
      </c>
      <c r="BT62" s="28">
        <f t="shared" si="115"/>
        <v>2.1457200000003951E-2</v>
      </c>
      <c r="BV62" s="5"/>
      <c r="BW62" s="25">
        <v>3.4586410000000001</v>
      </c>
      <c r="BX62" s="26">
        <v>1.6450412000000001</v>
      </c>
      <c r="BY62" s="26">
        <v>1.7087973000000001</v>
      </c>
      <c r="BZ62" s="27">
        <v>4.6784635000000003</v>
      </c>
      <c r="CA62" s="23">
        <f t="shared" si="116"/>
        <v>1.6822467800000003</v>
      </c>
      <c r="CB62" s="23">
        <f t="shared" si="117"/>
        <v>-2.2118279999999935E-2</v>
      </c>
      <c r="CC62" s="23">
        <f t="shared" si="118"/>
        <v>2.729149999999958E-3</v>
      </c>
      <c r="CD62" s="28">
        <f t="shared" si="119"/>
        <v>8.1894240000000451E-2</v>
      </c>
    </row>
  </sheetData>
  <mergeCells count="32"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  <mergeCell ref="BW11:BZ11"/>
    <mergeCell ref="AM11:AP11"/>
    <mergeCell ref="A23:A32"/>
    <mergeCell ref="S11:V11"/>
    <mergeCell ref="Y11:AB11"/>
    <mergeCell ref="BM1:BT1"/>
    <mergeCell ref="AW11:AZ11"/>
    <mergeCell ref="C11:C12"/>
    <mergeCell ref="Y1:AF1"/>
    <mergeCell ref="I11:L11"/>
    <mergeCell ref="BC11:BF11"/>
    <mergeCell ref="BM11:BP11"/>
    <mergeCell ref="AI1:AP1"/>
    <mergeCell ref="AS1:AZ1"/>
    <mergeCell ref="AC11:AF11"/>
    <mergeCell ref="E1:L1"/>
    <mergeCell ref="O1:V1"/>
    <mergeCell ref="BQ11:BT11"/>
    <mergeCell ref="A53:A62"/>
    <mergeCell ref="A43:A52"/>
    <mergeCell ref="O11:R11"/>
    <mergeCell ref="B11:B12"/>
    <mergeCell ref="A13:A22"/>
  </mergeCells>
  <conditionalFormatting sqref="E8:H8 Y8:AB8 AI8:AL8 AS8:AV8 BC8:BF8 BM8:BP8 BW8:BZ8">
    <cfRule type="cellIs" dxfId="3" priority="2" operator="greaterThan">
      <formula>$C$9</formula>
    </cfRule>
  </conditionalFormatting>
  <conditionalFormatting sqref="O8:R8">
    <cfRule type="cellIs" dxfId="2" priority="1" operator="greaterThan">
      <formula>$C$9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62"/>
  <sheetViews>
    <sheetView workbookViewId="0">
      <selection activeCell="X32" sqref="X3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92" ht="21.75" customHeight="1" thickBot="1" x14ac:dyDescent="0.4">
      <c r="E1" s="44" t="s">
        <v>0</v>
      </c>
      <c r="F1" s="45"/>
      <c r="G1" s="45"/>
      <c r="H1" s="45"/>
      <c r="I1" s="45"/>
      <c r="J1" s="45"/>
      <c r="K1" s="45"/>
      <c r="L1" s="46"/>
      <c r="O1" s="44" t="s">
        <v>1</v>
      </c>
      <c r="P1" s="45"/>
      <c r="Q1" s="45"/>
      <c r="R1" s="45"/>
      <c r="S1" s="45"/>
      <c r="T1" s="45"/>
      <c r="U1" s="45"/>
      <c r="V1" s="46"/>
      <c r="Y1" s="44" t="s">
        <v>2</v>
      </c>
      <c r="Z1" s="45"/>
      <c r="AA1" s="45"/>
      <c r="AB1" s="45"/>
      <c r="AC1" s="45"/>
      <c r="AD1" s="45"/>
      <c r="AE1" s="45"/>
      <c r="AF1" s="46"/>
      <c r="AI1" s="44" t="s">
        <v>3</v>
      </c>
      <c r="AJ1" s="45"/>
      <c r="AK1" s="45"/>
      <c r="AL1" s="45"/>
      <c r="AM1" s="45"/>
      <c r="AN1" s="45"/>
      <c r="AO1" s="45"/>
      <c r="AP1" s="46"/>
      <c r="AS1" s="44" t="s">
        <v>4</v>
      </c>
      <c r="AT1" s="45"/>
      <c r="AU1" s="45"/>
      <c r="AV1" s="45"/>
      <c r="AW1" s="45"/>
      <c r="AX1" s="45"/>
      <c r="AY1" s="45"/>
      <c r="AZ1" s="46"/>
      <c r="BC1" s="44" t="s">
        <v>5</v>
      </c>
      <c r="BD1" s="45"/>
      <c r="BE1" s="45"/>
      <c r="BF1" s="45"/>
      <c r="BG1" s="45"/>
      <c r="BH1" s="45"/>
      <c r="BI1" s="45"/>
      <c r="BJ1" s="46"/>
      <c r="BM1" s="44" t="s">
        <v>6</v>
      </c>
      <c r="BN1" s="45"/>
      <c r="BO1" s="45"/>
      <c r="BP1" s="45"/>
      <c r="BQ1" s="45"/>
      <c r="BR1" s="45"/>
      <c r="BS1" s="45"/>
      <c r="BT1" s="46"/>
      <c r="BW1" s="44" t="s">
        <v>7</v>
      </c>
      <c r="BX1" s="45"/>
      <c r="BY1" s="45"/>
      <c r="BZ1" s="45"/>
      <c r="CA1" s="45"/>
      <c r="CB1" s="45"/>
      <c r="CC1" s="45"/>
      <c r="CD1" s="46"/>
    </row>
    <row r="2" spans="1:92" x14ac:dyDescent="0.25">
      <c r="D2" s="1" t="s">
        <v>8</v>
      </c>
      <c r="E2" s="2" t="s">
        <v>9</v>
      </c>
      <c r="F2" s="3">
        <v>249063</v>
      </c>
      <c r="G2" s="3">
        <v>249062</v>
      </c>
      <c r="H2" s="4">
        <v>249061</v>
      </c>
      <c r="N2" s="1" t="s">
        <v>8</v>
      </c>
      <c r="O2" s="2" t="s">
        <v>9</v>
      </c>
      <c r="P2" s="3">
        <v>249063</v>
      </c>
      <c r="Q2" s="3">
        <v>249062</v>
      </c>
      <c r="R2" s="4">
        <v>249061</v>
      </c>
      <c r="X2" s="1" t="s">
        <v>8</v>
      </c>
      <c r="Y2" s="2" t="s">
        <v>9</v>
      </c>
      <c r="Z2" s="3">
        <v>249063</v>
      </c>
      <c r="AA2" s="3">
        <v>249062</v>
      </c>
      <c r="AB2" s="4">
        <v>249061</v>
      </c>
      <c r="AH2" s="1" t="s">
        <v>8</v>
      </c>
      <c r="AI2" s="2" t="s">
        <v>9</v>
      </c>
      <c r="AJ2" s="3">
        <v>249063</v>
      </c>
      <c r="AK2" s="3">
        <v>249062</v>
      </c>
      <c r="AL2" s="4">
        <v>249061</v>
      </c>
      <c r="AR2" s="1" t="s">
        <v>8</v>
      </c>
      <c r="AS2" s="2" t="s">
        <v>9</v>
      </c>
      <c r="AT2" s="3">
        <v>249063</v>
      </c>
      <c r="AU2" s="3">
        <v>249062</v>
      </c>
      <c r="AV2" s="4">
        <v>249061</v>
      </c>
      <c r="BB2" s="1" t="s">
        <v>8</v>
      </c>
      <c r="BC2" s="2" t="s">
        <v>9</v>
      </c>
      <c r="BD2" s="3">
        <v>249063</v>
      </c>
      <c r="BE2" s="3">
        <v>249062</v>
      </c>
      <c r="BF2" s="4">
        <v>249061</v>
      </c>
      <c r="BL2" s="1" t="s">
        <v>8</v>
      </c>
      <c r="BM2" s="2" t="s">
        <v>9</v>
      </c>
      <c r="BN2" s="3">
        <v>249063</v>
      </c>
      <c r="BO2" s="3">
        <v>249062</v>
      </c>
      <c r="BP2" s="4">
        <v>249061</v>
      </c>
      <c r="BV2" s="1" t="s">
        <v>8</v>
      </c>
      <c r="BW2" s="2" t="s">
        <v>9</v>
      </c>
      <c r="BX2" s="3">
        <v>249063</v>
      </c>
      <c r="BY2" s="3">
        <v>249062</v>
      </c>
      <c r="BZ2" s="4">
        <v>249061</v>
      </c>
    </row>
    <row r="3" spans="1:92" x14ac:dyDescent="0.25">
      <c r="D3" s="5">
        <v>1</v>
      </c>
      <c r="E3" s="31">
        <f>IF((MAX(I13:I22)-MIN(I13:I22))/2=0,"",(MAX(I13:I22)-MIN(I13:I22))/2)</f>
        <v>0.27938999999999936</v>
      </c>
      <c r="F3" s="32">
        <f>IF((MAX(J13:J22)-MIN(J13:J22))/2=0,"",(MAX(J13:J22)-MIN(J13:J22))/2)</f>
        <v>43.453331683837895</v>
      </c>
      <c r="G3" s="32">
        <f>IF((MAX(K13:K22)-MIN(K13:K22))/2=0,"",(MAX(K13:K22)-MIN(K13:K22))/2)</f>
        <v>42.897812431298831</v>
      </c>
      <c r="H3" s="33">
        <f>IF((MAX(L13:L22)-MIN(L13:L22))/2=0,"",(MAX(L13:L22)-MIN(L13:L22))/2)</f>
        <v>3.9512138366699219</v>
      </c>
      <c r="N3" s="5">
        <v>1</v>
      </c>
      <c r="O3" s="31">
        <f>IF((MAX(S13:S22)-MIN(S13:S22))/2=0,"",(MAX(S13:S22)-MIN(S13:S22))/2)</f>
        <v>1.6787549999999953</v>
      </c>
      <c r="P3" s="32">
        <f>IF((MAX(T13:T22)-MIN(T13:T22))/2=0,"",(MAX(T13:T22)-MIN(T13:T22))/2)</f>
        <v>36.549283312939458</v>
      </c>
      <c r="Q3" s="32">
        <f>IF((MAX(U13:U22)-MIN(U13:U22))/2=0,"",(MAX(U13:U22)-MIN(U13:U22))/2)</f>
        <v>36.676825717578126</v>
      </c>
      <c r="R3" s="33">
        <f>IF((MAX(V13:V22)-MIN(V13:V22))/2=0,"",(MAX(V13:V22)-MIN(V13:V22))/2)</f>
        <v>3.1865501403808594</v>
      </c>
      <c r="X3" s="5">
        <v>1</v>
      </c>
      <c r="Y3" s="31">
        <f>IF((MAX(AC13:AC22)-MIN(AC13:AC22))/2=0,"",(MAX(AC13:AC22)-MIN(AC13:AC22))/2)</f>
        <v>2.2671762499999994</v>
      </c>
      <c r="Z3" s="32">
        <f>IF((MAX(AD13:AD22)-MIN(AD13:AD22))/2=0,"",(MAX(AD13:AD22)-MIN(AD13:AD22))/2)</f>
        <v>6.8855219838561998</v>
      </c>
      <c r="AA3" s="32">
        <f>IF((MAX(AE13:AE22)-MIN(AE13:AE22))/2=0,"",(MAX(AE13:AE22)-MIN(AE13:AE22))/2)</f>
        <v>6.2443971549316393</v>
      </c>
      <c r="AB3" s="33">
        <f>IF((MAX(AF13:AF22)-MIN(AF13:AF22))/2=0,"",(MAX(AF13:AF22)-MIN(AF13:AF22))/2)</f>
        <v>2.2636818885803232</v>
      </c>
      <c r="AH3" s="5">
        <v>1</v>
      </c>
      <c r="AI3" s="31">
        <f>IF((MAX(AM13:AM22)-MIN(AM13:AM22))/2=0,"",(MAX(AM13:AM22)-MIN(AM13:AM22))/2)</f>
        <v>0.62262415000000004</v>
      </c>
      <c r="AJ3" s="32">
        <f>IF((MAX(AN13:AN22)-MIN(AN13:AN22))/2=0,"",(MAX(AN13:AN22)-MIN(AN13:AN22))/2)</f>
        <v>3.3288364948858642</v>
      </c>
      <c r="AK3" s="32">
        <f>IF((MAX(AO13:AO22)-MIN(AO13:AO22))/2=0,"",(MAX(AO13:AO22)-MIN(AO13:AO22))/2)</f>
        <v>3.8827669090118411</v>
      </c>
      <c r="AL3" s="33">
        <f>IF((MAX(AP13:AP22)-MIN(AP13:AP22))/2=0,"",(MAX(AP13:AP22)-MIN(AP13:AP22))/2)</f>
        <v>0.42068791389465332</v>
      </c>
      <c r="AR3" s="5">
        <v>1</v>
      </c>
      <c r="AS3" s="31">
        <f>IF((MAX(AW13:AW22)-MIN(AW13:AW22))/2=0,"",(MAX(AW13:AW22)-MIN(AW13:AW22))/2)</f>
        <v>1.0218480000000003</v>
      </c>
      <c r="AT3" s="32">
        <f>IF((MAX(AX13:AX22)-MIN(AX13:AX22))/2=0,"",(MAX(AX13:AX22)-MIN(AX13:AX22))/2)</f>
        <v>6.6207079987121595</v>
      </c>
      <c r="AU3" s="32">
        <f>IF((MAX(AY13:AY22)-MIN(AY13:AY22))/2=0,"",(MAX(AY13:AY22)-MIN(AY13:AY22))/2)</f>
        <v>6.5092374076965349</v>
      </c>
      <c r="AV3" s="33">
        <f>IF((MAX(AZ13:AZ22)-MIN(AZ13:AZ22))/2=0,"",(MAX(AZ13:AZ22)-MIN(AZ13:AZ22))/2)</f>
        <v>1.2083892822265634</v>
      </c>
      <c r="BB3" s="5">
        <v>1</v>
      </c>
      <c r="BC3" s="31">
        <f>IF((MAX(BG13:BG22)-MIN(BG13:BG22))/2=0,"",(MAX(BG13:BG22)-MIN(BG13:BG22))/2)</f>
        <v>1.1269352500000001</v>
      </c>
      <c r="BD3" s="32">
        <f>IF((MAX(BH13:BH22)-MIN(BH13:BH22))/2=0,"",(MAX(BH13:BH22)-MIN(BH13:BH22))/2)</f>
        <v>1.2259136660516354</v>
      </c>
      <c r="BE3" s="32">
        <f>IF((MAX(BI13:BI22)-MIN(BI13:BI22))/2=0,"",(MAX(BI13:BI22)-MIN(BI13:BI22))/2)</f>
        <v>1.2799353482214353</v>
      </c>
      <c r="BF3" s="33">
        <f>IF((MAX(BJ13:BJ22)-MIN(BJ13:BJ22))/2=0,"",(MAX(BJ13:BJ22)-MIN(BJ13:BJ22))/2)</f>
        <v>0.35074013471603349</v>
      </c>
      <c r="BL3" s="5">
        <v>1</v>
      </c>
      <c r="BM3" s="31">
        <f>IF((MAX(BQ13:BQ22)-MIN(BQ13:BQ22))/2=0,"",(MAX(BQ13:BQ22)-MIN(BQ13:BQ22))/2)</f>
        <v>1.4546832499999998</v>
      </c>
      <c r="BN3" s="32">
        <f>IF((MAX(BR13:BR22)-MIN(BR13:BR22))/2=0,"",(MAX(BR13:BR22)-MIN(BR13:BR22))/2)</f>
        <v>2.0112437999999999</v>
      </c>
      <c r="BO3" s="32">
        <f>IF((MAX(BS13:BS22)-MIN(BS13:BS22))/2=0,"",(MAX(BS13:BS22)-MIN(BS13:BS22))/2)</f>
        <v>3.3576061792907717</v>
      </c>
      <c r="BP3" s="33">
        <f>IF((MAX(BT13:BT22)-MIN(BT13:BT22))/2=0,"",(MAX(BT13:BT22)-MIN(BT13:BT22))/2)</f>
        <v>2.1971197128295898</v>
      </c>
      <c r="BV3" s="5">
        <v>1</v>
      </c>
      <c r="BW3" s="31">
        <f>IF((MAX(CA13:CA22)-MIN(CA13:CA22))/2=0,"",(MAX(CA13:CA22)-MIN(CA13:CA22))/2)</f>
        <v>0.83986755000000013</v>
      </c>
      <c r="BX3" s="32">
        <f>IF((MAX(CB13:CB22)-MIN(CB13:CB22))/2=0,"",(MAX(CB13:CB22)-MIN(CB13:CB22))/2)</f>
        <v>1.007532601419983</v>
      </c>
      <c r="BY3" s="32">
        <f>IF((MAX(CC13:CC22)-MIN(CC13:CC22))/2=0,"",(MAX(CC13:CC22)-MIN(CC13:CC22))/2)</f>
        <v>0.93294196756164549</v>
      </c>
      <c r="BZ3" s="33">
        <f>IF((MAX(CD13:CD22)-MIN(CD13:CD22))/2=0,"",(MAX(CD13:CD22)-MIN(CD13:CD22))/2)</f>
        <v>0.3093743324279784</v>
      </c>
    </row>
    <row r="4" spans="1:92" x14ac:dyDescent="0.25">
      <c r="D4" s="5">
        <v>2</v>
      </c>
      <c r="E4" s="31">
        <f>IF((MAX(I23:I32)-MIN(I23:I32))/2=0,"",(MAX(I23:I32)-MIN(I23:I32))/2)</f>
        <v>0.50388500000000391</v>
      </c>
      <c r="F4" s="32">
        <f>IF((MAX(J23:J32)-MIN(J23:J32))/2=0,"",(MAX(J23:J32)-MIN(J23:J32))/2)</f>
        <v>2.1039680000000018</v>
      </c>
      <c r="G4" s="32">
        <f>IF((MAX(K23:K32)-MIN(K23:K32))/2=0,"",(MAX(K23:K32)-MIN(K23:K32))/2)</f>
        <v>0.48347000000000406</v>
      </c>
      <c r="H4" s="33">
        <f>IF((MAX(L23:L32)-MIN(L23:L32))/2=0,"",(MAX(L23:L32)-MIN(L23:L32))/2)</f>
        <v>0.76061248779296875</v>
      </c>
      <c r="N4" s="5">
        <v>2</v>
      </c>
      <c r="O4" s="31">
        <f>IF((MAX(S23:S32)-MIN(S23:S32))/2=0,"",(MAX(S23:S32)-MIN(S23:S32))/2)</f>
        <v>2.0103000000000009</v>
      </c>
      <c r="P4" s="32">
        <f>IF((MAX(T23:T32)-MIN(T23:T32))/2=0,"",(MAX(T23:T32)-MIN(T23:T32))/2)</f>
        <v>2.5188279999999992</v>
      </c>
      <c r="Q4" s="32">
        <f>IF((MAX(U23:U32)-MIN(U23:U32))/2=0,"",(MAX(U23:U32)-MIN(U23:U32))/2)</f>
        <v>2.0765499999999975</v>
      </c>
      <c r="R4" s="33">
        <f>IF((MAX(V23:V32)-MIN(V23:V32))/2=0,"",(MAX(V23:V32)-MIN(V23:V32))/2)</f>
        <v>0.27935028076171875</v>
      </c>
      <c r="X4" s="5">
        <v>2</v>
      </c>
      <c r="Y4" s="31">
        <f>IF((MAX(AC23:AC32)-MIN(AC23:AC32))/2=0,"",(MAX(AC23:AC32)-MIN(AC23:AC32))/2)</f>
        <v>7.2209820000000002</v>
      </c>
      <c r="Z4" s="32">
        <f>IF((MAX(AD23:AD32)-MIN(AD23:AD32))/2=0,"",(MAX(AD23:AD32)-MIN(AD23:AD32))/2)</f>
        <v>5.7156400000000005</v>
      </c>
      <c r="AA4" s="32">
        <f>IF((MAX(AE23:AE32)-MIN(AE23:AE32))/2=0,"",(MAX(AE23:AE32)-MIN(AE23:AE32))/2)</f>
        <v>2.1451399999999996</v>
      </c>
      <c r="AB4" s="33">
        <f>IF((MAX(AF23:AF32)-MIN(AF23:AF32))/2=0,"",(MAX(AF23:AF32)-MIN(AF23:AF32))/2)</f>
        <v>6.064950942993165</v>
      </c>
      <c r="AH4" s="5">
        <v>2</v>
      </c>
      <c r="AI4" s="31">
        <f>IF((MAX(AM23:AM32)-MIN(AM23:AM32))/2=0,"",(MAX(AM23:AM32)-MIN(AM23:AM32))/2)</f>
        <v>0.47826099999999983</v>
      </c>
      <c r="AJ4" s="32">
        <f>IF((MAX(AN23:AN32)-MIN(AN23:AN32))/2=0,"",(MAX(AN23:AN32)-MIN(AN23:AN32))/2)</f>
        <v>0.33530149999999992</v>
      </c>
      <c r="AK4" s="32">
        <f>IF((MAX(AO23:AO32)-MIN(AO23:AO32))/2=0,"",(MAX(AO23:AO32)-MIN(AO23:AO32))/2)</f>
        <v>1.06415565</v>
      </c>
      <c r="AL4" s="33">
        <f>IF((MAX(AP23:AP32)-MIN(AP23:AP32))/2=0,"",(MAX(AP23:AP32)-MIN(AP23:AP32))/2)</f>
        <v>0.4762725830078125</v>
      </c>
      <c r="AR4" s="5">
        <v>2</v>
      </c>
      <c r="AS4" s="31">
        <f>IF((MAX(AW23:AW32)-MIN(AW23:AW32))/2=0,"",(MAX(AW23:AW32)-MIN(AW23:AW32))/2)</f>
        <v>0.13487000000000027</v>
      </c>
      <c r="AT4" s="32">
        <f>IF((MAX(AX23:AX32)-MIN(AX23:AX32))/2=0,"",(MAX(AX23:AX32)-MIN(AX23:AX32))/2)</f>
        <v>0.74140300000000003</v>
      </c>
      <c r="AU4" s="32">
        <f>IF((MAX(AY23:AY32)-MIN(AY23:AY32))/2=0,"",(MAX(AY23:AY32)-MIN(AY23:AY32))/2)</f>
        <v>0.66057900000000025</v>
      </c>
      <c r="AV4" s="33">
        <f>IF((MAX(AZ23:AZ32)-MIN(AZ23:AZ32))/2=0,"",(MAX(AZ23:AZ32)-MIN(AZ23:AZ32))/2)</f>
        <v>0.72104740142822354</v>
      </c>
      <c r="BB4" s="5">
        <v>2</v>
      </c>
      <c r="BC4" s="31">
        <f>IF((MAX(BG23:BG32)-MIN(BG23:BG32))/2=0,"",(MAX(BG23:BG32)-MIN(BG23:BG32))/2)</f>
        <v>0.31386850000000011</v>
      </c>
      <c r="BD4" s="32">
        <f>IF((MAX(BH23:BH32)-MIN(BH23:BH32))/2=0,"",(MAX(BH23:BH32)-MIN(BH23:BH32))/2)</f>
        <v>0.1031069</v>
      </c>
      <c r="BE4" s="32">
        <f>IF((MAX(BI23:BI32)-MIN(BI23:BI32))/2=0,"",(MAX(BI23:BI32)-MIN(BI23:BI32))/2)</f>
        <v>8.5370649999999992E-2</v>
      </c>
      <c r="BF4" s="33">
        <f>IF((MAX(BJ23:BJ32)-MIN(BJ23:BJ32))/2=0,"",(MAX(BJ23:BJ32)-MIN(BJ23:BJ32))/2)</f>
        <v>0.23437422513961803</v>
      </c>
      <c r="BL4" s="5">
        <v>2</v>
      </c>
      <c r="BM4" s="31">
        <f>IF((MAX(BQ23:BQ32)-MIN(BQ23:BQ32))/2=0,"",(MAX(BQ23:BQ32)-MIN(BQ23:BQ32))/2)</f>
        <v>4.5955113500000007</v>
      </c>
      <c r="BN4" s="32">
        <f>IF((MAX(BR23:BR32)-MIN(BR23:BR32))/2=0,"",(MAX(BR23:BR32)-MIN(BR23:BR32))/2)</f>
        <v>4.9265845000000006</v>
      </c>
      <c r="BO4" s="32">
        <f>IF((MAX(BS23:BS32)-MIN(BS23:BS32))/2=0,"",(MAX(BS23:BS32)-MIN(BS23:BS32))/2)</f>
        <v>1.6341960000000002</v>
      </c>
      <c r="BP4" s="33">
        <f>IF((MAX(BT23:BT32)-MIN(BT23:BT32))/2=0,"",(MAX(BT23:BT32)-MIN(BT23:BT32))/2)</f>
        <v>4.4014886617660514</v>
      </c>
      <c r="BV4" s="5">
        <v>2</v>
      </c>
      <c r="BW4" s="31">
        <f>IF((MAX(CA23:CA32)-MIN(CA23:CA32))/2=0,"",(MAX(CA23:CA32)-MIN(CA23:CA32))/2)</f>
        <v>0.72214804999999993</v>
      </c>
      <c r="BX4" s="32">
        <f>IF((MAX(CB23:CB32)-MIN(CB23:CB32))/2=0,"",(MAX(CB23:CB32)-MIN(CB23:CB32))/2)</f>
        <v>0.81972255000000005</v>
      </c>
      <c r="BY4" s="32">
        <f>IF((MAX(CC23:CC32)-MIN(CC23:CC32))/2=0,"",(MAX(CC23:CC32)-MIN(CC23:CC32))/2)</f>
        <v>0.28329705000000005</v>
      </c>
      <c r="BZ4" s="33">
        <f>IF((MAX(CD23:CD32)-MIN(CD23:CD32))/2=0,"",(MAX(CD23:CD32)-MIN(CD23:CD32))/2)</f>
        <v>0.25404536724090554</v>
      </c>
    </row>
    <row r="5" spans="1:92" x14ac:dyDescent="0.25">
      <c r="D5" s="5">
        <v>3</v>
      </c>
      <c r="E5" s="31">
        <f>IF((MAX(I33:I42)-MIN(I33:I42))/2=0,"",(MAX(I33:I42)-MIN(I33:I42))/2)</f>
        <v>0.607715000000006</v>
      </c>
      <c r="F5" s="32">
        <f>IF((MAX(J33:J42)-MIN(J33:J42))/2=0,"",(MAX(J33:J42)-MIN(J33:J42))/2)</f>
        <v>0.21153500000000491</v>
      </c>
      <c r="G5" s="32">
        <f>IF((MAX(K33:K42)-MIN(K33:K42))/2=0,"",(MAX(K33:K42)-MIN(K33:K42))/2)</f>
        <v>0.52065999999999946</v>
      </c>
      <c r="H5" s="33">
        <f>IF((MAX(L33:L42)-MIN(L33:L42))/2=0,"",(MAX(L33:L42)-MIN(L33:L42))/2)</f>
        <v>1.0183525085449219</v>
      </c>
      <c r="N5" s="5">
        <v>3</v>
      </c>
      <c r="O5" s="31">
        <f>IF((MAX(S33:S42)-MIN(S33:S42))/2=0,"",(MAX(S33:S42)-MIN(S33:S42))/2)</f>
        <v>0.30480000000000018</v>
      </c>
      <c r="P5" s="32">
        <f>IF((MAX(T33:T42)-MIN(T33:T42))/2=0,"",(MAX(T33:T42)-MIN(T33:T42))/2)</f>
        <v>0.34764249999999919</v>
      </c>
      <c r="Q5" s="32">
        <f>IF((MAX(U33:U42)-MIN(U33:U42))/2=0,"",(MAX(U33:U42)-MIN(U33:U42))/2)</f>
        <v>0.23298700000000139</v>
      </c>
      <c r="R5" s="33">
        <f>IF((MAX(V33:V42)-MIN(V33:V42))/2=0,"",(MAX(V33:V42)-MIN(V33:V42))/2)</f>
        <v>0.93891525268554688</v>
      </c>
      <c r="X5" s="5">
        <v>3</v>
      </c>
      <c r="Y5" s="31">
        <f>IF((MAX(AC33:AC42)-MIN(AC33:AC42))/2=0,"",(MAX(AC33:AC42)-MIN(AC33:AC42))/2)</f>
        <v>8.7519530000000003</v>
      </c>
      <c r="Z5" s="32">
        <f>IF((MAX(AD33:AD42)-MIN(AD33:AD42))/2=0,"",(MAX(AD33:AD42)-MIN(AD33:AD42))/2)</f>
        <v>3.6914119999999997</v>
      </c>
      <c r="AA5" s="32">
        <f>IF((MAX(AE33:AE42)-MIN(AE33:AE42))/2=0,"",(MAX(AE33:AE42)-MIN(AE33:AE42))/2)</f>
        <v>0.86942149999999963</v>
      </c>
      <c r="AB5" s="33">
        <f>IF((MAX(AF33:AF42)-MIN(AF33:AF42))/2=0,"",(MAX(AF33:AF42)-MIN(AF33:AF42))/2)</f>
        <v>5.3795766830444336</v>
      </c>
      <c r="AH5" s="5">
        <v>3</v>
      </c>
      <c r="AI5" s="31">
        <f>IF((MAX(AM33:AM42)-MIN(AM33:AM42))/2=0,"",(MAX(AM33:AM42)-MIN(AM33:AM42))/2)</f>
        <v>0.44206700000000021</v>
      </c>
      <c r="AJ5" s="32">
        <f>IF((MAX(AN33:AN42)-MIN(AN33:AN42))/2=0,"",(MAX(AN33:AN42)-MIN(AN33:AN42))/2)</f>
        <v>7.9084999999999628E-2</v>
      </c>
      <c r="AK5" s="32">
        <f>IF((MAX(AO33:AO42)-MIN(AO33:AO42))/2=0,"",(MAX(AO33:AO42)-MIN(AO33:AO42))/2)</f>
        <v>0.31903750000000031</v>
      </c>
      <c r="AL5" s="33">
        <f>IF((MAX(AP33:AP42)-MIN(AP33:AP42))/2=0,"",(MAX(AP33:AP42)-MIN(AP33:AP42))/2)</f>
        <v>1.0883567333221436</v>
      </c>
      <c r="AR5" s="5">
        <v>3</v>
      </c>
      <c r="AS5" s="31">
        <f>IF((MAX(AW33:AW42)-MIN(AW33:AW42))/2=0,"",(MAX(AW33:AW42)-MIN(AW33:AW42))/2)</f>
        <v>1.3208855000000002</v>
      </c>
      <c r="AT5" s="32">
        <f>IF((MAX(AX33:AX42)-MIN(AX33:AX42))/2=0,"",(MAX(AX33:AX42)-MIN(AX33:AX42))/2)</f>
        <v>0.3044570000000002</v>
      </c>
      <c r="AU5" s="32">
        <f>IF((MAX(AY33:AY42)-MIN(AY33:AY42))/2=0,"",(MAX(AY33:AY42)-MIN(AY33:AY42))/2)</f>
        <v>0.73099550000000058</v>
      </c>
      <c r="AV5" s="33">
        <f>IF((MAX(AZ33:AZ42)-MIN(AZ33:AZ42))/2=0,"",(MAX(AZ33:AZ42)-MIN(AZ33:AZ42))/2)</f>
        <v>0.77126216888427734</v>
      </c>
      <c r="BB5" s="5">
        <v>3</v>
      </c>
      <c r="BC5" s="31">
        <f>IF((MAX(BG33:BG42)-MIN(BG33:BG42))/2=0,"",(MAX(BG33:BG42)-MIN(BG33:BG42))/2)</f>
        <v>0.20305564999999992</v>
      </c>
      <c r="BD5" s="32">
        <f>IF((MAX(BH33:BH42)-MIN(BH33:BH42))/2=0,"",(MAX(BH33:BH42)-MIN(BH33:BH42))/2)</f>
        <v>0.14166555000000003</v>
      </c>
      <c r="BE5" s="32">
        <f>IF((MAX(BI33:BI42)-MIN(BI33:BI42))/2=0,"",(MAX(BI33:BI42)-MIN(BI33:BI42))/2)</f>
        <v>5.8257849999999944E-2</v>
      </c>
      <c r="BF5" s="33">
        <f>IF((MAX(BJ33:BJ42)-MIN(BJ33:BJ42))/2=0,"",(MAX(BJ33:BJ42)-MIN(BJ33:BJ42))/2)</f>
        <v>0.83471357822418257</v>
      </c>
      <c r="BL5" s="5">
        <v>3</v>
      </c>
      <c r="BM5" s="31">
        <f>IF((MAX(BQ33:BQ42)-MIN(BQ33:BQ42))/2=0,"",(MAX(BQ33:BQ42)-MIN(BQ33:BQ42))/2)</f>
        <v>5.5843968000000004</v>
      </c>
      <c r="BN5" s="32">
        <f>IF((MAX(BR33:BR42)-MIN(BR33:BR42))/2=0,"",(MAX(BR33:BR42)-MIN(BR33:BR42))/2)</f>
        <v>3.4761481500000002</v>
      </c>
      <c r="BO5" s="32">
        <f>IF((MAX(BS33:BS42)-MIN(BS33:BS42))/2=0,"",(MAX(BS33:BS42)-MIN(BS33:BS42))/2)</f>
        <v>0.83817135000000031</v>
      </c>
      <c r="BP5" s="33">
        <f>IF((MAX(BT33:BT42)-MIN(BT33:BT42))/2=0,"",(MAX(BT33:BT42)-MIN(BT33:BT42))/2)</f>
        <v>5.0128594636917132</v>
      </c>
      <c r="BV5" s="5">
        <v>3</v>
      </c>
      <c r="BW5" s="31">
        <f>IF((MAX(CA33:CA42)-MIN(CA33:CA42))/2=0,"",(MAX(CA33:CA42)-MIN(CA33:CA42))/2)</f>
        <v>0.31694420000000001</v>
      </c>
      <c r="BX5" s="32">
        <f>IF((MAX(CB33:CB42)-MIN(CB33:CB42))/2=0,"",(MAX(CB33:CB42)-MIN(CB33:CB42))/2)</f>
        <v>0.35610074999999997</v>
      </c>
      <c r="BY5" s="32">
        <f>IF((MAX(CC33:CC42)-MIN(CC33:CC42))/2=0,"",(MAX(CC33:CC42)-MIN(CC33:CC42))/2)</f>
        <v>9.7276799999999941E-2</v>
      </c>
      <c r="BZ5" s="33">
        <f>IF((MAX(CD33:CD42)-MIN(CD33:CD42))/2=0,"",(MAX(CD33:CD42)-MIN(CD33:CD42))/2)</f>
        <v>0.28535366058349598</v>
      </c>
    </row>
    <row r="6" spans="1:92" x14ac:dyDescent="0.25">
      <c r="D6" s="5">
        <v>4</v>
      </c>
      <c r="E6" s="31">
        <f>IF((MAX(I43:I52)-MIN(I43:I52))/2=0,"",(MAX(I43:I52)-MIN(I43:I52))/2)</f>
        <v>0.66647499999999837</v>
      </c>
      <c r="F6" s="32">
        <f>IF((MAX(J43:J52)-MIN(J43:J52))/2=0,"",(MAX(J43:J52)-MIN(J43:J52))/2)</f>
        <v>1.4162000000000035</v>
      </c>
      <c r="G6" s="32">
        <f>IF((MAX(K43:K52)-MIN(K43:K52))/2=0,"",(MAX(K43:K52)-MIN(K43:K52))/2)</f>
        <v>0.65369499999999903</v>
      </c>
      <c r="H6" s="33">
        <f>IF((MAX(L43:L52)-MIN(L43:L52))/2=0,"",(MAX(L43:L52)-MIN(L43:L52))/2)</f>
        <v>41.408016888134767</v>
      </c>
      <c r="N6" s="5">
        <v>4</v>
      </c>
      <c r="O6" s="31">
        <f>IF((MAX(S43:S52)-MIN(S43:S52))/2=0,"",(MAX(S43:S52)-MIN(S43:S52))/2)</f>
        <v>0.55046000000000106</v>
      </c>
      <c r="P6" s="32">
        <f>IF((MAX(T43:T52)-MIN(T43:T52))/2=0,"",(MAX(T43:T52)-MIN(T43:T52))/2)</f>
        <v>0.26171499999999526</v>
      </c>
      <c r="Q6" s="32">
        <f>IF((MAX(U43:U52)-MIN(U43:U52))/2=0,"",(MAX(U43:U52)-MIN(U43:U52))/2)</f>
        <v>0.43493500000000296</v>
      </c>
      <c r="R6" s="33">
        <f>IF((MAX(V43:V52)-MIN(V43:V52))/2=0,"",(MAX(V43:V52)-MIN(V43:V52))/2)</f>
        <v>36.686082310595708</v>
      </c>
      <c r="X6" s="5">
        <v>4</v>
      </c>
      <c r="Y6" s="31">
        <f>IF((MAX(AC43:AC52)-MIN(AC43:AC52))/2=0,"",(MAX(AC43:AC52)-MIN(AC43:AC52))/2)</f>
        <v>7.5549945000000003</v>
      </c>
      <c r="Z6" s="32">
        <f>IF((MAX(AD43:AD52)-MIN(AD43:AD52))/2=0,"",(MAX(AD43:AD52)-MIN(AD43:AD52))/2)</f>
        <v>3.0679339999999993</v>
      </c>
      <c r="AA6" s="32">
        <f>IF((MAX(AE43:AE52)-MIN(AE43:AE52))/2=0,"",(MAX(AE43:AE52)-MIN(AE43:AE52))/2)</f>
        <v>5.8475905000000008</v>
      </c>
      <c r="AB6" s="33">
        <f>IF((MAX(AF43:AF52)-MIN(AF43:AF52))/2=0,"",(MAX(AF43:AF52)-MIN(AF43:AF52))/2)</f>
        <v>7.7189521132507286</v>
      </c>
      <c r="AH6" s="5">
        <v>4</v>
      </c>
      <c r="AI6" s="31">
        <f>IF((MAX(AM43:AM52)-MIN(AM43:AM52))/2=0,"",(MAX(AM43:AM52)-MIN(AM43:AM52))/2)</f>
        <v>0.18082425000000013</v>
      </c>
      <c r="AJ6" s="32">
        <f>IF((MAX(AN43:AN52)-MIN(AN43:AN52))/2=0,"",(MAX(AN43:AN52)-MIN(AN43:AN52))/2)</f>
        <v>0.13340499999999977</v>
      </c>
      <c r="AK6" s="32">
        <f>IF((MAX(AO43:AO52)-MIN(AO43:AO52))/2=0,"",(MAX(AO43:AO52)-MIN(AO43:AO52))/2)</f>
        <v>0.29036325000000041</v>
      </c>
      <c r="AL6" s="33">
        <f>IF((MAX(AP43:AP52)-MIN(AP43:AP52))/2=0,"",(MAX(AP43:AP52)-MIN(AP43:AP52))/2)</f>
        <v>3.112743505291748</v>
      </c>
      <c r="AR6" s="5">
        <v>4</v>
      </c>
      <c r="AS6" s="31">
        <f>IF((MAX(AW43:AW52)-MIN(AW43:AW52))/2=0,"",(MAX(AW43:AW52)-MIN(AW43:AW52))/2)</f>
        <v>0.89627400000000002</v>
      </c>
      <c r="AT6" s="32">
        <f>IF((MAX(AX43:AX52)-MIN(AX43:AX52))/2=0,"",(MAX(AX43:AX52)-MIN(AX43:AX52))/2)</f>
        <v>0.55626499999999979</v>
      </c>
      <c r="AU6" s="32">
        <f>IF((MAX(AY43:AY52)-MIN(AY43:AY52))/2=0,"",(MAX(AY43:AY52)-MIN(AY43:AY52))/2)</f>
        <v>0.59687399999999968</v>
      </c>
      <c r="AV6" s="33">
        <f>IF((MAX(AZ43:AZ52)-MIN(AZ43:AZ52))/2=0,"",(MAX(AZ43:AZ52)-MIN(AZ43:AZ52))/2)</f>
        <v>6.7900075139038103</v>
      </c>
      <c r="BB6" s="5">
        <v>4</v>
      </c>
      <c r="BC6" s="31">
        <f>IF((MAX(BG43:BG52)-MIN(BG43:BG52))/2=0,"",(MAX(BG43:BG52)-MIN(BG43:BG52))/2)</f>
        <v>0.20142744999999995</v>
      </c>
      <c r="BD6" s="32">
        <f>IF((MAX(BH43:BH52)-MIN(BH43:BH52))/2=0,"",(MAX(BH43:BH52)-MIN(BH43:BH52))/2)</f>
        <v>0.10765590000000003</v>
      </c>
      <c r="BE6" s="32">
        <f>IF((MAX(BI43:BI52)-MIN(BI43:BI52))/2=0,"",(MAX(BI43:BI52)-MIN(BI43:BI52))/2)</f>
        <v>0.2406528</v>
      </c>
      <c r="BF6" s="33">
        <f>IF((MAX(BJ43:BJ52)-MIN(BJ43:BJ52))/2=0,"",(MAX(BJ43:BJ52)-MIN(BJ43:BJ52))/2)</f>
        <v>1.7139450984899902</v>
      </c>
      <c r="BL6" s="5">
        <v>4</v>
      </c>
      <c r="BM6" s="31">
        <f>IF((MAX(BQ43:BQ52)-MIN(BQ43:BQ52))/2=0,"",(MAX(BQ43:BQ52)-MIN(BQ43:BQ52))/2)</f>
        <v>4.4139604499999994</v>
      </c>
      <c r="BN6" s="32">
        <f>IF((MAX(BR43:BR52)-MIN(BR43:BR52))/2=0,"",(MAX(BR43:BR52)-MIN(BR43:BR52))/2)</f>
        <v>1.0462765000000003</v>
      </c>
      <c r="BO6" s="32">
        <f>IF((MAX(BS43:BS52)-MIN(BS43:BS52))/2=0,"",(MAX(BS43:BS52)-MIN(BS43:BS52))/2)</f>
        <v>4.3178901000000005</v>
      </c>
      <c r="BP6" s="33">
        <f>IF((MAX(BT43:BT52)-MIN(BT43:BT52))/2=0,"",(MAX(BT43:BT52)-MIN(BT43:BT52))/2)</f>
        <v>3.8728035000000003</v>
      </c>
      <c r="BV6" s="5">
        <v>4</v>
      </c>
      <c r="BW6" s="31">
        <f>IF((MAX(CA43:CA52)-MIN(CA43:CA52))/2=0,"",(MAX(CA43:CA52)-MIN(CA43:CA52))/2)</f>
        <v>0.22737845000000001</v>
      </c>
      <c r="BX6" s="32">
        <f>IF((MAX(CB43:CB52)-MIN(CB43:CB52))/2=0,"",(MAX(CB43:CB52)-MIN(CB43:CB52))/2)</f>
        <v>0.43463574999999999</v>
      </c>
      <c r="BY6" s="32">
        <f>IF((MAX(CC43:CC52)-MIN(CC43:CC52))/2=0,"",(MAX(CC43:CC52)-MIN(CC43:CC52))/2)</f>
        <v>0.29384469999999996</v>
      </c>
      <c r="BZ6" s="33">
        <f>IF((MAX(CD43:CD52)-MIN(CD43:CD52))/2=0,"",(MAX(CD43:CD52)-MIN(CD43:CD52))/2)</f>
        <v>1.3749895468579099</v>
      </c>
    </row>
    <row r="7" spans="1:92" x14ac:dyDescent="0.25">
      <c r="D7" s="5">
        <v>5</v>
      </c>
      <c r="E7" s="6">
        <f>IF((MAX(I53:I62)-MIN(I53:I62))/2=0,"",(MAX(I53:I62)-MIN(I53:I62))/2)</f>
        <v>0.60318500000000341</v>
      </c>
      <c r="F7" s="7">
        <f>IF((MAX(J53:J62)-MIN(J53:J62))/2=0,"",(MAX(J53:J62)-MIN(J53:J62))/2)</f>
        <v>0.59079999999999444</v>
      </c>
      <c r="G7" s="7">
        <f>IF((MAX(K53:K62)-MIN(K53:K62))/2=0,"",(MAX(K53:K62)-MIN(K53:K62))/2)</f>
        <v>0.52430499999999824</v>
      </c>
      <c r="H7" s="8">
        <f>IF((MAX(L53:L62)-MIN(L53:L62))/2=0,"",(MAX(L53:L62)-MIN(L53:L62))/2)</f>
        <v>0.70314499999999924</v>
      </c>
      <c r="N7" s="5">
        <v>5</v>
      </c>
      <c r="O7" s="6">
        <f>IF((MAX(S53:S62)-MIN(S53:S62))/2=0,"",(MAX(S53:S62)-MIN(S53:S62))/2)</f>
        <v>0.7173349999999985</v>
      </c>
      <c r="P7" s="7">
        <f>IF((MAX(T53:T62)-MIN(T53:T62))/2=0,"",(MAX(T53:T62)-MIN(T53:T62))/2)</f>
        <v>0.81150300000000186</v>
      </c>
      <c r="Q7" s="7">
        <f>IF((MAX(U53:U62)-MIN(U53:U62))/2=0,"",(MAX(U53:U62)-MIN(U53:U62))/2)</f>
        <v>1.9003599999999992</v>
      </c>
      <c r="R7" s="8">
        <f>IF((MAX(V53:V62)-MIN(V53:V62))/2=0,"",(MAX(V53:V62)-MIN(V53:V62))/2)</f>
        <v>1.609880000000004</v>
      </c>
      <c r="X7" s="5">
        <v>5</v>
      </c>
      <c r="Y7" s="6">
        <f>IF((MAX(AC53:AC62)-MIN(AC53:AC62))/2=0,"",(MAX(AC53:AC62)-MIN(AC53:AC62))/2)</f>
        <v>3.4817900000000002</v>
      </c>
      <c r="Z7" s="7">
        <f>IF((MAX(AD53:AD62)-MIN(AD53:AD62))/2=0,"",(MAX(AD53:AD62)-MIN(AD53:AD62))/2)</f>
        <v>3.6823464999999995</v>
      </c>
      <c r="AA7" s="7">
        <f>IF((MAX(AE53:AE62)-MIN(AE53:AE62))/2=0,"",(MAX(AE53:AE62)-MIN(AE53:AE62))/2)</f>
        <v>1.1910415000000008</v>
      </c>
      <c r="AB7" s="8">
        <f>IF((MAX(AF53:AF62)-MIN(AF53:AF62))/2=0,"",(MAX(AF53:AF62)-MIN(AF53:AF62))/2)</f>
        <v>1.0975995000000003</v>
      </c>
      <c r="AH7" s="5">
        <v>5</v>
      </c>
      <c r="AI7" s="6">
        <f>IF((MAX(AM53:AM62)-MIN(AM53:AM62))/2=0,"",(MAX(AM53:AM62)-MIN(AM53:AM62))/2)</f>
        <v>0.85657050000000012</v>
      </c>
      <c r="AJ7" s="7">
        <f>IF((MAX(AN53:AN62)-MIN(AN53:AN62))/2=0,"",(MAX(AN53:AN62)-MIN(AN53:AN62))/2)</f>
        <v>0.40916379999999997</v>
      </c>
      <c r="AK7" s="7">
        <f>IF((MAX(AO53:AO62)-MIN(AO53:AO62))/2=0,"",(MAX(AO53:AO62)-MIN(AO53:AO62))/2)</f>
        <v>0.47998230000000008</v>
      </c>
      <c r="AL7" s="8">
        <f>IF((MAX(AP53:AP62)-MIN(AP53:AP62))/2=0,"",(MAX(AP53:AP62)-MIN(AP53:AP62))/2)</f>
        <v>0.60982799999999981</v>
      </c>
      <c r="AR7" s="5">
        <v>5</v>
      </c>
      <c r="AS7" s="6">
        <f>IF((MAX(AW53:AW62)-MIN(AW53:AW62))/2=0,"",(MAX(AW53:AW62)-MIN(AW53:AW62))/2)</f>
        <v>1.2852459999999999</v>
      </c>
      <c r="AT7" s="7">
        <f>IF((MAX(AX53:AX62)-MIN(AX53:AX62))/2=0,"",(MAX(AX53:AX62)-MIN(AX53:AX62))/2)</f>
        <v>0.83669674999999977</v>
      </c>
      <c r="AU7" s="7">
        <f>IF((MAX(AY53:AY62)-MIN(AY53:AY62))/2=0,"",(MAX(AY53:AY62)-MIN(AY53:AY62))/2)</f>
        <v>1.224151</v>
      </c>
      <c r="AV7" s="8">
        <f>IF((MAX(AZ53:AZ62)-MIN(AZ53:AZ62))/2=0,"",(MAX(AZ53:AZ62)-MIN(AZ53:AZ62))/2)</f>
        <v>1.2226165</v>
      </c>
      <c r="BB7" s="5">
        <v>5</v>
      </c>
      <c r="BC7" s="6">
        <f>IF((MAX(BG53:BG62)-MIN(BG53:BG62))/2=0,"",(MAX(BG53:BG62)-MIN(BG53:BG62))/2)</f>
        <v>1.1773649499999999</v>
      </c>
      <c r="BD7" s="7">
        <f>IF((MAX(BH53:BH62)-MIN(BH53:BH62))/2=0,"",(MAX(BH53:BH62)-MIN(BH53:BH62))/2)</f>
        <v>0.44683554999999997</v>
      </c>
      <c r="BE7" s="7">
        <f>IF((MAX(BI53:BI62)-MIN(BI53:BI62))/2=0,"",(MAX(BI53:BI62)-MIN(BI53:BI62))/2)</f>
        <v>0.73096225000000004</v>
      </c>
      <c r="BF7" s="8">
        <f>IF((MAX(BJ53:BJ62)-MIN(BJ53:BJ62))/2=0,"",(MAX(BJ53:BJ62)-MIN(BJ53:BJ62))/2)</f>
        <v>0.6951314999999999</v>
      </c>
      <c r="BL7" s="5">
        <v>5</v>
      </c>
      <c r="BM7" s="6">
        <f>IF((MAX(BQ53:BQ62)-MIN(BQ53:BQ62))/2=0,"",(MAX(BQ53:BQ62)-MIN(BQ53:BQ62))/2)</f>
        <v>2.2321368499999998</v>
      </c>
      <c r="BN7" s="7">
        <f>IF((MAX(BR53:BR62)-MIN(BR53:BR62))/2=0,"",(MAX(BR53:BR62)-MIN(BR53:BR62))/2)</f>
        <v>2.8973942999999993</v>
      </c>
      <c r="BO7" s="7">
        <f>IF((MAX(BS53:BS62)-MIN(BS53:BS62))/2=0,"",(MAX(BS53:BS62)-MIN(BS53:BS62))/2)</f>
        <v>0.48476595000000011</v>
      </c>
      <c r="BP7" s="8">
        <f>IF((MAX(BT53:BT62)-MIN(BT53:BT62))/2=0,"",(MAX(BT53:BT62)-MIN(BT53:BT62))/2)</f>
        <v>0.40830990000000011</v>
      </c>
      <c r="BV7" s="5">
        <v>5</v>
      </c>
      <c r="BW7" s="6">
        <f>IF((MAX(CA53:CA62)-MIN(CA53:CA62))/2=0,"",(MAX(CA53:CA62)-MIN(CA53:CA62))/2)</f>
        <v>0.48052885000000001</v>
      </c>
      <c r="BX7" s="7">
        <f>IF((MAX(CB53:CB62)-MIN(CB53:CB62))/2=0,"",(MAX(CB53:CB62)-MIN(CB53:CB62))/2)</f>
        <v>0.19151794999999994</v>
      </c>
      <c r="BY7" s="7">
        <f>IF((MAX(CC53:CC62)-MIN(CC53:CC62))/2=0,"",(MAX(CC53:CC62)-MIN(CC53:CC62))/2)</f>
        <v>0.50357260000000004</v>
      </c>
      <c r="BZ7" s="8">
        <f>IF((MAX(CD53:CD62)-MIN(CD53:CD62))/2=0,"",(MAX(CD53:CD62)-MIN(CD53:CD62))/2)</f>
        <v>0.46669994999999986</v>
      </c>
    </row>
    <row r="8" spans="1:92" x14ac:dyDescent="0.25">
      <c r="D8" s="1" t="s">
        <v>10</v>
      </c>
      <c r="E8" s="34">
        <f>AVERAGE(E3:E7)</f>
        <v>0.53213000000000221</v>
      </c>
      <c r="F8" s="34">
        <f>AVERAGE(F3:F7)</f>
        <v>9.5551669367675807</v>
      </c>
      <c r="G8" s="34">
        <f>AVERAGE(G3:G7)</f>
        <v>9.0159884862597668</v>
      </c>
      <c r="H8" s="34">
        <f>AVERAGE(H3:H7)</f>
        <v>9.5682681442285151</v>
      </c>
      <c r="N8" s="1" t="s">
        <v>10</v>
      </c>
      <c r="O8" s="34">
        <f>AVERAGE(O3:O7)</f>
        <v>1.0523299999999991</v>
      </c>
      <c r="P8" s="34">
        <f>AVERAGE(P3:P7)</f>
        <v>8.0977943625878908</v>
      </c>
      <c r="Q8" s="34">
        <f>AVERAGE(Q3:Q7)</f>
        <v>8.2643315435156257</v>
      </c>
      <c r="R8" s="34">
        <f>AVERAGE(R3:R7)</f>
        <v>8.5401555968847678</v>
      </c>
      <c r="X8" s="1" t="s">
        <v>10</v>
      </c>
      <c r="Y8" s="34">
        <f>AVERAGE(Y3:Y7)</f>
        <v>5.8553791499999992</v>
      </c>
      <c r="Z8" s="34">
        <f>AVERAGE(Z3:Z7)</f>
        <v>4.6085708967712407</v>
      </c>
      <c r="AA8" s="34">
        <f>AVERAGE(AA3:AA7)</f>
        <v>3.2595181309863279</v>
      </c>
      <c r="AB8" s="34">
        <f>AVERAGE(AB3:AB7)</f>
        <v>4.5049522255737298</v>
      </c>
      <c r="AH8" s="1" t="s">
        <v>10</v>
      </c>
      <c r="AI8" s="34">
        <f>AVERAGE(AI3:AI7)</f>
        <v>0.51606938000000002</v>
      </c>
      <c r="AJ8" s="34">
        <f>AVERAGE(AJ3:AJ7)</f>
        <v>0.85715835897717274</v>
      </c>
      <c r="AK8" s="34">
        <f>AVERAGE(AK3:AK7)</f>
        <v>1.2072611218023686</v>
      </c>
      <c r="AL8" s="34">
        <f>AVERAGE(AL3:AL7)</f>
        <v>1.1415777471032715</v>
      </c>
      <c r="AR8" s="1" t="s">
        <v>10</v>
      </c>
      <c r="AS8" s="34">
        <f>AVERAGE(AS3:AS7)</f>
        <v>0.93182470000000017</v>
      </c>
      <c r="AT8" s="34">
        <f>AVERAGE(AT3:AT7)</f>
        <v>1.8119059497424321</v>
      </c>
      <c r="AU8" s="34">
        <f>AVERAGE(AU3:AU7)</f>
        <v>1.944367381539307</v>
      </c>
      <c r="AV8" s="34">
        <f>AVERAGE(AV3:AV7)</f>
        <v>2.1426645732885752</v>
      </c>
      <c r="BB8" s="1" t="s">
        <v>10</v>
      </c>
      <c r="BC8" s="34">
        <f>AVERAGE(BC3:BC7)</f>
        <v>0.60453036000000004</v>
      </c>
      <c r="BD8" s="34">
        <f>AVERAGE(BD3:BD7)</f>
        <v>0.4050355132103271</v>
      </c>
      <c r="BE8" s="34">
        <f>AVERAGE(BE3:BE7)</f>
        <v>0.47903577964428712</v>
      </c>
      <c r="BF8" s="34">
        <f>AVERAGE(BF3:BF7)</f>
        <v>0.76578090731396486</v>
      </c>
      <c r="BL8" s="1" t="s">
        <v>10</v>
      </c>
      <c r="BM8" s="34">
        <f>AVERAGE(BM3:BM7)</f>
        <v>3.6561377400000006</v>
      </c>
      <c r="BN8" s="34">
        <f>AVERAGE(BN3:BN7)</f>
        <v>2.8715294499999997</v>
      </c>
      <c r="BO8" s="34">
        <f>AVERAGE(BO3:BO7)</f>
        <v>2.1265259158581546</v>
      </c>
      <c r="BP8" s="34">
        <f>AVERAGE(BP3:BP7)</f>
        <v>3.1785162476574707</v>
      </c>
      <c r="BV8" s="1" t="s">
        <v>10</v>
      </c>
      <c r="BW8" s="34">
        <f>AVERAGE(BW3:BW7)</f>
        <v>0.51737341999999997</v>
      </c>
      <c r="BX8" s="34">
        <f>AVERAGE(BX3:BX7)</f>
        <v>0.56190192028399655</v>
      </c>
      <c r="BY8" s="34">
        <f>AVERAGE(BY3:BY7)</f>
        <v>0.42218662351232911</v>
      </c>
      <c r="BZ8" s="34">
        <f>AVERAGE(BZ3:BZ7)</f>
        <v>0.53809257142205791</v>
      </c>
    </row>
    <row r="9" spans="1:92" x14ac:dyDescent="0.25">
      <c r="B9" s="9" t="s">
        <v>11</v>
      </c>
      <c r="C9" s="9">
        <v>0.4</v>
      </c>
    </row>
    <row r="11" spans="1:92" x14ac:dyDescent="0.25">
      <c r="A11" s="43" t="s">
        <v>12</v>
      </c>
      <c r="B11" s="43" t="s">
        <v>13</v>
      </c>
      <c r="C11" s="47" t="s">
        <v>14</v>
      </c>
      <c r="E11" s="40" t="s">
        <v>15</v>
      </c>
      <c r="F11" s="41"/>
      <c r="G11" s="41"/>
      <c r="H11" s="42"/>
      <c r="I11" s="35" t="s">
        <v>16</v>
      </c>
      <c r="J11" s="36"/>
      <c r="K11" s="36"/>
      <c r="L11" s="36"/>
      <c r="O11" s="40" t="s">
        <v>15</v>
      </c>
      <c r="P11" s="41"/>
      <c r="Q11" s="41"/>
      <c r="R11" s="42"/>
      <c r="S11" s="35" t="s">
        <v>16</v>
      </c>
      <c r="T11" s="36"/>
      <c r="U11" s="36"/>
      <c r="V11" s="36"/>
      <c r="Y11" s="40" t="s">
        <v>15</v>
      </c>
      <c r="Z11" s="41"/>
      <c r="AA11" s="41"/>
      <c r="AB11" s="42"/>
      <c r="AC11" s="35" t="s">
        <v>16</v>
      </c>
      <c r="AD11" s="36"/>
      <c r="AE11" s="36"/>
      <c r="AF11" s="36"/>
      <c r="AI11" s="40" t="s">
        <v>15</v>
      </c>
      <c r="AJ11" s="41"/>
      <c r="AK11" s="41"/>
      <c r="AL11" s="42"/>
      <c r="AM11" s="35" t="s">
        <v>16</v>
      </c>
      <c r="AN11" s="36"/>
      <c r="AO11" s="36"/>
      <c r="AP11" s="36"/>
      <c r="AS11" s="40" t="s">
        <v>15</v>
      </c>
      <c r="AT11" s="41"/>
      <c r="AU11" s="41"/>
      <c r="AV11" s="42"/>
      <c r="AW11" s="35" t="s">
        <v>16</v>
      </c>
      <c r="AX11" s="36"/>
      <c r="AY11" s="36"/>
      <c r="AZ11" s="36"/>
      <c r="BC11" s="40" t="s">
        <v>15</v>
      </c>
      <c r="BD11" s="41"/>
      <c r="BE11" s="41"/>
      <c r="BF11" s="42"/>
      <c r="BG11" s="35" t="s">
        <v>16</v>
      </c>
      <c r="BH11" s="36"/>
      <c r="BI11" s="36"/>
      <c r="BJ11" s="36"/>
      <c r="BM11" s="40" t="s">
        <v>15</v>
      </c>
      <c r="BN11" s="41"/>
      <c r="BO11" s="41"/>
      <c r="BP11" s="42"/>
      <c r="BQ11" s="35" t="s">
        <v>16</v>
      </c>
      <c r="BR11" s="36"/>
      <c r="BS11" s="36"/>
      <c r="BT11" s="36"/>
      <c r="BW11" s="40" t="s">
        <v>15</v>
      </c>
      <c r="BX11" s="41"/>
      <c r="BY11" s="41"/>
      <c r="BZ11" s="42"/>
      <c r="CA11" s="35" t="s">
        <v>16</v>
      </c>
      <c r="CB11" s="36"/>
      <c r="CC11" s="36"/>
      <c r="CD11" s="36"/>
    </row>
    <row r="12" spans="1:92" x14ac:dyDescent="0.25">
      <c r="A12" s="36"/>
      <c r="B12" s="36"/>
      <c r="C12" s="36"/>
      <c r="E12" s="2" t="s">
        <v>9</v>
      </c>
      <c r="F12" s="3">
        <v>249063</v>
      </c>
      <c r="G12" s="3">
        <v>249062</v>
      </c>
      <c r="H12" s="4">
        <v>249061</v>
      </c>
      <c r="I12" s="2" t="s">
        <v>9</v>
      </c>
      <c r="J12" s="3">
        <v>249063</v>
      </c>
      <c r="K12" s="3">
        <v>249062</v>
      </c>
      <c r="L12" s="4">
        <v>249061</v>
      </c>
      <c r="O12" s="2" t="s">
        <v>9</v>
      </c>
      <c r="P12" s="3">
        <v>249063</v>
      </c>
      <c r="Q12" s="3">
        <v>249062</v>
      </c>
      <c r="R12" s="4">
        <v>249061</v>
      </c>
      <c r="S12" s="2" t="s">
        <v>9</v>
      </c>
      <c r="T12" s="3">
        <v>249063</v>
      </c>
      <c r="U12" s="3">
        <v>249062</v>
      </c>
      <c r="V12" s="4">
        <v>249061</v>
      </c>
      <c r="Y12" s="2" t="s">
        <v>9</v>
      </c>
      <c r="Z12" s="3">
        <v>249063</v>
      </c>
      <c r="AA12" s="3">
        <v>249062</v>
      </c>
      <c r="AB12" s="4">
        <v>249061</v>
      </c>
      <c r="AC12" s="2" t="s">
        <v>9</v>
      </c>
      <c r="AD12" s="3">
        <v>249063</v>
      </c>
      <c r="AE12" s="3">
        <v>249062</v>
      </c>
      <c r="AF12" s="4">
        <v>249061</v>
      </c>
      <c r="AI12" s="2" t="s">
        <v>9</v>
      </c>
      <c r="AJ12" s="3">
        <v>249063</v>
      </c>
      <c r="AK12" s="3">
        <v>249062</v>
      </c>
      <c r="AL12" s="4">
        <v>249061</v>
      </c>
      <c r="AM12" s="2" t="s">
        <v>9</v>
      </c>
      <c r="AN12" s="3">
        <v>249063</v>
      </c>
      <c r="AO12" s="3">
        <v>249062</v>
      </c>
      <c r="AP12" s="4">
        <v>249061</v>
      </c>
      <c r="AS12" s="2" t="s">
        <v>9</v>
      </c>
      <c r="AT12" s="3">
        <v>249063</v>
      </c>
      <c r="AU12" s="3">
        <v>249062</v>
      </c>
      <c r="AV12" s="4">
        <v>249061</v>
      </c>
      <c r="AW12" s="2" t="s">
        <v>9</v>
      </c>
      <c r="AX12" s="3">
        <v>249063</v>
      </c>
      <c r="AY12" s="3">
        <v>249062</v>
      </c>
      <c r="AZ12" s="4">
        <v>249061</v>
      </c>
      <c r="BC12" s="2" t="s">
        <v>9</v>
      </c>
      <c r="BD12" s="3">
        <v>249063</v>
      </c>
      <c r="BE12" s="3">
        <v>249062</v>
      </c>
      <c r="BF12" s="4">
        <v>249061</v>
      </c>
      <c r="BG12" s="2" t="s">
        <v>9</v>
      </c>
      <c r="BH12" s="3">
        <v>249063</v>
      </c>
      <c r="BI12" s="3">
        <v>249062</v>
      </c>
      <c r="BJ12" s="4">
        <v>249061</v>
      </c>
      <c r="BM12" s="2" t="s">
        <v>9</v>
      </c>
      <c r="BN12" s="3">
        <v>249063</v>
      </c>
      <c r="BO12" s="3">
        <v>249062</v>
      </c>
      <c r="BP12" s="4">
        <v>249061</v>
      </c>
      <c r="BQ12" s="2" t="s">
        <v>9</v>
      </c>
      <c r="BR12" s="3">
        <v>249063</v>
      </c>
      <c r="BS12" s="3">
        <v>249062</v>
      </c>
      <c r="BT12" s="4">
        <v>249061</v>
      </c>
      <c r="BW12" s="2" t="s">
        <v>9</v>
      </c>
      <c r="BX12" s="3">
        <v>249063</v>
      </c>
      <c r="BY12" s="3">
        <v>249062</v>
      </c>
      <c r="BZ12" s="4">
        <v>249061</v>
      </c>
      <c r="CA12" s="2" t="s">
        <v>9</v>
      </c>
      <c r="CB12" s="3">
        <v>249063</v>
      </c>
      <c r="CC12" s="3">
        <v>249062</v>
      </c>
      <c r="CD12" s="4">
        <v>249061</v>
      </c>
    </row>
    <row r="13" spans="1:92" x14ac:dyDescent="0.25">
      <c r="A13" s="37">
        <v>1</v>
      </c>
      <c r="B13" s="12">
        <v>1</v>
      </c>
      <c r="C13" s="13">
        <v>1</v>
      </c>
      <c r="E13" s="14">
        <v>85.957610000000003</v>
      </c>
      <c r="F13" s="15">
        <v>86.178154000000006</v>
      </c>
      <c r="G13" s="15">
        <v>86.157539999999997</v>
      </c>
      <c r="H13" s="16">
        <v>86.371440000000007</v>
      </c>
      <c r="I13" s="12">
        <f t="shared" ref="I13:I22" si="0">IF(OR(E13="",E13="NaN"),"",E13-AVERAGE(E$13:E$22))</f>
        <v>0.1046919999999858</v>
      </c>
      <c r="J13" s="12">
        <v>86.157539367675781</v>
      </c>
      <c r="K13" s="12">
        <v>85.654579162597656</v>
      </c>
      <c r="L13" s="17">
        <v>76.885757446289063</v>
      </c>
      <c r="M13" s="5"/>
      <c r="N13" s="5"/>
      <c r="O13" s="14">
        <v>70.12303</v>
      </c>
      <c r="P13" s="15">
        <v>73.27234</v>
      </c>
      <c r="Q13" s="15">
        <v>70.141779999999997</v>
      </c>
      <c r="R13" s="16">
        <v>68.852900000000005</v>
      </c>
      <c r="S13" s="12">
        <f t="shared" ref="S13:S22" si="1">IF(OR(O13="",O13="NaN"),"",O13-AVERAGE(O$13:O$22))</f>
        <v>-1.260930799999997</v>
      </c>
      <c r="T13" s="12">
        <v>70.141777038574219</v>
      </c>
      <c r="U13" s="12">
        <v>73.38287353515625</v>
      </c>
      <c r="V13" s="17">
        <v>67.840179443359375</v>
      </c>
      <c r="W13" s="5"/>
      <c r="X13" s="5"/>
      <c r="Y13" s="14">
        <v>11.743197</v>
      </c>
      <c r="Z13" s="15">
        <v>9.4754094999999996</v>
      </c>
      <c r="AA13" s="15">
        <v>10.540224</v>
      </c>
      <c r="AB13" s="16">
        <v>10.514400999999999</v>
      </c>
      <c r="AC13" s="12">
        <f t="shared" ref="AC13:AC22" si="2">IF(OR(Y13="",Y13="NaN"),"",Y13-AVERAGE(Y$13:Y$22))</f>
        <v>0.18554745000000139</v>
      </c>
      <c r="AD13" s="12">
        <v>10.540224075317379</v>
      </c>
      <c r="AE13" s="12">
        <v>9.6793708801269513</v>
      </c>
      <c r="AF13" s="17">
        <v>10.991037368774411</v>
      </c>
      <c r="AG13" s="5"/>
      <c r="AH13" s="5"/>
      <c r="AI13" s="14">
        <v>5.9425619999999997</v>
      </c>
      <c r="AJ13" s="15">
        <v>6.1654359999999997</v>
      </c>
      <c r="AK13" s="15">
        <v>5.289123</v>
      </c>
      <c r="AL13" s="16">
        <v>5.7119239999999998</v>
      </c>
      <c r="AM13" s="12">
        <f t="shared" ref="AM13:AM22" si="3">IF(OR(AI13="",AI13="NaN"),"",AI13-AVERAGE(AI$13:AI$22))</f>
        <v>-0.33377527000000029</v>
      </c>
      <c r="AN13" s="12">
        <v>5.2891230583190918</v>
      </c>
      <c r="AO13" s="12">
        <v>5.4476017951965332</v>
      </c>
      <c r="AP13" s="17">
        <v>7.1491756439208984</v>
      </c>
      <c r="AR13" s="5"/>
      <c r="AS13" s="14">
        <v>12.236416999999999</v>
      </c>
      <c r="AT13" s="15">
        <v>9.8537230000000005</v>
      </c>
      <c r="AU13" s="15">
        <v>12.371886</v>
      </c>
      <c r="AV13" s="16">
        <v>12.829535</v>
      </c>
      <c r="AW13" s="12">
        <f t="shared" ref="AW13:AW22" si="4">IF(OR(AS13="",AS13="NaN"),"",AS13-AVERAGE(AS$13:AS$22))</f>
        <v>0.65870159999999878</v>
      </c>
      <c r="AX13" s="12">
        <v>12.37188625335693</v>
      </c>
      <c r="AY13" s="12">
        <v>10.4577693939209</v>
      </c>
      <c r="AZ13" s="17">
        <v>11.876858711242679</v>
      </c>
      <c r="BB13" s="5"/>
      <c r="BC13" s="14">
        <v>2.3836179</v>
      </c>
      <c r="BD13" s="15">
        <v>1.6440756000000001</v>
      </c>
      <c r="BE13" s="15">
        <v>2.1626827999999998</v>
      </c>
      <c r="BF13" s="16">
        <v>2.4805964999999999</v>
      </c>
      <c r="BG13" s="12">
        <f t="shared" ref="BG13:BG22" si="5">IF(OR(BC13="",BC13="NaN"),"",BC13-AVERAGE(BC$13:BC$22))</f>
        <v>-1.1093230000000176E-2</v>
      </c>
      <c r="BH13" s="12">
        <v>2.1626827716827401</v>
      </c>
      <c r="BI13" s="12">
        <v>1.628739595413208</v>
      </c>
      <c r="BJ13" s="17">
        <v>2.20456862449646</v>
      </c>
      <c r="BL13" s="5"/>
      <c r="BM13" s="14">
        <v>3.6393957000000001</v>
      </c>
      <c r="BN13" s="15">
        <v>2.6745790999999999</v>
      </c>
      <c r="BO13" s="15">
        <v>2.80531</v>
      </c>
      <c r="BP13" s="16">
        <v>3.1500702</v>
      </c>
      <c r="BQ13" s="12">
        <f t="shared" ref="BQ13:BQ22" si="6">IF(OR(BM13="",BM13="NaN"),"",BM13-AVERAGE(BM$13:BM$22))</f>
        <v>0.41763395000000036</v>
      </c>
      <c r="BR13" s="12">
        <v>2.8053100109100342</v>
      </c>
      <c r="BS13" s="12">
        <v>2.9714004993438721</v>
      </c>
      <c r="BT13" s="17">
        <v>6.2907190322875977</v>
      </c>
      <c r="BV13" s="5"/>
      <c r="BW13" s="14">
        <v>2.7179540000000002</v>
      </c>
      <c r="BX13" s="15">
        <v>1.4198755999999999</v>
      </c>
      <c r="BY13" s="15">
        <v>1.545688</v>
      </c>
      <c r="BZ13" s="16">
        <v>1.5386686000000001</v>
      </c>
      <c r="CA13" s="12">
        <f t="shared" ref="CA13:CA22" si="7">IF(OR(BW13="",BW13="NaN"),"",BW13-AVERAGE(BW$13:BW$22))</f>
        <v>0.93569678000000023</v>
      </c>
      <c r="CB13" s="12">
        <v>1.5456880331039431</v>
      </c>
      <c r="CC13" s="12">
        <v>1.1272463798522949</v>
      </c>
      <c r="CD13" s="17">
        <v>1.6671115159988401</v>
      </c>
      <c r="CG13">
        <v>1.4198756217956541</v>
      </c>
      <c r="CH13">
        <v>1.1851052045822139</v>
      </c>
      <c r="CI13">
        <v>1.769859194755554</v>
      </c>
      <c r="CL13">
        <v>2.7179539203643799</v>
      </c>
      <c r="CM13">
        <v>1.3048169612884519</v>
      </c>
      <c r="CN13">
        <v>1.8382880687713621</v>
      </c>
    </row>
    <row r="14" spans="1:92" x14ac:dyDescent="0.25">
      <c r="A14" s="38"/>
      <c r="B14" s="5">
        <v>2</v>
      </c>
      <c r="C14" s="18">
        <v>6</v>
      </c>
      <c r="E14" s="19">
        <v>85.914824999999993</v>
      </c>
      <c r="F14" s="20">
        <v>85.662350000000004</v>
      </c>
      <c r="G14" s="20">
        <v>85.882800000000003</v>
      </c>
      <c r="H14" s="21">
        <v>85.898650000000004</v>
      </c>
      <c r="I14" s="5">
        <f t="shared" si="0"/>
        <v>6.190699999997662E-2</v>
      </c>
      <c r="J14" s="5">
        <v>85.882797241210938</v>
      </c>
      <c r="K14" s="5">
        <v>85.616592407226563</v>
      </c>
      <c r="L14" s="22">
        <v>76.832786560058594</v>
      </c>
      <c r="M14" s="5"/>
      <c r="N14" s="5"/>
      <c r="O14" s="19">
        <v>69.958550000000002</v>
      </c>
      <c r="P14" s="20">
        <v>72.971959999999996</v>
      </c>
      <c r="Q14" s="20">
        <v>70.600030000000004</v>
      </c>
      <c r="R14" s="21">
        <v>69.958640000000003</v>
      </c>
      <c r="S14" s="5">
        <f t="shared" si="1"/>
        <v>-1.4254107999999945</v>
      </c>
      <c r="T14" s="5">
        <v>70.600028991699219</v>
      </c>
      <c r="U14" s="5">
        <v>72.407333374023438</v>
      </c>
      <c r="V14" s="22">
        <v>68.298202514648438</v>
      </c>
      <c r="W14" s="5"/>
      <c r="X14" s="5"/>
      <c r="Y14" s="19">
        <v>11.480532999999999</v>
      </c>
      <c r="Z14" s="20">
        <v>11.7674465</v>
      </c>
      <c r="AA14" s="20">
        <v>11.459281000000001</v>
      </c>
      <c r="AB14" s="21">
        <v>10.912747</v>
      </c>
      <c r="AC14" s="5">
        <f t="shared" si="2"/>
        <v>-7.7116549999999506E-2</v>
      </c>
      <c r="AD14" s="5">
        <v>11.459280967712401</v>
      </c>
      <c r="AE14" s="5">
        <v>11.529487609863279</v>
      </c>
      <c r="AF14" s="22">
        <v>10.26969146728516</v>
      </c>
      <c r="AG14" s="5"/>
      <c r="AH14" s="5"/>
      <c r="AI14" s="19">
        <v>6.6494739999999997</v>
      </c>
      <c r="AJ14" s="20">
        <v>6.857723</v>
      </c>
      <c r="AK14" s="20">
        <v>6.7235829999999996</v>
      </c>
      <c r="AL14" s="21">
        <v>5.7594336999999998</v>
      </c>
      <c r="AM14" s="5">
        <f t="shared" si="3"/>
        <v>0.37313672999999969</v>
      </c>
      <c r="AN14" s="5">
        <v>6.7235832214355469</v>
      </c>
      <c r="AO14" s="5">
        <v>6.2548770904541016</v>
      </c>
      <c r="AP14" s="22">
        <v>6.9997000694274902</v>
      </c>
      <c r="AR14" s="5"/>
      <c r="AS14" s="19">
        <v>11.548989000000001</v>
      </c>
      <c r="AT14" s="20">
        <v>9.2257420000000003</v>
      </c>
      <c r="AU14" s="20">
        <v>11.761058</v>
      </c>
      <c r="AV14" s="21">
        <v>12.036663000000001</v>
      </c>
      <c r="AW14" s="5">
        <f t="shared" si="4"/>
        <v>-2.8726400000000041E-2</v>
      </c>
      <c r="AX14" s="5">
        <v>11.76105785369873</v>
      </c>
      <c r="AY14" s="5">
        <v>11.88934421539307</v>
      </c>
      <c r="AZ14" s="22">
        <v>11.717287063598629</v>
      </c>
      <c r="BB14" s="5"/>
      <c r="BC14" s="19">
        <v>3.1474514</v>
      </c>
      <c r="BD14" s="20">
        <v>1.6625694</v>
      </c>
      <c r="BE14" s="20">
        <v>2.4170050000000001</v>
      </c>
      <c r="BF14" s="21">
        <v>2.5120990000000001</v>
      </c>
      <c r="BG14" s="5">
        <f t="shared" si="5"/>
        <v>0.75274026999999988</v>
      </c>
      <c r="BH14" s="5">
        <v>2.417005062103271</v>
      </c>
      <c r="BI14" s="5">
        <v>2.2593221664428711</v>
      </c>
      <c r="BJ14" s="22">
        <v>2.2051544189453121</v>
      </c>
      <c r="BL14" s="5"/>
      <c r="BM14" s="19">
        <v>3.0234203000000002</v>
      </c>
      <c r="BN14" s="20">
        <v>6.8006744000000001</v>
      </c>
      <c r="BO14" s="20">
        <v>3.3159618000000002</v>
      </c>
      <c r="BP14" s="21">
        <v>3.3754444000000001</v>
      </c>
      <c r="BQ14" s="5">
        <f t="shared" si="6"/>
        <v>-0.19834144999999959</v>
      </c>
      <c r="BR14" s="5">
        <v>3.3159618377685551</v>
      </c>
      <c r="BS14" s="5">
        <v>2.8580024242401119</v>
      </c>
      <c r="BT14" s="22">
        <v>6.7219338417053223</v>
      </c>
      <c r="BV14" s="5"/>
      <c r="BW14" s="19">
        <v>2.9845521000000002</v>
      </c>
      <c r="BX14" s="20">
        <v>1.5048043</v>
      </c>
      <c r="BY14" s="20">
        <v>1.7742798</v>
      </c>
      <c r="BZ14" s="21">
        <v>2.8506963000000001</v>
      </c>
      <c r="CA14" s="5">
        <f t="shared" si="7"/>
        <v>1.2022948800000002</v>
      </c>
      <c r="CB14" s="5">
        <v>1.774279832839966</v>
      </c>
      <c r="CC14" s="5">
        <v>1.468517541885376</v>
      </c>
      <c r="CD14" s="22">
        <v>1.699282765388489</v>
      </c>
      <c r="CG14">
        <v>1.504804253578186</v>
      </c>
      <c r="CH14">
        <v>1.716229915618896</v>
      </c>
      <c r="CI14">
        <v>1.7517333030700679</v>
      </c>
      <c r="CL14">
        <v>2.984552145004272</v>
      </c>
      <c r="CM14">
        <v>1.6254105567932129</v>
      </c>
      <c r="CN14">
        <v>1.8410770893096919</v>
      </c>
    </row>
    <row r="15" spans="1:92" x14ac:dyDescent="0.25">
      <c r="A15" s="38"/>
      <c r="B15" s="5">
        <v>3</v>
      </c>
      <c r="C15" s="18">
        <v>11</v>
      </c>
      <c r="E15" s="19">
        <v>85.86824</v>
      </c>
      <c r="F15" s="20">
        <v>85.206559999999996</v>
      </c>
      <c r="G15" s="20">
        <v>85.478399999999993</v>
      </c>
      <c r="H15" s="21">
        <v>85.669049999999999</v>
      </c>
      <c r="I15" s="5">
        <f t="shared" si="0"/>
        <v>1.5321999999983404E-2</v>
      </c>
      <c r="J15" s="5">
        <v>85.478401184082031</v>
      </c>
      <c r="K15" s="5">
        <v>85.560775756835938</v>
      </c>
      <c r="L15" s="22">
        <v>76.837791442871094</v>
      </c>
      <c r="M15" s="5"/>
      <c r="N15" s="5"/>
      <c r="O15" s="19">
        <v>69.985249999999994</v>
      </c>
      <c r="P15" s="20">
        <v>72.793340000000001</v>
      </c>
      <c r="Q15" s="20">
        <v>72.471109999999996</v>
      </c>
      <c r="R15" s="21">
        <v>69.945400000000006</v>
      </c>
      <c r="S15" s="5">
        <f t="shared" si="1"/>
        <v>-1.3987108000000035</v>
      </c>
      <c r="T15" s="5">
        <v>72.471107482910156</v>
      </c>
      <c r="U15" s="5">
        <v>73.13702392578125</v>
      </c>
      <c r="V15" s="22">
        <v>67.862464904785156</v>
      </c>
      <c r="W15" s="5"/>
      <c r="X15" s="5"/>
      <c r="Y15" s="19">
        <v>11.039517999999999</v>
      </c>
      <c r="Z15" s="20">
        <v>9.5746660000000006</v>
      </c>
      <c r="AA15" s="20">
        <v>10.585523999999999</v>
      </c>
      <c r="AB15" s="21">
        <v>10.804943</v>
      </c>
      <c r="AC15" s="5">
        <f t="shared" si="2"/>
        <v>-0.51813154999999966</v>
      </c>
      <c r="AD15" s="5">
        <v>10.58552360534668</v>
      </c>
      <c r="AE15" s="5">
        <v>9.2864246368408203</v>
      </c>
      <c r="AF15" s="22">
        <v>13.534989356994631</v>
      </c>
      <c r="AG15" s="5"/>
      <c r="AH15" s="5"/>
      <c r="AI15" s="19">
        <v>5.4425077000000002</v>
      </c>
      <c r="AJ15" s="20">
        <v>6.2991539999999997</v>
      </c>
      <c r="AK15" s="20">
        <v>5.5452547000000001</v>
      </c>
      <c r="AL15" s="21">
        <v>5.194261</v>
      </c>
      <c r="AM15" s="5">
        <f t="shared" si="3"/>
        <v>-0.8338295699999998</v>
      </c>
      <c r="AN15" s="5">
        <v>5.5452547073364258</v>
      </c>
      <c r="AO15" s="5">
        <v>6.5532321929931641</v>
      </c>
      <c r="AP15" s="22">
        <v>7.330751895904541</v>
      </c>
      <c r="AR15" s="5"/>
      <c r="AS15" s="19">
        <v>12.353168</v>
      </c>
      <c r="AT15" s="20">
        <v>10.051676</v>
      </c>
      <c r="AU15" s="20">
        <v>12.355518</v>
      </c>
      <c r="AV15" s="21">
        <v>12.236882</v>
      </c>
      <c r="AW15" s="5">
        <f t="shared" si="4"/>
        <v>0.77545259999999949</v>
      </c>
      <c r="AX15" s="5">
        <v>12.35551834106445</v>
      </c>
      <c r="AY15" s="5">
        <v>10.744802474975589</v>
      </c>
      <c r="AZ15" s="22">
        <v>12.06489372253418</v>
      </c>
      <c r="BB15" s="5"/>
      <c r="BC15" s="19">
        <v>2.2749305</v>
      </c>
      <c r="BD15" s="20">
        <v>1.5648271</v>
      </c>
      <c r="BE15" s="20">
        <v>2.163338</v>
      </c>
      <c r="BF15" s="21">
        <v>2.4142717999999999</v>
      </c>
      <c r="BG15" s="5">
        <f t="shared" si="5"/>
        <v>-0.11978063000000017</v>
      </c>
      <c r="BH15" s="5">
        <v>2.1633379459381099</v>
      </c>
      <c r="BI15" s="5">
        <v>1.7455639839172361</v>
      </c>
      <c r="BJ15" s="22">
        <v>2.1029112339019771</v>
      </c>
      <c r="BL15" s="5"/>
      <c r="BM15" s="19">
        <v>2.5772219999999999</v>
      </c>
      <c r="BN15" s="20">
        <v>3.2599046</v>
      </c>
      <c r="BO15" s="20">
        <v>2.5574400000000002</v>
      </c>
      <c r="BP15" s="21">
        <v>2.5420455999999998</v>
      </c>
      <c r="BQ15" s="5">
        <f t="shared" si="6"/>
        <v>-0.64453974999999986</v>
      </c>
      <c r="BR15" s="5">
        <v>2.557440042495728</v>
      </c>
      <c r="BS15" s="5">
        <v>2.6948893070220952</v>
      </c>
      <c r="BT15" s="22">
        <v>6.9005365371704102</v>
      </c>
      <c r="BV15" s="5"/>
      <c r="BW15" s="19">
        <v>1.6388863</v>
      </c>
      <c r="BX15" s="20">
        <v>1.3343076</v>
      </c>
      <c r="BY15" s="20">
        <v>1.3648034</v>
      </c>
      <c r="BZ15" s="21">
        <v>1.3117255000000001</v>
      </c>
      <c r="CA15" s="5">
        <f t="shared" si="7"/>
        <v>-0.14337091999999996</v>
      </c>
      <c r="CB15" s="5">
        <v>1.3648034334182739</v>
      </c>
      <c r="CC15" s="5">
        <v>1.419122099876404</v>
      </c>
      <c r="CD15" s="22">
        <v>1.6751842498779299</v>
      </c>
      <c r="CG15">
        <v>1.3343075513839719</v>
      </c>
      <c r="CH15">
        <v>1.6091035604476931</v>
      </c>
      <c r="CI15">
        <v>2.9519848823547359</v>
      </c>
      <c r="CL15">
        <v>1.6388863325119021</v>
      </c>
      <c r="CM15">
        <v>1.534342408180237</v>
      </c>
      <c r="CN15">
        <v>3.044421911239624</v>
      </c>
    </row>
    <row r="16" spans="1:92" x14ac:dyDescent="0.25">
      <c r="A16" s="38"/>
      <c r="B16" s="5">
        <v>4</v>
      </c>
      <c r="C16" s="18">
        <v>16</v>
      </c>
      <c r="E16" s="19">
        <v>85.522300000000001</v>
      </c>
      <c r="F16" s="20">
        <v>85.191999999999993</v>
      </c>
      <c r="G16" s="20">
        <v>85.79759</v>
      </c>
      <c r="H16" s="21">
        <v>85.642979999999994</v>
      </c>
      <c r="I16" s="5">
        <f t="shared" si="0"/>
        <v>-0.3306180000000154</v>
      </c>
      <c r="J16" s="5">
        <v>85.797592163085938</v>
      </c>
      <c r="K16" s="5">
        <v>76.628639221191406</v>
      </c>
      <c r="L16" s="22">
        <v>76.623939514160156</v>
      </c>
      <c r="M16" s="5"/>
      <c r="N16" s="5"/>
      <c r="O16" s="19">
        <v>73.044759999999997</v>
      </c>
      <c r="P16" s="20">
        <v>72.786199999999994</v>
      </c>
      <c r="Q16" s="20">
        <v>73.181250000000006</v>
      </c>
      <c r="R16" s="21">
        <v>72.946070000000006</v>
      </c>
      <c r="S16" s="5">
        <f t="shared" si="1"/>
        <v>1.6607991999999996</v>
      </c>
      <c r="T16" s="5">
        <v>73.181251525878906</v>
      </c>
      <c r="U16" s="5">
        <v>69.206466674804688</v>
      </c>
      <c r="V16" s="22">
        <v>67.938987731933594</v>
      </c>
      <c r="W16" s="5"/>
      <c r="X16" s="5"/>
      <c r="Y16" s="19">
        <v>9.4385805000000005</v>
      </c>
      <c r="Z16" s="20">
        <v>10.284533</v>
      </c>
      <c r="AA16" s="20">
        <v>9.4606999999999992</v>
      </c>
      <c r="AB16" s="21">
        <v>9.9651449999999997</v>
      </c>
      <c r="AC16" s="5">
        <f t="shared" si="2"/>
        <v>-2.1190690499999985</v>
      </c>
      <c r="AD16" s="5">
        <v>9.4607000350952166</v>
      </c>
      <c r="AE16" s="5">
        <v>9.7195119857788086</v>
      </c>
      <c r="AF16" s="22">
        <v>11.269044876098629</v>
      </c>
      <c r="AG16" s="5"/>
      <c r="AH16" s="5"/>
      <c r="AI16" s="19">
        <v>6.1412240000000002</v>
      </c>
      <c r="AJ16" s="20">
        <v>6.8775982999999998</v>
      </c>
      <c r="AK16" s="20">
        <v>6.2627709999999999</v>
      </c>
      <c r="AL16" s="21">
        <v>6.0024423999999996</v>
      </c>
      <c r="AM16" s="5">
        <f t="shared" si="3"/>
        <v>-0.13511326999999973</v>
      </c>
      <c r="AN16" s="5">
        <v>6.2627711296081543</v>
      </c>
      <c r="AO16" s="5">
        <v>5.2024407386779794</v>
      </c>
      <c r="AP16" s="22">
        <v>7.2610197067260742</v>
      </c>
      <c r="AR16" s="5"/>
      <c r="AS16" s="19">
        <v>10.309472</v>
      </c>
      <c r="AT16" s="20">
        <v>9.7061849999999996</v>
      </c>
      <c r="AU16" s="20">
        <v>10.223240000000001</v>
      </c>
      <c r="AV16" s="21">
        <v>12.32025</v>
      </c>
      <c r="AW16" s="5">
        <f t="shared" si="4"/>
        <v>-1.2682434000000011</v>
      </c>
      <c r="AX16" s="5">
        <v>10.223239898681641</v>
      </c>
      <c r="AY16" s="5">
        <v>10.752469062805179</v>
      </c>
      <c r="AZ16" s="22">
        <v>12.07362747192383</v>
      </c>
      <c r="BB16" s="5"/>
      <c r="BC16" s="19">
        <v>1.5866047999999999</v>
      </c>
      <c r="BD16" s="20">
        <v>1.5623039999999999</v>
      </c>
      <c r="BE16" s="20">
        <v>1.5908468</v>
      </c>
      <c r="BF16" s="21">
        <v>1.881168</v>
      </c>
      <c r="BG16" s="5">
        <f t="shared" si="5"/>
        <v>-0.80810633000000021</v>
      </c>
      <c r="BH16" s="5">
        <v>1.5908467769622801</v>
      </c>
      <c r="BI16" s="5">
        <v>2.0649821758270259</v>
      </c>
      <c r="BJ16" s="22">
        <v>2.222215890884399</v>
      </c>
      <c r="BL16" s="5"/>
      <c r="BM16" s="19">
        <v>3.5158133999999999</v>
      </c>
      <c r="BN16" s="20">
        <v>6.1044609999999997</v>
      </c>
      <c r="BO16" s="20">
        <v>3.3237426000000001</v>
      </c>
      <c r="BP16" s="21">
        <v>2.9042686999999998</v>
      </c>
      <c r="BQ16" s="5">
        <f t="shared" si="6"/>
        <v>0.29405165000000011</v>
      </c>
      <c r="BR16" s="5">
        <v>3.3237426280975342</v>
      </c>
      <c r="BS16" s="5">
        <v>4.8014249801635742</v>
      </c>
      <c r="BT16" s="22">
        <v>6.4529714584350586</v>
      </c>
      <c r="BV16" s="5"/>
      <c r="BW16" s="19">
        <v>1.3210569999999999</v>
      </c>
      <c r="BX16" s="20">
        <v>1.2488710000000001</v>
      </c>
      <c r="BY16" s="20">
        <v>1.1922733999999999</v>
      </c>
      <c r="BZ16" s="21">
        <v>1.3121476000000001</v>
      </c>
      <c r="CA16" s="5">
        <f t="shared" si="7"/>
        <v>-0.46120022000000005</v>
      </c>
      <c r="CB16" s="5">
        <v>1.1922733783721919</v>
      </c>
      <c r="CC16" s="5">
        <v>1.208857655525208</v>
      </c>
      <c r="CD16" s="22">
        <v>1.6871604919433589</v>
      </c>
      <c r="CG16">
        <v>1.248870968818665</v>
      </c>
      <c r="CH16">
        <v>1.493543386459351</v>
      </c>
      <c r="CI16">
        <v>2.939773321151733</v>
      </c>
      <c r="CL16">
        <v>1.3210569620132451</v>
      </c>
      <c r="CM16">
        <v>1.693461656570435</v>
      </c>
      <c r="CN16">
        <v>1.9021259546279909</v>
      </c>
    </row>
    <row r="17" spans="1:92" x14ac:dyDescent="0.25">
      <c r="A17" s="38"/>
      <c r="B17" s="5">
        <v>5</v>
      </c>
      <c r="C17" s="18">
        <v>21</v>
      </c>
      <c r="E17" s="19">
        <v>85.904769999999999</v>
      </c>
      <c r="F17" s="20">
        <v>85.535445999999993</v>
      </c>
      <c r="G17" s="20">
        <v>85.823746</v>
      </c>
      <c r="H17" s="21">
        <v>85.962554999999995</v>
      </c>
      <c r="I17" s="5">
        <f t="shared" si="0"/>
        <v>5.1851999999982468E-2</v>
      </c>
      <c r="J17" s="5">
        <v>85.823745727539063</v>
      </c>
      <c r="K17" s="5">
        <v>76.239288330078125</v>
      </c>
      <c r="L17" s="22">
        <v>77.041709899902344</v>
      </c>
      <c r="M17" s="5"/>
      <c r="N17" s="5"/>
      <c r="O17" s="19">
        <v>69.687250000000006</v>
      </c>
      <c r="P17" s="20">
        <v>73.050629999999998</v>
      </c>
      <c r="Q17" s="20">
        <v>72.339354999999998</v>
      </c>
      <c r="R17" s="21">
        <v>72.615780000000001</v>
      </c>
      <c r="S17" s="5">
        <f t="shared" si="1"/>
        <v>-1.6967107999999911</v>
      </c>
      <c r="T17" s="5">
        <v>72.33935546875</v>
      </c>
      <c r="U17" s="5">
        <v>69.3397216796875</v>
      </c>
      <c r="V17" s="22">
        <v>66.06201171875</v>
      </c>
      <c r="W17" s="5"/>
      <c r="X17" s="5"/>
      <c r="Y17" s="19">
        <v>11.504536</v>
      </c>
      <c r="Z17" s="20">
        <v>10.923652000000001</v>
      </c>
      <c r="AA17" s="20">
        <v>10.836556</v>
      </c>
      <c r="AB17" s="21">
        <v>11.088943</v>
      </c>
      <c r="AC17" s="5">
        <f t="shared" si="2"/>
        <v>-5.3113549999999066E-2</v>
      </c>
      <c r="AD17" s="5">
        <v>10.836556434631349</v>
      </c>
      <c r="AE17" s="5">
        <v>11.49359703063965</v>
      </c>
      <c r="AF17" s="22">
        <v>12.2893009185791</v>
      </c>
      <c r="AG17" s="5"/>
      <c r="AH17" s="5"/>
      <c r="AI17" s="19">
        <v>6.11904</v>
      </c>
      <c r="AJ17" s="20">
        <v>6.8264747000000003</v>
      </c>
      <c r="AK17" s="20">
        <v>5.5407000000000002</v>
      </c>
      <c r="AL17" s="21">
        <v>5.3873544000000004</v>
      </c>
      <c r="AM17" s="5">
        <f t="shared" si="3"/>
        <v>-0.15729726999999993</v>
      </c>
      <c r="AN17" s="5">
        <v>5.5406999588012704</v>
      </c>
      <c r="AO17" s="5">
        <v>5.260683536529541</v>
      </c>
      <c r="AP17" s="22">
        <v>7.1254849433898926</v>
      </c>
      <c r="AR17" s="5"/>
      <c r="AS17" s="19">
        <v>11.576665999999999</v>
      </c>
      <c r="AT17" s="20">
        <v>8.7651450000000004</v>
      </c>
      <c r="AU17" s="20">
        <v>11.766520999999999</v>
      </c>
      <c r="AV17" s="21">
        <v>12.3312235</v>
      </c>
      <c r="AW17" s="5">
        <f t="shared" si="4"/>
        <v>-1.0494000000011994E-3</v>
      </c>
      <c r="AX17" s="5">
        <v>11.76652145385742</v>
      </c>
      <c r="AY17" s="5">
        <v>10.836184501647949</v>
      </c>
      <c r="AZ17" s="22">
        <v>11.75839328765869</v>
      </c>
      <c r="BB17" s="5"/>
      <c r="BC17" s="19">
        <v>3.8404753</v>
      </c>
      <c r="BD17" s="20">
        <v>1.6960322999999999</v>
      </c>
      <c r="BE17" s="20">
        <v>1.8146551</v>
      </c>
      <c r="BF17" s="21">
        <v>2.1157560000000002</v>
      </c>
      <c r="BG17" s="5">
        <f t="shared" si="5"/>
        <v>1.4457641699999999</v>
      </c>
      <c r="BH17" s="5">
        <v>1.814655065536499</v>
      </c>
      <c r="BI17" s="5">
        <v>2.0703125</v>
      </c>
      <c r="BJ17" s="22">
        <v>2.235723495483398</v>
      </c>
      <c r="BL17" s="5"/>
      <c r="BM17" s="19">
        <v>3.2640737999999998</v>
      </c>
      <c r="BN17" s="20">
        <v>5.4271455</v>
      </c>
      <c r="BO17" s="20">
        <v>3.1541630999999999</v>
      </c>
      <c r="BP17" s="21">
        <v>3.0019596000000002</v>
      </c>
      <c r="BQ17" s="5">
        <f t="shared" si="6"/>
        <v>4.2312050000000045E-2</v>
      </c>
      <c r="BR17" s="5">
        <v>3.154163122177124</v>
      </c>
      <c r="BS17" s="5">
        <v>6.427025318145752</v>
      </c>
      <c r="BT17" s="22">
        <v>8.0698165893554688</v>
      </c>
      <c r="BV17" s="5"/>
      <c r="BW17" s="19">
        <v>1.6695803</v>
      </c>
      <c r="BX17" s="20">
        <v>1.5253934</v>
      </c>
      <c r="BY17" s="20">
        <v>1.2573091999999999</v>
      </c>
      <c r="BZ17" s="21">
        <v>1.2213379</v>
      </c>
      <c r="CA17" s="5">
        <f t="shared" si="7"/>
        <v>-0.11267691999999996</v>
      </c>
      <c r="CB17" s="5">
        <v>1.257309198379517</v>
      </c>
      <c r="CC17" s="5">
        <v>1.1727244853973391</v>
      </c>
      <c r="CD17" s="22">
        <v>1.7393186092376709</v>
      </c>
      <c r="CG17">
        <v>1.5253933668136599</v>
      </c>
      <c r="CH17">
        <v>1.312539935112</v>
      </c>
      <c r="CI17">
        <v>2.2101678848266602</v>
      </c>
      <c r="CL17">
        <v>1.669580340385437</v>
      </c>
      <c r="CM17">
        <v>1.600125908851624</v>
      </c>
      <c r="CN17">
        <v>1.905581474304199</v>
      </c>
    </row>
    <row r="18" spans="1:92" x14ac:dyDescent="0.25">
      <c r="A18" s="38"/>
      <c r="B18" s="5">
        <v>6</v>
      </c>
      <c r="C18" s="18">
        <v>26</v>
      </c>
      <c r="E18" s="19">
        <v>85.881775000000005</v>
      </c>
      <c r="F18" s="20">
        <v>85.603470000000002</v>
      </c>
      <c r="G18" s="20">
        <v>85.460250000000002</v>
      </c>
      <c r="H18" s="21">
        <v>85.584239999999994</v>
      </c>
      <c r="I18" s="5">
        <f t="shared" si="0"/>
        <v>2.885699999998792E-2</v>
      </c>
      <c r="J18" s="5">
        <v>85.460250854492188</v>
      </c>
      <c r="K18" s="5">
        <v>76.919151306152344</v>
      </c>
      <c r="L18" s="22">
        <v>77.206230163574219</v>
      </c>
      <c r="M18" s="5"/>
      <c r="N18" s="5"/>
      <c r="O18" s="19">
        <v>71.941574000000003</v>
      </c>
      <c r="P18" s="20">
        <v>73.206609999999998</v>
      </c>
      <c r="Q18" s="20">
        <v>72.988299999999995</v>
      </c>
      <c r="R18" s="21">
        <v>72.473129999999998</v>
      </c>
      <c r="S18" s="5">
        <f t="shared" si="1"/>
        <v>0.5576132000000058</v>
      </c>
      <c r="T18" s="5">
        <v>72.988296508789063</v>
      </c>
      <c r="U18" s="5">
        <v>65.186622619628906</v>
      </c>
      <c r="V18" s="22">
        <v>68.323944091796875</v>
      </c>
      <c r="W18" s="5"/>
      <c r="X18" s="5"/>
      <c r="Y18" s="19">
        <v>11.558334</v>
      </c>
      <c r="Z18" s="20">
        <v>10.553158</v>
      </c>
      <c r="AA18" s="20">
        <v>9.7031919999999996</v>
      </c>
      <c r="AB18" s="21">
        <v>10.869096000000001</v>
      </c>
      <c r="AC18" s="5">
        <f t="shared" si="2"/>
        <v>6.8445000000139089E-4</v>
      </c>
      <c r="AD18" s="5">
        <v>9.7031917572021484</v>
      </c>
      <c r="AE18" s="5">
        <v>9.2447090148925781</v>
      </c>
      <c r="AF18" s="22">
        <v>11.57972621917725</v>
      </c>
      <c r="AG18" s="5"/>
      <c r="AH18" s="5"/>
      <c r="AI18" s="19">
        <v>6.3769099999999996</v>
      </c>
      <c r="AJ18" s="20">
        <v>6.7377677</v>
      </c>
      <c r="AK18" s="20">
        <v>6.2990174000000003</v>
      </c>
      <c r="AL18" s="21">
        <v>6.4607599999999996</v>
      </c>
      <c r="AM18" s="5">
        <f t="shared" si="3"/>
        <v>0.10057272999999967</v>
      </c>
      <c r="AN18" s="5">
        <v>6.2990174293518066</v>
      </c>
      <c r="AO18" s="5">
        <v>7.1490845680236816</v>
      </c>
      <c r="AP18" s="22">
        <v>7.0671591758728027</v>
      </c>
      <c r="AR18" s="5"/>
      <c r="AS18" s="19">
        <v>12.240325</v>
      </c>
      <c r="AT18" s="20">
        <v>9.9765280000000001</v>
      </c>
      <c r="AU18" s="20">
        <v>12.392091000000001</v>
      </c>
      <c r="AV18" s="21">
        <v>11.927603</v>
      </c>
      <c r="AW18" s="5">
        <f t="shared" si="4"/>
        <v>0.66260959999999969</v>
      </c>
      <c r="AX18" s="5">
        <v>12.39209079742432</v>
      </c>
      <c r="AY18" s="5">
        <v>11.826395034790041</v>
      </c>
      <c r="AZ18" s="22">
        <v>11.739432334899901</v>
      </c>
      <c r="BB18" s="5"/>
      <c r="BC18" s="19">
        <v>2.1917545999999999</v>
      </c>
      <c r="BD18" s="20">
        <v>1.5765488999999999</v>
      </c>
      <c r="BE18" s="20">
        <v>1.7860928</v>
      </c>
      <c r="BF18" s="21">
        <v>1.8400145999999999</v>
      </c>
      <c r="BG18" s="5">
        <f t="shared" si="5"/>
        <v>-0.20295653000000025</v>
      </c>
      <c r="BH18" s="5">
        <v>1.7860927581787109</v>
      </c>
      <c r="BI18" s="5">
        <v>2.2172188758850102</v>
      </c>
      <c r="BJ18" s="22">
        <v>2.2051544189453121</v>
      </c>
      <c r="BL18" s="5"/>
      <c r="BM18" s="19">
        <v>2.786918</v>
      </c>
      <c r="BN18" s="20">
        <v>6.4993242999999996</v>
      </c>
      <c r="BO18" s="20">
        <v>2.7400682000000001</v>
      </c>
      <c r="BP18" s="21">
        <v>2.8753202</v>
      </c>
      <c r="BQ18" s="5">
        <f t="shared" si="6"/>
        <v>-0.43484374999999975</v>
      </c>
      <c r="BR18" s="5">
        <v>2.7400681972503662</v>
      </c>
      <c r="BS18" s="5">
        <v>6.2878646850585938</v>
      </c>
      <c r="BT18" s="22">
        <v>6.9156107902526864</v>
      </c>
      <c r="BV18" s="5"/>
      <c r="BW18" s="19">
        <v>1.4060805999999999</v>
      </c>
      <c r="BX18" s="20">
        <v>1.2060133</v>
      </c>
      <c r="BY18" s="20">
        <v>1.4355818</v>
      </c>
      <c r="BZ18" s="21">
        <v>1.3881768000000001</v>
      </c>
      <c r="CA18" s="5">
        <f t="shared" si="7"/>
        <v>-0.37617662000000007</v>
      </c>
      <c r="CB18" s="5">
        <v>1.4355818033218379</v>
      </c>
      <c r="CC18" s="5">
        <v>1.5706913471221919</v>
      </c>
      <c r="CD18" s="22">
        <v>1.6917794942855831</v>
      </c>
      <c r="CG18">
        <v>1.2060133218765261</v>
      </c>
      <c r="CH18">
        <v>1.6209557056427</v>
      </c>
      <c r="CI18">
        <v>2.2319395542144771</v>
      </c>
      <c r="CL18">
        <v>1.4060806035995479</v>
      </c>
      <c r="CM18">
        <v>1.720643281936646</v>
      </c>
      <c r="CN18">
        <v>1.9645624160766599</v>
      </c>
    </row>
    <row r="19" spans="1:92" x14ac:dyDescent="0.25">
      <c r="A19" s="38"/>
      <c r="B19" s="5">
        <v>7</v>
      </c>
      <c r="C19" s="18">
        <v>31</v>
      </c>
      <c r="E19" s="19">
        <v>86.036709999999999</v>
      </c>
      <c r="F19" s="20">
        <v>84.913619999999995</v>
      </c>
      <c r="G19" s="20">
        <v>85.585944999999995</v>
      </c>
      <c r="H19" s="21">
        <v>85.537559999999999</v>
      </c>
      <c r="I19" s="5">
        <f t="shared" si="0"/>
        <v>0.18379199999998264</v>
      </c>
      <c r="J19" s="5">
        <v>85.585945129394531</v>
      </c>
      <c r="K19" s="5">
        <v>76.531532287597656</v>
      </c>
      <c r="L19" s="22">
        <v>84.5263671875</v>
      </c>
      <c r="M19" s="5"/>
      <c r="N19" s="5"/>
      <c r="O19" s="19">
        <v>72.198660000000004</v>
      </c>
      <c r="P19" s="20">
        <v>73.023380000000003</v>
      </c>
      <c r="Q19" s="20">
        <v>73.13203</v>
      </c>
      <c r="R19" s="21">
        <v>72.519806000000003</v>
      </c>
      <c r="S19" s="5">
        <f t="shared" si="1"/>
        <v>0.81469920000000684</v>
      </c>
      <c r="T19" s="5">
        <v>73.132026672363281</v>
      </c>
      <c r="U19" s="5">
        <v>67.79974365234375</v>
      </c>
      <c r="V19" s="22">
        <v>72.435111999511719</v>
      </c>
      <c r="W19" s="5"/>
      <c r="X19" s="5"/>
      <c r="Y19" s="19">
        <v>12.177493</v>
      </c>
      <c r="Z19" s="20">
        <v>10.994792</v>
      </c>
      <c r="AA19" s="20">
        <v>9.3765560000000008</v>
      </c>
      <c r="AB19" s="21">
        <v>11.139374</v>
      </c>
      <c r="AC19" s="5">
        <f t="shared" si="2"/>
        <v>0.61984345000000118</v>
      </c>
      <c r="AD19" s="5">
        <v>9.3765563964843768</v>
      </c>
      <c r="AE19" s="5">
        <v>11.490945816040041</v>
      </c>
      <c r="AF19" s="22">
        <v>9.0076255798339844</v>
      </c>
      <c r="AG19" s="5"/>
      <c r="AH19" s="5"/>
      <c r="AI19" s="19">
        <v>6.6622589999999997</v>
      </c>
      <c r="AJ19" s="20">
        <v>6.7528286</v>
      </c>
      <c r="AK19" s="20">
        <v>6.7243523999999999</v>
      </c>
      <c r="AL19" s="21">
        <v>6.5865125999999998</v>
      </c>
      <c r="AM19" s="5">
        <f t="shared" si="3"/>
        <v>0.38592172999999974</v>
      </c>
      <c r="AN19" s="5">
        <v>6.7243523597717294</v>
      </c>
      <c r="AO19" s="5">
        <v>6.5081243515014648</v>
      </c>
      <c r="AP19" s="22">
        <v>6.496403694152832</v>
      </c>
      <c r="AR19" s="5"/>
      <c r="AS19" s="19">
        <v>11.444222999999999</v>
      </c>
      <c r="AT19" s="20">
        <v>9.012537</v>
      </c>
      <c r="AU19" s="20">
        <v>11.906767</v>
      </c>
      <c r="AV19" s="21">
        <v>12.000488000000001</v>
      </c>
      <c r="AW19" s="5">
        <f t="shared" si="4"/>
        <v>-0.13349240000000151</v>
      </c>
      <c r="AX19" s="5">
        <v>11.90676689147949</v>
      </c>
      <c r="AY19" s="5">
        <v>11.838894844055179</v>
      </c>
      <c r="AZ19" s="22">
        <v>10.355598449707029</v>
      </c>
      <c r="BB19" s="5"/>
      <c r="BC19" s="19">
        <v>2.2934386999999998</v>
      </c>
      <c r="BD19" s="20">
        <v>1.701225</v>
      </c>
      <c r="BE19" s="20">
        <v>1.7246349999999999</v>
      </c>
      <c r="BF19" s="21">
        <v>2.0493692999999999</v>
      </c>
      <c r="BG19" s="5">
        <f t="shared" si="5"/>
        <v>-0.1012724300000003</v>
      </c>
      <c r="BH19" s="5">
        <v>1.724635004997253</v>
      </c>
      <c r="BI19" s="5">
        <v>2.1212871074676518</v>
      </c>
      <c r="BJ19" s="22">
        <v>1.534243226051331</v>
      </c>
      <c r="BL19" s="5"/>
      <c r="BM19" s="19">
        <v>2.5026445000000002</v>
      </c>
      <c r="BN19" s="20">
        <v>5.2414126000000003</v>
      </c>
      <c r="BO19" s="20">
        <v>2.6822225999999998</v>
      </c>
      <c r="BP19" s="21">
        <v>2.5740105999999998</v>
      </c>
      <c r="BQ19" s="5">
        <f t="shared" si="6"/>
        <v>-0.7191172499999996</v>
      </c>
      <c r="BR19" s="5">
        <v>2.6822226047515869</v>
      </c>
      <c r="BS19" s="5">
        <v>6.499781608581543</v>
      </c>
      <c r="BT19" s="22">
        <v>3.6755771636962891</v>
      </c>
      <c r="BV19" s="5"/>
      <c r="BW19" s="19">
        <v>1.6198919000000001</v>
      </c>
      <c r="BX19" s="20">
        <v>1.5092018</v>
      </c>
      <c r="BY19" s="20">
        <v>1.3662333</v>
      </c>
      <c r="BZ19" s="21">
        <v>1.3994378999999999</v>
      </c>
      <c r="CA19" s="5">
        <f t="shared" si="7"/>
        <v>-0.16236531999999992</v>
      </c>
      <c r="CB19" s="5">
        <v>1.366233348846436</v>
      </c>
      <c r="CC19" s="5">
        <v>1.598024845123291</v>
      </c>
      <c r="CD19" s="22">
        <v>1.1205699443817141</v>
      </c>
      <c r="CG19">
        <v>1.509201765060425</v>
      </c>
      <c r="CH19">
        <v>1.556315541267395</v>
      </c>
      <c r="CI19">
        <v>1.48686158657074</v>
      </c>
      <c r="CL19">
        <v>1.619891881942749</v>
      </c>
      <c r="CM19">
        <v>1.800543069839478</v>
      </c>
      <c r="CN19">
        <v>1.123385548591614</v>
      </c>
    </row>
    <row r="20" spans="1:92" x14ac:dyDescent="0.25">
      <c r="A20" s="38"/>
      <c r="B20" s="5">
        <v>8</v>
      </c>
      <c r="C20" s="18">
        <v>36</v>
      </c>
      <c r="E20" s="19">
        <v>85.637720000000002</v>
      </c>
      <c r="F20" s="20">
        <v>84.546859999999995</v>
      </c>
      <c r="G20" s="20">
        <v>85.654579999999996</v>
      </c>
      <c r="H20" s="21">
        <v>85.725179999999995</v>
      </c>
      <c r="I20" s="5">
        <f t="shared" si="0"/>
        <v>-0.2151980000000151</v>
      </c>
      <c r="J20" s="5">
        <f t="shared" ref="J20:K22" si="8">IF(OR(F20="",F20="NaN"),"",F20-AVERAGE(F$13:F$22))</f>
        <v>-0.749124000000009</v>
      </c>
      <c r="K20" s="5">
        <f t="shared" si="8"/>
        <v>-4.724170000001493E-2</v>
      </c>
      <c r="L20" s="22">
        <v>84.413139343261719</v>
      </c>
      <c r="M20" s="5"/>
      <c r="N20" s="5"/>
      <c r="O20" s="19">
        <v>72.526250000000005</v>
      </c>
      <c r="P20" s="20">
        <v>73.170424999999994</v>
      </c>
      <c r="Q20" s="20">
        <v>73.382869999999997</v>
      </c>
      <c r="R20" s="21">
        <v>72.677170000000004</v>
      </c>
      <c r="S20" s="5">
        <f t="shared" si="1"/>
        <v>1.1422892000000076</v>
      </c>
      <c r="T20" s="5">
        <f t="shared" ref="T20:U22" si="9">IF(OR(P20="",P20="NaN"),"",P20-AVERAGE(P$13:P$22))</f>
        <v>8.2684899999989625E-2</v>
      </c>
      <c r="U20" s="5">
        <f t="shared" si="9"/>
        <v>1.0047620999999936</v>
      </c>
      <c r="V20" s="22">
        <v>72.402732849121094</v>
      </c>
      <c r="W20" s="5"/>
      <c r="X20" s="5"/>
      <c r="Y20" s="19">
        <v>11.440713000000001</v>
      </c>
      <c r="Z20" s="20">
        <v>9.7124819999999996</v>
      </c>
      <c r="AA20" s="20">
        <v>9.6793709999999997</v>
      </c>
      <c r="AB20" s="21">
        <v>10.866249</v>
      </c>
      <c r="AC20" s="5">
        <f t="shared" si="2"/>
        <v>-0.11693654999999836</v>
      </c>
      <c r="AD20" s="5">
        <f t="shared" ref="AD20:AE22" si="10">IF(OR(Z20="",Z20="NaN"),"",Z20-AVERAGE(Z$13:Z$22))</f>
        <v>-2.3117629999999991</v>
      </c>
      <c r="AE20" s="5">
        <f t="shared" si="10"/>
        <v>-0.56636069999999883</v>
      </c>
      <c r="AF20" s="22">
        <v>10.220132827758791</v>
      </c>
      <c r="AG20" s="5"/>
      <c r="AH20" s="5"/>
      <c r="AI20" s="19">
        <v>6.0808166999999997</v>
      </c>
      <c r="AJ20" s="20">
        <v>6.7533836000000003</v>
      </c>
      <c r="AK20" s="20">
        <v>5.4476019999999998</v>
      </c>
      <c r="AL20" s="21">
        <v>5.4081216000000003</v>
      </c>
      <c r="AM20" s="5">
        <f t="shared" si="3"/>
        <v>-0.19552057000000023</v>
      </c>
      <c r="AN20" s="5">
        <f t="shared" ref="AN20:AO22" si="11">IF(OR(AJ20="",AJ20="NaN"),"",AJ20-AVERAGE(AJ$13:AJ$22))</f>
        <v>6.6679370000001015E-2</v>
      </c>
      <c r="AO20" s="5">
        <f t="shared" si="11"/>
        <v>-0.6164492500000005</v>
      </c>
      <c r="AP20" s="22">
        <v>6.5714364051818848</v>
      </c>
      <c r="AR20" s="5"/>
      <c r="AS20" s="19">
        <v>12.285486000000001</v>
      </c>
      <c r="AT20" s="20">
        <v>9.5211819999999996</v>
      </c>
      <c r="AU20" s="20">
        <v>10.457769000000001</v>
      </c>
      <c r="AV20" s="21">
        <v>12.425535999999999</v>
      </c>
      <c r="AW20" s="5">
        <f t="shared" si="4"/>
        <v>0.70777059999999992</v>
      </c>
      <c r="AX20" s="5">
        <f t="shared" ref="AX20:AY22" si="12">IF(OR(AT20="",AT20="NaN"),"",AT20-AVERAGE(AT$13:AT$22))</f>
        <v>7.6986800000000244E-2</v>
      </c>
      <c r="AY20" s="5">
        <f t="shared" si="12"/>
        <v>-1.1291305999999999</v>
      </c>
      <c r="AZ20" s="22">
        <v>9.7523403167724592</v>
      </c>
      <c r="BB20" s="5"/>
      <c r="BC20" s="19">
        <v>2.2091885000000002</v>
      </c>
      <c r="BD20" s="20">
        <v>1.6603857</v>
      </c>
      <c r="BE20" s="20">
        <v>1.6287396000000001</v>
      </c>
      <c r="BF20" s="21">
        <v>1.8449289</v>
      </c>
      <c r="BG20" s="5">
        <f t="shared" si="5"/>
        <v>-0.18552262999999991</v>
      </c>
      <c r="BH20" s="5">
        <f t="shared" ref="BH20:BI22" si="13">IF(OR(BD20="",BD20="NaN"),"",BD20-AVERAGE(BD$13:BD$22))</f>
        <v>-3.4822269999999822E-2</v>
      </c>
      <c r="BI20" s="5">
        <f t="shared" si="13"/>
        <v>-0.3005485299999997</v>
      </c>
      <c r="BJ20" s="22">
        <v>1.534243226051331</v>
      </c>
      <c r="BL20" s="5"/>
      <c r="BM20" s="19">
        <v>2.9341922</v>
      </c>
      <c r="BN20" s="20">
        <v>5.8085503999999997</v>
      </c>
      <c r="BO20" s="20">
        <v>2.9714005000000001</v>
      </c>
      <c r="BP20" s="21">
        <v>2.7392986000000001</v>
      </c>
      <c r="BQ20" s="5">
        <f t="shared" si="6"/>
        <v>-0.28756954999999973</v>
      </c>
      <c r="BR20" s="5">
        <f t="shared" ref="BR20:BS22" si="14">IF(OR(BN20="",BN20="NaN"),"",BN20-AVERAGE(BN$13:BN$22))</f>
        <v>-1.7136620000000491E-2</v>
      </c>
      <c r="BS20" s="5">
        <f t="shared" si="14"/>
        <v>6.1080449999999953E-2</v>
      </c>
      <c r="BT20" s="22">
        <v>5.3310890197753906</v>
      </c>
      <c r="BV20" s="5"/>
      <c r="BW20" s="19">
        <v>1.3048169999999999</v>
      </c>
      <c r="BX20" s="20">
        <v>1.1851052</v>
      </c>
      <c r="BY20" s="20">
        <v>1.1272464</v>
      </c>
      <c r="BZ20" s="21">
        <v>1.2035769999999999</v>
      </c>
      <c r="CA20" s="5">
        <f t="shared" si="7"/>
        <v>-0.47744022000000008</v>
      </c>
      <c r="CB20" s="5">
        <f t="shared" ref="CB20:CC22" si="15">IF(OR(BX20="",BX20="NaN"),"",BX20-AVERAGE(BX$13:BX$22))</f>
        <v>-0.24078537</v>
      </c>
      <c r="CC20" s="5">
        <f t="shared" si="15"/>
        <v>-0.26785908999999997</v>
      </c>
      <c r="CD20" s="22">
        <v>1.241000652313232</v>
      </c>
      <c r="CI20">
        <v>1.433537364006042</v>
      </c>
      <c r="CN20">
        <v>1.2841030359268191</v>
      </c>
    </row>
    <row r="21" spans="1:92" x14ac:dyDescent="0.25">
      <c r="A21" s="38"/>
      <c r="B21" s="5">
        <v>9</v>
      </c>
      <c r="C21" s="18">
        <v>41</v>
      </c>
      <c r="E21" s="19">
        <v>85.724149999999995</v>
      </c>
      <c r="F21" s="20">
        <v>85.244489999999999</v>
      </c>
      <c r="G21" s="20">
        <v>85.616590000000002</v>
      </c>
      <c r="H21" s="21">
        <v>85.823080000000004</v>
      </c>
      <c r="I21" s="5">
        <f t="shared" si="0"/>
        <v>-0.1287680000000222</v>
      </c>
      <c r="J21" s="5">
        <f t="shared" si="8"/>
        <v>-5.1494000000005258E-2</v>
      </c>
      <c r="K21" s="5">
        <f t="shared" si="8"/>
        <v>-8.5231700000008459E-2</v>
      </c>
      <c r="L21" s="22">
        <v>83.84271240234375</v>
      </c>
      <c r="M21" s="5"/>
      <c r="N21" s="5"/>
      <c r="O21" s="19">
        <v>71.633309999999994</v>
      </c>
      <c r="P21" s="20">
        <v>73.339789999999994</v>
      </c>
      <c r="Q21" s="20">
        <v>72.407330000000002</v>
      </c>
      <c r="R21" s="21">
        <v>72.617639999999994</v>
      </c>
      <c r="S21" s="5">
        <f t="shared" si="1"/>
        <v>0.2493491999999975</v>
      </c>
      <c r="T21" s="5">
        <f t="shared" si="9"/>
        <v>0.25204989999998872</v>
      </c>
      <c r="U21" s="5">
        <f t="shared" si="9"/>
        <v>2.9222099999998363E-2</v>
      </c>
      <c r="V21" s="22">
        <v>72.330459594726563</v>
      </c>
      <c r="W21" s="5"/>
      <c r="X21" s="5"/>
      <c r="Y21" s="19">
        <v>13.972932999999999</v>
      </c>
      <c r="Z21" s="20">
        <v>18.091090000000001</v>
      </c>
      <c r="AA21" s="20">
        <v>11.529488000000001</v>
      </c>
      <c r="AB21" s="21">
        <v>11.37449</v>
      </c>
      <c r="AC21" s="5">
        <f t="shared" si="2"/>
        <v>2.4152834500000004</v>
      </c>
      <c r="AD21" s="5">
        <f t="shared" si="10"/>
        <v>6.0668450000000025</v>
      </c>
      <c r="AE21" s="5">
        <f t="shared" si="10"/>
        <v>1.2837563000000021</v>
      </c>
      <c r="AF21" s="22">
        <v>9.6805706024169922</v>
      </c>
      <c r="AG21" s="5"/>
      <c r="AH21" s="5"/>
      <c r="AI21" s="19">
        <v>6.6877560000000003</v>
      </c>
      <c r="AJ21" s="20">
        <v>6.7915650000000003</v>
      </c>
      <c r="AK21" s="20">
        <v>6.2548769999999996</v>
      </c>
      <c r="AL21" s="21">
        <v>6.6870500000000002</v>
      </c>
      <c r="AM21" s="5">
        <f t="shared" si="3"/>
        <v>0.41141873000000029</v>
      </c>
      <c r="AN21" s="5">
        <f t="shared" si="11"/>
        <v>0.10486077000000105</v>
      </c>
      <c r="AO21" s="5">
        <f t="shared" si="11"/>
        <v>0.19082574999999924</v>
      </c>
      <c r="AP21" s="22">
        <v>6.4893760681152344</v>
      </c>
      <c r="AR21" s="5"/>
      <c r="AS21" s="19">
        <v>11.139832</v>
      </c>
      <c r="AT21" s="20">
        <v>8.5948700000000002</v>
      </c>
      <c r="AU21" s="20">
        <v>11.889343999999999</v>
      </c>
      <c r="AV21" s="21">
        <v>11.968672</v>
      </c>
      <c r="AW21" s="5">
        <f t="shared" si="4"/>
        <v>-0.43788340000000048</v>
      </c>
      <c r="AX21" s="5">
        <f t="shared" si="12"/>
        <v>-0.84932519999999911</v>
      </c>
      <c r="AY21" s="5">
        <f t="shared" si="12"/>
        <v>0.30244439999999884</v>
      </c>
      <c r="AZ21" s="22">
        <v>10.234462738037109</v>
      </c>
      <c r="BB21" s="5"/>
      <c r="BC21" s="19">
        <v>2.320433</v>
      </c>
      <c r="BD21" s="20">
        <v>1.9654944999999999</v>
      </c>
      <c r="BE21" s="20">
        <v>2.2593222000000002</v>
      </c>
      <c r="BF21" s="21">
        <v>3.0443234000000001</v>
      </c>
      <c r="BG21" s="5">
        <f t="shared" si="5"/>
        <v>-7.4278130000000164E-2</v>
      </c>
      <c r="BH21" s="5">
        <f t="shared" si="13"/>
        <v>0.27028653000000014</v>
      </c>
      <c r="BI21" s="5">
        <f t="shared" si="13"/>
        <v>0.3300340700000004</v>
      </c>
      <c r="BJ21" s="22">
        <v>1.5404659509658809</v>
      </c>
      <c r="BL21" s="5"/>
      <c r="BM21" s="19">
        <v>5.4120109999999997</v>
      </c>
      <c r="BN21" s="20">
        <v>9.8310379999999995</v>
      </c>
      <c r="BO21" s="20">
        <v>2.8580024000000002</v>
      </c>
      <c r="BP21" s="21">
        <v>2.7354593</v>
      </c>
      <c r="BQ21" s="5">
        <f t="shared" si="6"/>
        <v>2.1902492499999999</v>
      </c>
      <c r="BR21" s="5">
        <f t="shared" si="14"/>
        <v>4.0053509799999993</v>
      </c>
      <c r="BS21" s="5">
        <f t="shared" si="14"/>
        <v>-5.2317649999999993E-2</v>
      </c>
      <c r="BT21" s="22">
        <v>4.1098618507385254</v>
      </c>
      <c r="BV21" s="5"/>
      <c r="BW21" s="19">
        <v>1.6254105999999999</v>
      </c>
      <c r="BX21" s="20">
        <v>1.7162299000000001</v>
      </c>
      <c r="BY21" s="20">
        <v>1.4685174999999999</v>
      </c>
      <c r="BZ21" s="21">
        <v>1.4622995999999999</v>
      </c>
      <c r="CA21" s="5">
        <f t="shared" si="7"/>
        <v>-0.15684662000000005</v>
      </c>
      <c r="CB21" s="5">
        <f t="shared" si="15"/>
        <v>0.29033933000000012</v>
      </c>
      <c r="CC21" s="5">
        <f t="shared" si="15"/>
        <v>7.3412009999999972E-2</v>
      </c>
      <c r="CD21" s="22">
        <v>1.2159533500671389</v>
      </c>
      <c r="CI21">
        <v>1.3437720537185669</v>
      </c>
      <c r="CN21">
        <v>1.1671692132949829</v>
      </c>
    </row>
    <row r="22" spans="1:92" x14ac:dyDescent="0.25">
      <c r="A22" s="39"/>
      <c r="B22" s="23">
        <v>10</v>
      </c>
      <c r="C22" s="24">
        <v>46</v>
      </c>
      <c r="E22" s="25">
        <v>86.08108</v>
      </c>
      <c r="F22" s="26">
        <v>84.876890000000003</v>
      </c>
      <c r="G22" s="26">
        <v>85.560776000000004</v>
      </c>
      <c r="H22" s="27">
        <v>86.073746</v>
      </c>
      <c r="I22" s="23">
        <f t="shared" si="0"/>
        <v>0.22816199999998332</v>
      </c>
      <c r="J22" s="23">
        <f t="shared" si="8"/>
        <v>-0.41909400000000119</v>
      </c>
      <c r="K22" s="23">
        <f t="shared" si="8"/>
        <v>-0.14104570000000649</v>
      </c>
      <c r="L22" s="28">
        <v>84.094032287597656</v>
      </c>
      <c r="M22" s="5"/>
      <c r="N22" s="5"/>
      <c r="O22" s="25">
        <v>72.740973999999994</v>
      </c>
      <c r="P22" s="26">
        <v>73.262726000000001</v>
      </c>
      <c r="Q22" s="26">
        <v>73.137023999999997</v>
      </c>
      <c r="R22" s="27">
        <v>72.976939999999999</v>
      </c>
      <c r="S22" s="23">
        <f t="shared" si="1"/>
        <v>1.3570131999999973</v>
      </c>
      <c r="T22" s="23">
        <f t="shared" si="9"/>
        <v>0.17498589999999581</v>
      </c>
      <c r="U22" s="23">
        <f t="shared" si="9"/>
        <v>0.75891609999999332</v>
      </c>
      <c r="V22" s="28">
        <v>72.294036865234375</v>
      </c>
      <c r="W22" s="5"/>
      <c r="X22" s="5"/>
      <c r="Y22" s="25">
        <v>11.220658</v>
      </c>
      <c r="Z22" s="26">
        <v>18.865220999999998</v>
      </c>
      <c r="AA22" s="26">
        <v>9.2864249999999995</v>
      </c>
      <c r="AB22" s="27">
        <v>9.4216750000000005</v>
      </c>
      <c r="AC22" s="23">
        <f t="shared" si="2"/>
        <v>-0.3369915499999987</v>
      </c>
      <c r="AD22" s="23">
        <f t="shared" si="10"/>
        <v>6.8409759999999995</v>
      </c>
      <c r="AE22" s="23">
        <f t="shared" si="10"/>
        <v>-0.95930669999999907</v>
      </c>
      <c r="AF22" s="28">
        <v>10.746468544006349</v>
      </c>
      <c r="AG22" s="5"/>
      <c r="AH22" s="5"/>
      <c r="AI22" s="25">
        <v>6.6608232999999997</v>
      </c>
      <c r="AJ22" s="26">
        <v>6.8051114000000004</v>
      </c>
      <c r="AK22" s="26">
        <v>6.5532320000000004</v>
      </c>
      <c r="AL22" s="27">
        <v>6.5956425999999997</v>
      </c>
      <c r="AM22" s="23">
        <f t="shared" si="3"/>
        <v>0.3844860299999997</v>
      </c>
      <c r="AN22" s="23">
        <f t="shared" si="11"/>
        <v>0.11840717000000112</v>
      </c>
      <c r="AO22" s="23">
        <f t="shared" si="11"/>
        <v>0.48918075000000005</v>
      </c>
      <c r="AP22" s="28">
        <v>6.7489418983459473</v>
      </c>
      <c r="AR22" s="5"/>
      <c r="AS22" s="25">
        <v>10.642576</v>
      </c>
      <c r="AT22" s="26">
        <v>9.7343639999999994</v>
      </c>
      <c r="AU22" s="26">
        <v>10.744802</v>
      </c>
      <c r="AV22" s="27">
        <v>11.744873</v>
      </c>
      <c r="AW22" s="23">
        <f t="shared" si="4"/>
        <v>-0.93513940000000062</v>
      </c>
      <c r="AX22" s="23">
        <f t="shared" si="12"/>
        <v>0.2901688</v>
      </c>
      <c r="AY22" s="23">
        <f t="shared" si="12"/>
        <v>-0.84209760000000067</v>
      </c>
      <c r="AZ22" s="28">
        <v>9.6568489074707031</v>
      </c>
      <c r="BB22" s="5"/>
      <c r="BC22" s="25">
        <v>1.6992166</v>
      </c>
      <c r="BD22" s="26">
        <v>1.9186171999999999</v>
      </c>
      <c r="BE22" s="26">
        <v>1.7455639999999999</v>
      </c>
      <c r="BF22" s="27">
        <v>1.7546828999999999</v>
      </c>
      <c r="BG22" s="23">
        <f t="shared" si="5"/>
        <v>-0.69549453000000017</v>
      </c>
      <c r="BH22" s="23">
        <f t="shared" si="13"/>
        <v>0.22340923000000013</v>
      </c>
      <c r="BI22" s="23">
        <f t="shared" si="13"/>
        <v>-0.18372412999999987</v>
      </c>
      <c r="BJ22" s="28">
        <v>1.547007083892822</v>
      </c>
      <c r="BL22" s="5"/>
      <c r="BM22" s="25">
        <v>2.5619266000000001</v>
      </c>
      <c r="BN22" s="26">
        <v>6.6097802999999997</v>
      </c>
      <c r="BO22" s="26">
        <v>2.6948892999999998</v>
      </c>
      <c r="BP22" s="27">
        <v>2.4185946</v>
      </c>
      <c r="BQ22" s="23">
        <f t="shared" si="6"/>
        <v>-0.6598351499999997</v>
      </c>
      <c r="BR22" s="23">
        <f t="shared" si="14"/>
        <v>0.78409327999999956</v>
      </c>
      <c r="BS22" s="23">
        <f t="shared" si="14"/>
        <v>-0.21543075000000034</v>
      </c>
      <c r="BT22" s="28">
        <v>5.0623183250427246</v>
      </c>
      <c r="BV22" s="5"/>
      <c r="BW22" s="25">
        <v>1.5343424000000001</v>
      </c>
      <c r="BX22" s="26">
        <v>1.6091036000000001</v>
      </c>
      <c r="BY22" s="26">
        <v>1.4191221000000001</v>
      </c>
      <c r="BZ22" s="27">
        <v>1.4723439</v>
      </c>
      <c r="CA22" s="23">
        <f t="shared" si="7"/>
        <v>-0.24791481999999987</v>
      </c>
      <c r="CB22" s="23">
        <f t="shared" si="15"/>
        <v>0.18321303000000011</v>
      </c>
      <c r="CC22" s="23">
        <f t="shared" si="15"/>
        <v>2.4016610000000105E-2</v>
      </c>
      <c r="CD22" s="28">
        <v>1.315123558044434</v>
      </c>
      <c r="CI22">
        <v>1.411273241043091</v>
      </c>
      <c r="CN22">
        <v>1.393185496330261</v>
      </c>
    </row>
    <row r="23" spans="1:92" x14ac:dyDescent="0.25">
      <c r="A23" s="37">
        <v>2</v>
      </c>
      <c r="B23" s="12">
        <v>1</v>
      </c>
      <c r="C23" s="13">
        <v>2</v>
      </c>
      <c r="E23" s="14">
        <v>76.645089999999996</v>
      </c>
      <c r="F23" s="15">
        <v>75.629580000000004</v>
      </c>
      <c r="G23" s="15">
        <v>76.628640000000004</v>
      </c>
      <c r="H23" s="16">
        <v>76.885900000000007</v>
      </c>
      <c r="I23" s="12">
        <f t="shared" ref="I23:I32" si="16">IF(OR(E23="",E23="NaN"),"",E23-AVERAGE(E$23:E$32))</f>
        <v>0.25977700000001391</v>
      </c>
      <c r="J23" s="12">
        <f t="shared" ref="J23:J32" si="17">IF(OR(F23="",F23="NaN"),"",F23-AVERAGE(F$23:F$32))</f>
        <v>0.33812960000001624</v>
      </c>
      <c r="K23" s="12">
        <f t="shared" ref="K23:K32" si="18">IF(OR(G23="",G23="NaN"),"",G23-AVERAGE(G$23:G$32))</f>
        <v>-0.14604300000000592</v>
      </c>
      <c r="L23" s="17">
        <v>83.877418518066406</v>
      </c>
      <c r="M23" s="5"/>
      <c r="N23" s="5"/>
      <c r="O23" s="14">
        <v>68.635319999999993</v>
      </c>
      <c r="P23" s="15">
        <v>68.982029999999995</v>
      </c>
      <c r="Q23" s="15">
        <v>69.206469999999996</v>
      </c>
      <c r="R23" s="16">
        <v>69.591255000000004</v>
      </c>
      <c r="S23" s="12">
        <f t="shared" ref="S23:S32" si="19">IF(OR(O23="",O23="NaN"),"",O23-AVERAGE(O$23:O$32))</f>
        <v>1.1787465999999966</v>
      </c>
      <c r="T23" s="12">
        <f t="shared" ref="T23:T32" si="20">IF(OR(P23="",P23="NaN"),"",P23-AVERAGE(P$23:P$32))</f>
        <v>0.54061059999999372</v>
      </c>
      <c r="U23" s="12">
        <f t="shared" ref="U23:U32" si="21">IF(OR(Q23="",Q23="NaN"),"",Q23-AVERAGE(Q$23:Q$32))</f>
        <v>1.4206360999999958</v>
      </c>
      <c r="V23" s="17">
        <v>72.096611022949219</v>
      </c>
      <c r="W23" s="5"/>
      <c r="X23" s="5"/>
      <c r="Y23" s="14">
        <v>14.268765</v>
      </c>
      <c r="Z23" s="15">
        <v>11.467784999999999</v>
      </c>
      <c r="AA23" s="15">
        <v>9.7195119999999999</v>
      </c>
      <c r="AB23" s="16">
        <v>9.2231749999999995</v>
      </c>
      <c r="AC23" s="12">
        <f t="shared" ref="AC23:AC32" si="22">IF(OR(Y23="",Y23="NaN"),"",Y23-AVERAGE(Y$23:Y$32))</f>
        <v>-4.2951572000000002</v>
      </c>
      <c r="AD23" s="12">
        <f t="shared" ref="AD23:AD32" si="23">IF(OR(Z23="",Z23="NaN"),"",Z23-AVERAGE(Z$23:Z$32))</f>
        <v>-4.9649329000000009</v>
      </c>
      <c r="AE23" s="12">
        <f t="shared" ref="AE23:AE32" si="24">IF(OR(AA23="",AA23="NaN"),"",AA23-AVERAGE(AA$23:AA$32))</f>
        <v>-1.4687432999999999</v>
      </c>
      <c r="AF23" s="17">
        <v>9.5764408111572283</v>
      </c>
      <c r="AG23" s="5"/>
      <c r="AH23" s="5"/>
      <c r="AI23" s="14">
        <v>6.5816517000000001</v>
      </c>
      <c r="AJ23" s="15">
        <v>6.9131494</v>
      </c>
      <c r="AK23" s="15">
        <v>5.2024407000000004</v>
      </c>
      <c r="AL23" s="16">
        <v>5.9504409999999996</v>
      </c>
      <c r="AM23" s="12">
        <f t="shared" ref="AM23:AM32" si="25">IF(OR(AI23="",AI23="NaN"),"",AI23-AVERAGE(AI$23:AI$32))</f>
        <v>-0.27806611000000103</v>
      </c>
      <c r="AN23" s="12">
        <f t="shared" ref="AN23:AN32" si="26">IF(OR(AJ23="",AJ23="NaN"),"",AJ23-AVERAGE(AJ$23:AJ$32))</f>
        <v>-0.16196828999999902</v>
      </c>
      <c r="AO23" s="12">
        <f t="shared" ref="AO23:AO32" si="27">IF(OR(AK23="",AK23="NaN"),"",AK23-AVERAGE(AK$23:AK$32))</f>
        <v>-1.5029217499999978</v>
      </c>
      <c r="AP23" s="17">
        <v>6.950617790222168</v>
      </c>
      <c r="AR23" s="5"/>
      <c r="AS23" s="14">
        <v>12.058401</v>
      </c>
      <c r="AT23" s="15">
        <v>10.984336000000001</v>
      </c>
      <c r="AU23" s="15">
        <v>10.752469</v>
      </c>
      <c r="AV23" s="16">
        <v>11.178887</v>
      </c>
      <c r="AW23" s="12">
        <f t="shared" ref="AW23:AW32" si="28">IF(OR(AS23="",AS23="NaN"),"",AS23-AVERAGE(AS$23:AS$32))</f>
        <v>1.5707499999999541E-2</v>
      </c>
      <c r="AX23" s="12">
        <f t="shared" ref="AX23:AX32" si="29">IF(OR(AT23="",AT23="NaN"),"",AT23-AVERAGE(AT$23:AT$32))</f>
        <v>-0.71718380000000082</v>
      </c>
      <c r="AY23" s="12">
        <f t="shared" ref="AY23:AY32" si="30">IF(OR(AU23="",AU23="NaN"),"",AU23-AVERAGE(AU$23:AU$32))</f>
        <v>-0.89597455000000004</v>
      </c>
      <c r="AZ23" s="17">
        <v>9.1681613922119141</v>
      </c>
      <c r="BB23" s="5"/>
      <c r="BC23" s="14">
        <v>2.1390600000000002</v>
      </c>
      <c r="BD23" s="15">
        <v>2.3492069999999998</v>
      </c>
      <c r="BE23" s="15">
        <v>2.0649822000000002</v>
      </c>
      <c r="BF23" s="16">
        <v>2.0734059999999999</v>
      </c>
      <c r="BG23" s="12">
        <f t="shared" ref="BG23:BG32" si="31">IF(OR(BC23="",BC23="NaN"),"",BC23-AVERAGE(BC$23:BC$32))</f>
        <v>-0.28802013999999998</v>
      </c>
      <c r="BH23" s="12">
        <f t="shared" ref="BH23:BH32" si="32">IF(OR(BD23="",BD23="NaN"),"",BD23-AVERAGE(BD$23:BD$32))</f>
        <v>2.8435669999999469E-2</v>
      </c>
      <c r="BI23" s="12">
        <f t="shared" ref="BI23:BI32" si="33">IF(OR(BE23="",BE23="NaN"),"",BE23-AVERAGE(BE$23:BE$32))</f>
        <v>-9.9970669999999817E-2</v>
      </c>
      <c r="BJ23" s="17">
        <v>1.5534571409225459</v>
      </c>
      <c r="BL23" s="5"/>
      <c r="BM23" s="14">
        <v>8.9781060000000004</v>
      </c>
      <c r="BN23" s="15">
        <v>3.8087439999999999</v>
      </c>
      <c r="BO23" s="15">
        <v>4.8014250000000001</v>
      </c>
      <c r="BP23" s="16">
        <v>6.6840890000000002</v>
      </c>
      <c r="BQ23" s="12">
        <f t="shared" ref="BQ23:BQ32" si="34">IF(OR(BM23="",BM23="NaN"),"",BM23-AVERAGE(BM$23:BM$32))</f>
        <v>-1.9442402299999983</v>
      </c>
      <c r="BR23" s="12">
        <f t="shared" ref="BR23:BR32" si="35">IF(OR(BN23="",BN23="NaN"),"",BN23-AVERAGE(BN$23:BN$32))</f>
        <v>-6.4148705999999995</v>
      </c>
      <c r="BS23" s="12">
        <f t="shared" ref="BS23:BS32" si="36">IF(OR(BO23="",BO23="NaN"),"",BO23-AVERAGE(BO$23:BO$32))</f>
        <v>-1.7353435600000005</v>
      </c>
      <c r="BT23" s="17">
        <v>4.1242623329162598</v>
      </c>
      <c r="BV23" s="5"/>
      <c r="BW23" s="14">
        <v>1.6934617000000001</v>
      </c>
      <c r="BX23" s="15">
        <v>1.4935434000000001</v>
      </c>
      <c r="BY23" s="15">
        <v>1.2088577</v>
      </c>
      <c r="BZ23" s="16">
        <v>1.4221809999999999</v>
      </c>
      <c r="CA23" s="12">
        <f t="shared" ref="CA23:CA32" si="37">IF(OR(BW23="",BW23="NaN"),"",BW23-AVERAGE(BW$23:BW$32))</f>
        <v>-0.23762140999999981</v>
      </c>
      <c r="CB23" s="12">
        <f t="shared" ref="CB23:CB32" si="38">IF(OR(BX23="",BX23="NaN"),"",BX23-AVERAGE(BX$23:BX$32))</f>
        <v>-0.49033789000000039</v>
      </c>
      <c r="CC23" s="12">
        <f t="shared" ref="CC23:CC32" si="39">IF(OR(BY23="",BY23="NaN"),"",BY23-AVERAGE(BY$23:BY$32))</f>
        <v>-0.36215583999999978</v>
      </c>
      <c r="CD23" s="17">
        <v>1.1910765171051021</v>
      </c>
      <c r="CI23">
        <v>1.898577928543091</v>
      </c>
      <c r="CN23">
        <v>1.5140019655227659</v>
      </c>
    </row>
    <row r="24" spans="1:92" x14ac:dyDescent="0.25">
      <c r="A24" s="38"/>
      <c r="B24" s="5">
        <v>2</v>
      </c>
      <c r="C24" s="18">
        <v>7</v>
      </c>
      <c r="E24" s="19">
        <v>76.908940000000001</v>
      </c>
      <c r="F24" s="20">
        <v>72.782039999999995</v>
      </c>
      <c r="G24" s="20">
        <v>76.239289999999997</v>
      </c>
      <c r="H24" s="21">
        <v>76.658264000000003</v>
      </c>
      <c r="I24" s="5">
        <f t="shared" si="16"/>
        <v>0.52362700000001894</v>
      </c>
      <c r="J24" s="5">
        <f t="shared" si="17"/>
        <v>-2.509410399999993</v>
      </c>
      <c r="K24" s="5">
        <f t="shared" si="18"/>
        <v>-0.53539300000001333</v>
      </c>
      <c r="L24" s="22">
        <v>83.612510681152344</v>
      </c>
      <c r="M24" s="5"/>
      <c r="N24" s="5"/>
      <c r="O24" s="19">
        <v>69.440185999999997</v>
      </c>
      <c r="P24" s="20">
        <v>72.392560000000003</v>
      </c>
      <c r="Q24" s="20">
        <v>69.33972</v>
      </c>
      <c r="R24" s="21">
        <v>69.570014999999998</v>
      </c>
      <c r="S24" s="5">
        <f t="shared" si="19"/>
        <v>1.9836126000000007</v>
      </c>
      <c r="T24" s="5">
        <f t="shared" si="20"/>
        <v>3.9511406000000022</v>
      </c>
      <c r="U24" s="5">
        <f t="shared" si="21"/>
        <v>1.5538860999999997</v>
      </c>
      <c r="V24" s="22">
        <v>72.5230712890625</v>
      </c>
      <c r="W24" s="5"/>
      <c r="X24" s="5"/>
      <c r="Y24" s="19">
        <v>12.705204</v>
      </c>
      <c r="Z24" s="20">
        <v>16.836493999999998</v>
      </c>
      <c r="AA24" s="20">
        <v>11.493596999999999</v>
      </c>
      <c r="AB24" s="21">
        <v>9.1375930000000007</v>
      </c>
      <c r="AC24" s="5">
        <f t="shared" si="22"/>
        <v>-5.8587182000000002</v>
      </c>
      <c r="AD24" s="5">
        <f t="shared" si="23"/>
        <v>0.40377609999999819</v>
      </c>
      <c r="AE24" s="5">
        <f t="shared" si="24"/>
        <v>0.30534169999999961</v>
      </c>
      <c r="AF24" s="22">
        <v>9.8516111373901367</v>
      </c>
      <c r="AG24" s="5"/>
      <c r="AH24" s="5"/>
      <c r="AI24" s="19">
        <v>6.6175030000000001</v>
      </c>
      <c r="AJ24" s="20">
        <v>6.907292</v>
      </c>
      <c r="AK24" s="20">
        <v>5.2606834999999998</v>
      </c>
      <c r="AL24" s="21">
        <v>6.2515492000000004</v>
      </c>
      <c r="AM24" s="5">
        <f t="shared" si="25"/>
        <v>-0.242214810000001</v>
      </c>
      <c r="AN24" s="5">
        <f t="shared" si="26"/>
        <v>-0.16782568999999903</v>
      </c>
      <c r="AO24" s="5">
        <f t="shared" si="27"/>
        <v>-1.4446789499999984</v>
      </c>
      <c r="AP24" s="22">
        <v>6.4325990676879883</v>
      </c>
      <c r="AR24" s="5"/>
      <c r="AS24" s="19">
        <v>12.169345</v>
      </c>
      <c r="AT24" s="20">
        <v>10.585461</v>
      </c>
      <c r="AU24" s="20">
        <v>10.8361845</v>
      </c>
      <c r="AV24" s="21">
        <v>11.235503</v>
      </c>
      <c r="AW24" s="5">
        <f t="shared" si="28"/>
        <v>0.12665149999999947</v>
      </c>
      <c r="AX24" s="5">
        <f t="shared" si="29"/>
        <v>-1.1160588000000011</v>
      </c>
      <c r="AY24" s="5">
        <f t="shared" si="30"/>
        <v>-0.81225904999999976</v>
      </c>
      <c r="AZ24" s="22">
        <v>9.8413009643554688</v>
      </c>
      <c r="BB24" s="5"/>
      <c r="BC24" s="19">
        <v>2.0867849999999999</v>
      </c>
      <c r="BD24" s="20">
        <v>2.2882817000000002</v>
      </c>
      <c r="BE24" s="20">
        <v>2.0703125</v>
      </c>
      <c r="BF24" s="21">
        <v>2.0703027000000001</v>
      </c>
      <c r="BG24" s="5">
        <f t="shared" si="31"/>
        <v>-0.34029514000000027</v>
      </c>
      <c r="BH24" s="5">
        <f t="shared" si="32"/>
        <v>-3.2489630000000158E-2</v>
      </c>
      <c r="BI24" s="5">
        <f t="shared" si="33"/>
        <v>-9.4640370000000029E-2</v>
      </c>
      <c r="BJ24" s="22">
        <v>1.530761122703552</v>
      </c>
      <c r="BL24" s="5"/>
      <c r="BM24" s="19">
        <v>10.204642</v>
      </c>
      <c r="BN24" s="20">
        <v>9.6108689999999992</v>
      </c>
      <c r="BO24" s="20">
        <v>6.4270253000000004</v>
      </c>
      <c r="BP24" s="21">
        <v>6.3635120000000001</v>
      </c>
      <c r="BQ24" s="5">
        <f t="shared" si="34"/>
        <v>-0.71770422999999894</v>
      </c>
      <c r="BR24" s="5">
        <f t="shared" si="35"/>
        <v>-0.61274560000000022</v>
      </c>
      <c r="BS24" s="5">
        <f t="shared" si="36"/>
        <v>-0.10974326000000012</v>
      </c>
      <c r="BT24" s="22">
        <v>3.9358978271484379</v>
      </c>
      <c r="BV24" s="5"/>
      <c r="BW24" s="19">
        <v>1.6001259000000001</v>
      </c>
      <c r="BX24" s="20">
        <v>1.3125399</v>
      </c>
      <c r="BY24" s="20">
        <v>1.1727244999999999</v>
      </c>
      <c r="BZ24" s="21">
        <v>1.4919899999999999</v>
      </c>
      <c r="CA24" s="5">
        <f t="shared" si="37"/>
        <v>-0.33095720999999978</v>
      </c>
      <c r="CB24" s="5">
        <f t="shared" si="38"/>
        <v>-0.67134139000000048</v>
      </c>
      <c r="CC24" s="5">
        <f t="shared" si="39"/>
        <v>-0.39828903999999987</v>
      </c>
      <c r="CD24" s="22">
        <v>1.120856046676636</v>
      </c>
      <c r="CI24">
        <v>1.8098682165145881</v>
      </c>
      <c r="CN24">
        <v>1.184213399887085</v>
      </c>
    </row>
    <row r="25" spans="1:92" x14ac:dyDescent="0.25">
      <c r="A25" s="38"/>
      <c r="B25" s="5">
        <v>3</v>
      </c>
      <c r="C25" s="18">
        <v>12</v>
      </c>
      <c r="E25" s="19">
        <v>75.901169999999993</v>
      </c>
      <c r="F25" s="20">
        <v>75.860770000000002</v>
      </c>
      <c r="G25" s="20">
        <v>76.919150000000002</v>
      </c>
      <c r="H25" s="21">
        <v>76.903464999999997</v>
      </c>
      <c r="I25" s="5">
        <f t="shared" si="16"/>
        <v>-0.48414299999998889</v>
      </c>
      <c r="J25" s="5">
        <f t="shared" si="17"/>
        <v>0.56931960000001425</v>
      </c>
      <c r="K25" s="5">
        <f t="shared" si="18"/>
        <v>0.14446699999999169</v>
      </c>
      <c r="L25" s="22">
        <v>83.48504638671875</v>
      </c>
      <c r="M25" s="5"/>
      <c r="N25" s="5"/>
      <c r="O25" s="19">
        <v>65.419585999999995</v>
      </c>
      <c r="P25" s="20">
        <v>67.410870000000003</v>
      </c>
      <c r="Q25" s="20">
        <v>65.186620000000005</v>
      </c>
      <c r="R25" s="21">
        <v>65.666213999999997</v>
      </c>
      <c r="S25" s="5">
        <f t="shared" si="19"/>
        <v>-2.036987400000001</v>
      </c>
      <c r="T25" s="5">
        <f t="shared" si="20"/>
        <v>-1.0305493999999982</v>
      </c>
      <c r="U25" s="5">
        <f t="shared" si="21"/>
        <v>-2.5992138999999952</v>
      </c>
      <c r="V25" s="22">
        <v>72.365554809570313</v>
      </c>
      <c r="W25" s="5"/>
      <c r="X25" s="5"/>
      <c r="Y25" s="19">
        <v>12.152516</v>
      </c>
      <c r="Z25" s="20">
        <v>10.90185</v>
      </c>
      <c r="AA25" s="20">
        <v>9.2447090000000003</v>
      </c>
      <c r="AB25" s="21">
        <v>9.4845070000000007</v>
      </c>
      <c r="AC25" s="5">
        <f t="shared" si="22"/>
        <v>-6.4114062000000001</v>
      </c>
      <c r="AD25" s="5">
        <f t="shared" si="23"/>
        <v>-5.5308679000000005</v>
      </c>
      <c r="AE25" s="5">
        <f t="shared" si="24"/>
        <v>-1.9435462999999995</v>
      </c>
      <c r="AF25" s="22">
        <v>9.4408035278320313</v>
      </c>
      <c r="AG25" s="5"/>
      <c r="AH25" s="5"/>
      <c r="AI25" s="19">
        <v>7.4847029999999997</v>
      </c>
      <c r="AJ25" s="20">
        <v>7.5778949999999998</v>
      </c>
      <c r="AK25" s="20">
        <v>7.1490846000000001</v>
      </c>
      <c r="AL25" s="21">
        <v>7.1452819999999999</v>
      </c>
      <c r="AM25" s="5">
        <f t="shared" si="25"/>
        <v>0.62498518999999852</v>
      </c>
      <c r="AN25" s="5">
        <f t="shared" si="26"/>
        <v>0.50277731000000081</v>
      </c>
      <c r="AO25" s="5">
        <f t="shared" si="27"/>
        <v>0.44372215000000192</v>
      </c>
      <c r="AP25" s="22">
        <v>6.4983706474304199</v>
      </c>
      <c r="AR25" s="5"/>
      <c r="AS25" s="19">
        <v>12.0526085</v>
      </c>
      <c r="AT25" s="20">
        <v>11.966831000000001</v>
      </c>
      <c r="AU25" s="20">
        <v>11.826395</v>
      </c>
      <c r="AV25" s="21">
        <v>11.813955</v>
      </c>
      <c r="AW25" s="5">
        <f t="shared" si="28"/>
        <v>9.914999999999452E-3</v>
      </c>
      <c r="AX25" s="5">
        <f t="shared" si="29"/>
        <v>0.2653111999999993</v>
      </c>
      <c r="AY25" s="5">
        <f t="shared" si="30"/>
        <v>0.17795145000000012</v>
      </c>
      <c r="AZ25" s="22">
        <v>10.00447940826416</v>
      </c>
      <c r="BB25" s="5"/>
      <c r="BC25" s="19">
        <v>2.5731652</v>
      </c>
      <c r="BD25" s="20">
        <v>2.1588780000000001</v>
      </c>
      <c r="BE25" s="20">
        <v>2.2172189000000002</v>
      </c>
      <c r="BF25" s="21">
        <v>2.3166354</v>
      </c>
      <c r="BG25" s="5">
        <f t="shared" si="31"/>
        <v>0.14608505999999988</v>
      </c>
      <c r="BH25" s="5">
        <f t="shared" si="32"/>
        <v>-0.16189333000000028</v>
      </c>
      <c r="BI25" s="5">
        <f t="shared" si="33"/>
        <v>5.2266030000000185E-2</v>
      </c>
      <c r="BJ25" s="22">
        <v>1.543917775154114</v>
      </c>
      <c r="BL25" s="5"/>
      <c r="BM25" s="19">
        <v>5.9990373000000004</v>
      </c>
      <c r="BN25" s="20">
        <v>6.4947309999999998</v>
      </c>
      <c r="BO25" s="20">
        <v>6.2878647000000001</v>
      </c>
      <c r="BP25" s="21">
        <v>4.9568149999999997</v>
      </c>
      <c r="BQ25" s="5">
        <f t="shared" si="34"/>
        <v>-4.9233089299999984</v>
      </c>
      <c r="BR25" s="5">
        <f t="shared" si="35"/>
        <v>-3.7288835999999996</v>
      </c>
      <c r="BS25" s="5">
        <f t="shared" si="36"/>
        <v>-0.24890386000000042</v>
      </c>
      <c r="BT25" s="22">
        <v>4.1139559745788574</v>
      </c>
      <c r="BV25" s="5"/>
      <c r="BW25" s="19">
        <v>1.7206433000000001</v>
      </c>
      <c r="BX25" s="20">
        <v>1.6209557000000001</v>
      </c>
      <c r="BY25" s="20">
        <v>1.5706913</v>
      </c>
      <c r="BZ25" s="21">
        <v>1.5048813999999999</v>
      </c>
      <c r="CA25" s="5">
        <f t="shared" si="37"/>
        <v>-0.21043980999999978</v>
      </c>
      <c r="CB25" s="5">
        <f t="shared" si="38"/>
        <v>-0.36292559000000035</v>
      </c>
      <c r="CC25" s="5">
        <f t="shared" si="39"/>
        <v>-3.2223999999980713E-4</v>
      </c>
      <c r="CD25" s="22">
        <v>1.1951556205749509</v>
      </c>
      <c r="CI25">
        <v>1.94743812084198</v>
      </c>
      <c r="CN25">
        <v>1.2195637226104741</v>
      </c>
    </row>
    <row r="26" spans="1:92" x14ac:dyDescent="0.25">
      <c r="A26" s="38"/>
      <c r="B26" s="5">
        <v>4</v>
      </c>
      <c r="C26" s="18">
        <v>17</v>
      </c>
      <c r="E26" s="19">
        <v>76.393469999999994</v>
      </c>
      <c r="F26" s="20">
        <v>72.718413999999996</v>
      </c>
      <c r="G26" s="20">
        <v>76.531530000000004</v>
      </c>
      <c r="H26" s="21">
        <v>76.463325999999995</v>
      </c>
      <c r="I26" s="5">
        <f t="shared" si="16"/>
        <v>8.1570000000112941E-3</v>
      </c>
      <c r="J26" s="5">
        <f t="shared" si="17"/>
        <v>-2.5730363999999923</v>
      </c>
      <c r="K26" s="5">
        <f t="shared" si="18"/>
        <v>-0.24315300000000661</v>
      </c>
      <c r="L26" s="22">
        <v>83.985702514648438</v>
      </c>
      <c r="M26" s="5"/>
      <c r="N26" s="5"/>
      <c r="O26" s="19">
        <v>67.888626000000002</v>
      </c>
      <c r="P26" s="20">
        <v>67.523229999999998</v>
      </c>
      <c r="Q26" s="20">
        <v>67.79974</v>
      </c>
      <c r="R26" s="21">
        <v>68.049644000000001</v>
      </c>
      <c r="S26" s="5">
        <f t="shared" si="19"/>
        <v>0.43205260000000578</v>
      </c>
      <c r="T26" s="5">
        <f t="shared" si="20"/>
        <v>-0.91818940000000282</v>
      </c>
      <c r="U26" s="5">
        <f t="shared" si="21"/>
        <v>1.390609999999981E-2</v>
      </c>
      <c r="V26" s="22">
        <v>72.241020202636719</v>
      </c>
      <c r="W26" s="5"/>
      <c r="X26" s="5"/>
      <c r="Y26" s="19">
        <v>14.960577000000001</v>
      </c>
      <c r="Z26" s="20">
        <v>13.209637000000001</v>
      </c>
      <c r="AA26" s="20">
        <v>11.490945999999999</v>
      </c>
      <c r="AB26" s="21">
        <v>11.180820000000001</v>
      </c>
      <c r="AC26" s="5">
        <f t="shared" si="22"/>
        <v>-3.6033451999999997</v>
      </c>
      <c r="AD26" s="5">
        <f t="shared" si="23"/>
        <v>-3.2230808999999994</v>
      </c>
      <c r="AE26" s="5">
        <f t="shared" si="24"/>
        <v>0.30269069999999942</v>
      </c>
      <c r="AF26" s="22">
        <v>9.0462112426757795</v>
      </c>
      <c r="AG26" s="5"/>
      <c r="AH26" s="5"/>
      <c r="AI26" s="19">
        <v>6.5767154999999997</v>
      </c>
      <c r="AJ26" s="20">
        <v>7.0108420000000002</v>
      </c>
      <c r="AK26" s="20">
        <v>6.5081243999999998</v>
      </c>
      <c r="AL26" s="21">
        <v>7.1730029999999996</v>
      </c>
      <c r="AM26" s="5">
        <f t="shared" si="25"/>
        <v>-0.28300231000000142</v>
      </c>
      <c r="AN26" s="5">
        <f t="shared" si="26"/>
        <v>-6.4275689999998775E-2</v>
      </c>
      <c r="AO26" s="5">
        <f t="shared" si="27"/>
        <v>-0.19723804999999839</v>
      </c>
      <c r="AP26" s="22">
        <v>6.3125429153442383</v>
      </c>
      <c r="AR26" s="5"/>
      <c r="AS26" s="19">
        <v>12.017811</v>
      </c>
      <c r="AT26" s="20">
        <v>12.015312</v>
      </c>
      <c r="AU26" s="20">
        <v>11.838895000000001</v>
      </c>
      <c r="AV26" s="21">
        <v>11.761946</v>
      </c>
      <c r="AW26" s="5">
        <f t="shared" si="28"/>
        <v>-2.4882500000000363E-2</v>
      </c>
      <c r="AX26" s="5">
        <f t="shared" si="29"/>
        <v>0.31379219999999819</v>
      </c>
      <c r="AY26" s="5">
        <f t="shared" si="30"/>
        <v>0.19045145000000119</v>
      </c>
      <c r="AZ26" s="22">
        <v>9.6831407546997088</v>
      </c>
      <c r="BB26" s="5"/>
      <c r="BC26" s="19">
        <v>2.3591405999999999</v>
      </c>
      <c r="BD26" s="20">
        <v>2.3441524999999999</v>
      </c>
      <c r="BE26" s="20">
        <v>2.1212870000000001</v>
      </c>
      <c r="BF26" s="21">
        <v>2.1928722999999999</v>
      </c>
      <c r="BG26" s="5">
        <f t="shared" si="31"/>
        <v>-6.7939540000000243E-2</v>
      </c>
      <c r="BH26" s="5">
        <f t="shared" si="32"/>
        <v>2.3381169999999507E-2</v>
      </c>
      <c r="BI26" s="5">
        <f t="shared" si="33"/>
        <v>-4.3665869999999884E-2</v>
      </c>
      <c r="BJ26" s="22">
        <v>1.638410687446594</v>
      </c>
      <c r="BL26" s="5"/>
      <c r="BM26" s="19">
        <v>7.0934609999999996</v>
      </c>
      <c r="BN26" s="20">
        <v>10.838108999999999</v>
      </c>
      <c r="BO26" s="20">
        <v>6.4997816000000004</v>
      </c>
      <c r="BP26" s="21">
        <v>7.4335779999999998</v>
      </c>
      <c r="BQ26" s="5">
        <f t="shared" si="34"/>
        <v>-3.8288852299999991</v>
      </c>
      <c r="BR26" s="5">
        <f t="shared" si="35"/>
        <v>0.61449439999999989</v>
      </c>
      <c r="BS26" s="5">
        <f t="shared" si="36"/>
        <v>-3.6986960000000124E-2</v>
      </c>
      <c r="BT26" s="22">
        <v>3.654746294021606</v>
      </c>
      <c r="BV26" s="5"/>
      <c r="BW26" s="19">
        <v>1.8005431000000001</v>
      </c>
      <c r="BX26" s="20">
        <v>1.5563155</v>
      </c>
      <c r="BY26" s="20">
        <v>1.5980247999999999</v>
      </c>
      <c r="BZ26" s="21">
        <v>1.5786947</v>
      </c>
      <c r="CA26" s="5">
        <f t="shared" si="37"/>
        <v>-0.13054000999999982</v>
      </c>
      <c r="CB26" s="5">
        <f t="shared" si="38"/>
        <v>-0.4275657900000005</v>
      </c>
      <c r="CC26" s="5">
        <f t="shared" si="39"/>
        <v>2.7011260000000092E-2</v>
      </c>
      <c r="CD26" s="22">
        <v>1.157731294631958</v>
      </c>
      <c r="CI26">
        <v>2.0559735298156738</v>
      </c>
      <c r="CN26">
        <v>1.163065552711487</v>
      </c>
    </row>
    <row r="27" spans="1:92" x14ac:dyDescent="0.25">
      <c r="A27" s="38"/>
      <c r="B27" s="5">
        <v>5</v>
      </c>
      <c r="C27" s="18">
        <v>22</v>
      </c>
      <c r="E27" s="19">
        <v>76.376469999999998</v>
      </c>
      <c r="F27" s="20">
        <v>74.703270000000003</v>
      </c>
      <c r="G27" s="20">
        <v>76.885760000000005</v>
      </c>
      <c r="H27" s="21">
        <v>76.554794000000001</v>
      </c>
      <c r="I27" s="5">
        <f t="shared" si="16"/>
        <v>-8.8429999999846132E-3</v>
      </c>
      <c r="J27" s="5">
        <f t="shared" si="17"/>
        <v>-0.58818039999998462</v>
      </c>
      <c r="K27" s="5">
        <f t="shared" si="18"/>
        <v>0.11107699999999454</v>
      </c>
      <c r="L27" s="22">
        <v>83.802452087402344</v>
      </c>
      <c r="M27" s="5"/>
      <c r="N27" s="5"/>
      <c r="O27" s="19">
        <v>68.180915999999996</v>
      </c>
      <c r="P27" s="20">
        <v>67.730819999999994</v>
      </c>
      <c r="Q27" s="20">
        <v>67.840180000000004</v>
      </c>
      <c r="R27" s="21">
        <v>67.987279999999998</v>
      </c>
      <c r="S27" s="5">
        <f t="shared" si="19"/>
        <v>0.72434259999999995</v>
      </c>
      <c r="T27" s="5">
        <f t="shared" si="20"/>
        <v>-0.71059940000000665</v>
      </c>
      <c r="U27" s="5">
        <f t="shared" si="21"/>
        <v>5.4346100000003617E-2</v>
      </c>
      <c r="V27" s="22">
        <v>72.175743103027344</v>
      </c>
      <c r="W27" s="5"/>
      <c r="X27" s="5"/>
      <c r="Y27" s="19">
        <v>16.455763000000001</v>
      </c>
      <c r="Z27" s="20">
        <v>14.092393</v>
      </c>
      <c r="AA27" s="20">
        <v>10.991037</v>
      </c>
      <c r="AB27" s="21">
        <v>11.324043</v>
      </c>
      <c r="AC27" s="5">
        <f t="shared" si="22"/>
        <v>-2.1081591999999993</v>
      </c>
      <c r="AD27" s="5">
        <f t="shared" si="23"/>
        <v>-2.3403249000000006</v>
      </c>
      <c r="AE27" s="5">
        <f t="shared" si="24"/>
        <v>-0.1972182999999994</v>
      </c>
      <c r="AF27" s="22">
        <v>10.69502639770508</v>
      </c>
      <c r="AG27" s="5"/>
      <c r="AH27" s="5"/>
      <c r="AI27" s="19">
        <v>6.528181</v>
      </c>
      <c r="AJ27" s="20">
        <v>6.9114440000000004</v>
      </c>
      <c r="AK27" s="20">
        <v>7.1491756000000004</v>
      </c>
      <c r="AL27" s="21">
        <v>6.9600724999999999</v>
      </c>
      <c r="AM27" s="5">
        <f t="shared" si="25"/>
        <v>-0.33153681000000113</v>
      </c>
      <c r="AN27" s="5">
        <f t="shared" si="26"/>
        <v>-0.16367368999999865</v>
      </c>
      <c r="AO27" s="5">
        <f t="shared" si="27"/>
        <v>0.44381315000000221</v>
      </c>
      <c r="AP27" s="22">
        <v>6.6585006713867188</v>
      </c>
      <c r="AR27" s="5"/>
      <c r="AS27" s="19">
        <v>12.056786000000001</v>
      </c>
      <c r="AT27" s="20">
        <v>11.944922999999999</v>
      </c>
      <c r="AU27" s="20">
        <v>11.876859</v>
      </c>
      <c r="AV27" s="21">
        <v>11.906317</v>
      </c>
      <c r="AW27" s="5">
        <f t="shared" si="28"/>
        <v>1.4092500000000285E-2</v>
      </c>
      <c r="AX27" s="5">
        <f t="shared" si="29"/>
        <v>0.24340319999999771</v>
      </c>
      <c r="AY27" s="5">
        <f t="shared" si="30"/>
        <v>0.22841544999999996</v>
      </c>
      <c r="AZ27" s="22">
        <v>8.8936071395874023</v>
      </c>
      <c r="BB27" s="5"/>
      <c r="BC27" s="19">
        <v>2.4465020000000002</v>
      </c>
      <c r="BD27" s="20">
        <v>2.3441524999999999</v>
      </c>
      <c r="BE27" s="20">
        <v>2.2045686</v>
      </c>
      <c r="BF27" s="21">
        <v>2.2209224999999999</v>
      </c>
      <c r="BG27" s="5">
        <f t="shared" si="31"/>
        <v>1.9421860000000013E-2</v>
      </c>
      <c r="BH27" s="5">
        <f t="shared" si="32"/>
        <v>2.3381169999999507E-2</v>
      </c>
      <c r="BI27" s="5">
        <f t="shared" si="33"/>
        <v>3.961572999999996E-2</v>
      </c>
      <c r="BJ27" s="22">
        <v>1.647276759147644</v>
      </c>
      <c r="BL27" s="5"/>
      <c r="BM27" s="19">
        <v>9.7845359999999992</v>
      </c>
      <c r="BN27" s="20">
        <v>11.154470999999999</v>
      </c>
      <c r="BO27" s="20">
        <v>6.2907190000000002</v>
      </c>
      <c r="BP27" s="21">
        <v>5.7768300000000004</v>
      </c>
      <c r="BQ27" s="5">
        <f t="shared" si="34"/>
        <v>-1.1378102299999995</v>
      </c>
      <c r="BR27" s="5">
        <f t="shared" si="35"/>
        <v>0.9308563999999997</v>
      </c>
      <c r="BS27" s="5">
        <f t="shared" si="36"/>
        <v>-0.24604956000000033</v>
      </c>
      <c r="BT27" s="22">
        <v>4.7411298751831046</v>
      </c>
      <c r="BV27" s="5"/>
      <c r="BW27" s="19">
        <v>1.8382881</v>
      </c>
      <c r="BX27" s="20">
        <v>1.7698592</v>
      </c>
      <c r="BY27" s="20">
        <v>1.6671115000000001</v>
      </c>
      <c r="BZ27" s="21">
        <v>1.6035607999999999</v>
      </c>
      <c r="CA27" s="5">
        <f t="shared" si="37"/>
        <v>-9.27950099999999E-2</v>
      </c>
      <c r="CB27" s="5">
        <f t="shared" si="38"/>
        <v>-0.2140220900000005</v>
      </c>
      <c r="CC27" s="5">
        <f t="shared" si="39"/>
        <v>9.609796000000026E-2</v>
      </c>
      <c r="CD27" s="22">
        <v>1.257280826568604</v>
      </c>
      <c r="CI27">
        <v>1.654712915420532</v>
      </c>
      <c r="CN27">
        <v>1.1630899906158449</v>
      </c>
    </row>
    <row r="28" spans="1:92" x14ac:dyDescent="0.25">
      <c r="A28" s="38"/>
      <c r="B28" s="5">
        <v>6</v>
      </c>
      <c r="C28" s="18">
        <v>27</v>
      </c>
      <c r="E28" s="19">
        <v>76.364040000000003</v>
      </c>
      <c r="F28" s="20">
        <v>76.204549999999998</v>
      </c>
      <c r="G28" s="20">
        <v>76.832790000000003</v>
      </c>
      <c r="H28" s="21">
        <v>76.919030000000006</v>
      </c>
      <c r="I28" s="5">
        <f t="shared" si="16"/>
        <v>-2.1272999999979447E-2</v>
      </c>
      <c r="J28" s="5">
        <f t="shared" si="17"/>
        <v>0.91309960000000956</v>
      </c>
      <c r="K28" s="5">
        <f t="shared" si="18"/>
        <v>5.8106999999992581E-2</v>
      </c>
      <c r="L28" s="22">
        <v>83.532272338867188</v>
      </c>
      <c r="M28" s="5"/>
      <c r="N28" s="5"/>
      <c r="O28" s="19">
        <v>66.428120000000007</v>
      </c>
      <c r="P28" s="20">
        <v>68.563779999999994</v>
      </c>
      <c r="Q28" s="20">
        <v>68.298199999999994</v>
      </c>
      <c r="R28" s="21">
        <v>68.866066000000004</v>
      </c>
      <c r="S28" s="5">
        <f t="shared" si="19"/>
        <v>-1.0284533999999894</v>
      </c>
      <c r="T28" s="5">
        <f t="shared" si="20"/>
        <v>0.12236059999999327</v>
      </c>
      <c r="U28" s="5">
        <f t="shared" si="21"/>
        <v>0.51236609999999416</v>
      </c>
      <c r="V28" s="22">
        <v>72.562583923339844</v>
      </c>
      <c r="W28" s="5"/>
      <c r="X28" s="5"/>
      <c r="Y28" s="19">
        <v>21.167432999999999</v>
      </c>
      <c r="Z28" s="20">
        <v>17.321669</v>
      </c>
      <c r="AA28" s="20">
        <v>10.269691</v>
      </c>
      <c r="AB28" s="21">
        <v>10.239891999999999</v>
      </c>
      <c r="AC28" s="5">
        <f t="shared" si="22"/>
        <v>2.6035107999999987</v>
      </c>
      <c r="AD28" s="5">
        <f t="shared" si="23"/>
        <v>0.88895109999999988</v>
      </c>
      <c r="AE28" s="5">
        <f t="shared" si="24"/>
        <v>-0.91856429999999989</v>
      </c>
      <c r="AF28" s="22">
        <v>9.7459526062011719</v>
      </c>
      <c r="AG28" s="5"/>
      <c r="AH28" s="5"/>
      <c r="AI28" s="19">
        <v>7.0484720000000003</v>
      </c>
      <c r="AJ28" s="20">
        <v>7.0177217000000001</v>
      </c>
      <c r="AK28" s="20">
        <v>6.9996999999999998</v>
      </c>
      <c r="AL28" s="21">
        <v>6.9548940000000004</v>
      </c>
      <c r="AM28" s="5">
        <f t="shared" si="25"/>
        <v>0.18875418999999916</v>
      </c>
      <c r="AN28" s="5">
        <f t="shared" si="26"/>
        <v>-5.7395989999998953E-2</v>
      </c>
      <c r="AO28" s="5">
        <f t="shared" si="27"/>
        <v>0.29433755000000161</v>
      </c>
      <c r="AP28" s="22">
        <v>6.4853081703186044</v>
      </c>
      <c r="AR28" s="5"/>
      <c r="AS28" s="19">
        <v>12.034902000000001</v>
      </c>
      <c r="AT28" s="20">
        <v>11.843277</v>
      </c>
      <c r="AU28" s="20">
        <v>11.717287000000001</v>
      </c>
      <c r="AV28" s="21">
        <v>11.680974000000001</v>
      </c>
      <c r="AW28" s="5">
        <f t="shared" si="28"/>
        <v>-7.7914999999997292E-3</v>
      </c>
      <c r="AX28" s="5">
        <f t="shared" si="29"/>
        <v>0.14175719999999892</v>
      </c>
      <c r="AY28" s="5">
        <f t="shared" si="30"/>
        <v>6.8843450000001027E-2</v>
      </c>
      <c r="AZ28" s="22">
        <v>10.022305488586429</v>
      </c>
      <c r="BB28" s="5"/>
      <c r="BC28" s="19">
        <v>2.4779591999999999</v>
      </c>
      <c r="BD28" s="20">
        <v>2.3398354000000001</v>
      </c>
      <c r="BE28" s="20">
        <v>2.2051544000000001</v>
      </c>
      <c r="BF28" s="21">
        <v>2.2096836999999998</v>
      </c>
      <c r="BG28" s="5">
        <f t="shared" si="31"/>
        <v>5.0879059999999754E-2</v>
      </c>
      <c r="BH28" s="5">
        <f t="shared" si="32"/>
        <v>1.9064069999999766E-2</v>
      </c>
      <c r="BI28" s="5">
        <f t="shared" si="33"/>
        <v>4.0201530000000041E-2</v>
      </c>
      <c r="BJ28" s="22">
        <v>1.543917775154114</v>
      </c>
      <c r="BL28" s="5"/>
      <c r="BM28" s="19">
        <v>12.393164000000001</v>
      </c>
      <c r="BN28" s="20">
        <v>10.619918999999999</v>
      </c>
      <c r="BO28" s="20">
        <v>6.7219340000000001</v>
      </c>
      <c r="BP28" s="21">
        <v>6.3774785999999999</v>
      </c>
      <c r="BQ28" s="5">
        <f t="shared" si="34"/>
        <v>1.4708177700000018</v>
      </c>
      <c r="BR28" s="5">
        <f t="shared" si="35"/>
        <v>0.3963044</v>
      </c>
      <c r="BS28" s="5">
        <f t="shared" si="36"/>
        <v>0.18516543999999957</v>
      </c>
      <c r="BT28" s="22">
        <v>4.4458980560302734</v>
      </c>
      <c r="BV28" s="5"/>
      <c r="BW28" s="19">
        <v>1.8410770999999999</v>
      </c>
      <c r="BX28" s="20">
        <v>1.7517332999999999</v>
      </c>
      <c r="BY28" s="20">
        <v>1.6992828</v>
      </c>
      <c r="BZ28" s="21">
        <v>1.656836</v>
      </c>
      <c r="CA28" s="5">
        <f t="shared" si="37"/>
        <v>-9.000600999999997E-2</v>
      </c>
      <c r="CB28" s="5">
        <f t="shared" si="38"/>
        <v>-0.23214799000000053</v>
      </c>
      <c r="CC28" s="5">
        <f t="shared" si="39"/>
        <v>0.12826926000000016</v>
      </c>
      <c r="CD28" s="22">
        <v>1.1401717662811279</v>
      </c>
      <c r="CI28">
        <v>1.9006891250610349</v>
      </c>
      <c r="CN28">
        <v>1.75727391242981</v>
      </c>
    </row>
    <row r="29" spans="1:92" x14ac:dyDescent="0.25">
      <c r="A29" s="38"/>
      <c r="B29" s="5">
        <v>7</v>
      </c>
      <c r="C29" s="18">
        <v>32</v>
      </c>
      <c r="E29" s="19">
        <v>75.957809999999995</v>
      </c>
      <c r="F29" s="20">
        <v>76.023409999999998</v>
      </c>
      <c r="G29" s="20">
        <v>76.837789999999998</v>
      </c>
      <c r="H29" s="21">
        <v>76.570890000000006</v>
      </c>
      <c r="I29" s="5">
        <f t="shared" si="16"/>
        <v>-0.42750299999998731</v>
      </c>
      <c r="J29" s="5">
        <f t="shared" si="17"/>
        <v>0.73195960000001037</v>
      </c>
      <c r="K29" s="5">
        <f t="shared" si="18"/>
        <v>6.3106999999988034E-2</v>
      </c>
      <c r="L29" s="22">
        <v>85.006271362304688</v>
      </c>
      <c r="M29" s="5"/>
      <c r="N29" s="5"/>
      <c r="O29" s="19">
        <v>67.835830000000001</v>
      </c>
      <c r="P29" s="20">
        <v>67.354904000000005</v>
      </c>
      <c r="Q29" s="20">
        <v>67.862465</v>
      </c>
      <c r="R29" s="21">
        <v>67.910285999999999</v>
      </c>
      <c r="S29" s="5">
        <f t="shared" si="19"/>
        <v>0.37925660000000505</v>
      </c>
      <c r="T29" s="5">
        <f t="shared" si="20"/>
        <v>-1.0865153999999961</v>
      </c>
      <c r="U29" s="5">
        <f t="shared" si="21"/>
        <v>7.6631100000000174E-2</v>
      </c>
      <c r="V29" s="22">
        <v>72.430953979492188</v>
      </c>
      <c r="W29" s="5"/>
      <c r="X29" s="5"/>
      <c r="Y29" s="19">
        <v>20.298857000000002</v>
      </c>
      <c r="Z29" s="20">
        <v>17.330604999999998</v>
      </c>
      <c r="AA29" s="20">
        <v>13.534988999999999</v>
      </c>
      <c r="AB29" s="21">
        <v>11.635191000000001</v>
      </c>
      <c r="AC29" s="5">
        <f t="shared" si="22"/>
        <v>1.7349348000000013</v>
      </c>
      <c r="AD29" s="5">
        <f t="shared" si="23"/>
        <v>0.89788709999999838</v>
      </c>
      <c r="AE29" s="5">
        <f t="shared" si="24"/>
        <v>2.3467336999999997</v>
      </c>
      <c r="AF29" s="22">
        <v>9.7686004638671875</v>
      </c>
      <c r="AG29" s="5"/>
      <c r="AH29" s="5"/>
      <c r="AI29" s="19">
        <v>6.9728402999999997</v>
      </c>
      <c r="AJ29" s="20">
        <v>7.2090262999999997</v>
      </c>
      <c r="AK29" s="20">
        <v>7.3307520000000004</v>
      </c>
      <c r="AL29" s="21">
        <v>7.2363720000000002</v>
      </c>
      <c r="AM29" s="5">
        <f t="shared" si="25"/>
        <v>0.11312248999999852</v>
      </c>
      <c r="AN29" s="5">
        <f t="shared" si="26"/>
        <v>0.13390861000000065</v>
      </c>
      <c r="AO29" s="5">
        <f t="shared" si="27"/>
        <v>0.62538955000000218</v>
      </c>
      <c r="AP29" s="22">
        <v>6.9649996757507324</v>
      </c>
      <c r="AR29" s="5"/>
      <c r="AS29" s="19">
        <v>12.053413000000001</v>
      </c>
      <c r="AT29" s="20">
        <v>12.068267000000001</v>
      </c>
      <c r="AU29" s="20">
        <v>12.064894000000001</v>
      </c>
      <c r="AV29" s="21">
        <v>11.790407</v>
      </c>
      <c r="AW29" s="5">
        <f t="shared" si="28"/>
        <v>1.0719500000000437E-2</v>
      </c>
      <c r="AX29" s="5">
        <f t="shared" si="29"/>
        <v>0.36674719999999894</v>
      </c>
      <c r="AY29" s="5">
        <f t="shared" si="30"/>
        <v>0.41645045000000103</v>
      </c>
      <c r="AZ29" s="22">
        <v>10.335701942443849</v>
      </c>
      <c r="BB29" s="5"/>
      <c r="BC29" s="19">
        <v>2.4832098</v>
      </c>
      <c r="BD29" s="20">
        <v>2.3390531999999999</v>
      </c>
      <c r="BE29" s="20">
        <v>2.1029111999999999</v>
      </c>
      <c r="BF29" s="21">
        <v>2.2040312000000002</v>
      </c>
      <c r="BG29" s="5">
        <f t="shared" si="31"/>
        <v>5.6129659999999859E-2</v>
      </c>
      <c r="BH29" s="5">
        <f t="shared" si="32"/>
        <v>1.8281869999999589E-2</v>
      </c>
      <c r="BI29" s="5">
        <f t="shared" si="33"/>
        <v>-6.204167000000016E-2</v>
      </c>
      <c r="BJ29" s="22">
        <v>1.517341613769531</v>
      </c>
      <c r="BL29" s="5"/>
      <c r="BM29" s="19">
        <v>12.66882</v>
      </c>
      <c r="BN29" s="20">
        <v>11.580138</v>
      </c>
      <c r="BO29" s="20">
        <v>6.9005365000000003</v>
      </c>
      <c r="BP29" s="21">
        <v>7.6018439999999998</v>
      </c>
      <c r="BQ29" s="5">
        <f t="shared" si="34"/>
        <v>1.7464737700000015</v>
      </c>
      <c r="BR29" s="5">
        <f t="shared" si="35"/>
        <v>1.3565234000000004</v>
      </c>
      <c r="BS29" s="5">
        <f t="shared" si="36"/>
        <v>0.36376793999999979</v>
      </c>
      <c r="BT29" s="22">
        <v>6.5540618896484384</v>
      </c>
      <c r="BV29" s="5"/>
      <c r="BW29" s="19">
        <v>3.044422</v>
      </c>
      <c r="BX29" s="20">
        <v>2.9519850000000001</v>
      </c>
      <c r="BY29" s="20">
        <v>1.6751841999999999</v>
      </c>
      <c r="BZ29" s="21">
        <v>1.6221445000000001</v>
      </c>
      <c r="CA29" s="5">
        <f t="shared" si="37"/>
        <v>1.1133388900000001</v>
      </c>
      <c r="CB29" s="5">
        <f t="shared" si="38"/>
        <v>0.96810370999999962</v>
      </c>
      <c r="CC29" s="5">
        <f t="shared" si="39"/>
        <v>0.10417066000000008</v>
      </c>
      <c r="CD29" s="22">
        <v>1.287117123603821</v>
      </c>
      <c r="CI29">
        <v>2.14847731590271</v>
      </c>
      <c r="CN29">
        <v>1.3334993124008181</v>
      </c>
    </row>
    <row r="30" spans="1:92" x14ac:dyDescent="0.25">
      <c r="A30" s="38"/>
      <c r="B30" s="5">
        <v>8</v>
      </c>
      <c r="C30" s="18">
        <v>37</v>
      </c>
      <c r="E30" s="19">
        <v>76.345240000000004</v>
      </c>
      <c r="F30" s="20">
        <v>75.160989999999998</v>
      </c>
      <c r="G30" s="20">
        <v>76.623940000000005</v>
      </c>
      <c r="H30" s="21">
        <v>76.683059999999998</v>
      </c>
      <c r="I30" s="5">
        <f t="shared" si="16"/>
        <v>-4.0072999999978265E-2</v>
      </c>
      <c r="J30" s="5">
        <f t="shared" si="17"/>
        <v>-0.13046039999998982</v>
      </c>
      <c r="K30" s="5">
        <f t="shared" si="18"/>
        <v>-0.15074300000000562</v>
      </c>
      <c r="L30" s="22">
        <v>84.489425659179688</v>
      </c>
      <c r="M30" s="5"/>
      <c r="N30" s="5"/>
      <c r="O30" s="19">
        <v>68.125010000000003</v>
      </c>
      <c r="P30" s="20">
        <v>67.695059999999998</v>
      </c>
      <c r="Q30" s="20">
        <v>67.938990000000004</v>
      </c>
      <c r="R30" s="21">
        <v>68.239875999999995</v>
      </c>
      <c r="S30" s="5">
        <f t="shared" si="19"/>
        <v>0.66843660000000682</v>
      </c>
      <c r="T30" s="5">
        <f t="shared" si="20"/>
        <v>-0.74635940000000289</v>
      </c>
      <c r="U30" s="5">
        <f t="shared" si="21"/>
        <v>0.1531561000000039</v>
      </c>
      <c r="V30" s="22">
        <v>72.353988647460938</v>
      </c>
      <c r="W30" s="5"/>
      <c r="X30" s="5"/>
      <c r="Y30" s="19">
        <v>21.332386</v>
      </c>
      <c r="Z30" s="20">
        <v>18.700783000000001</v>
      </c>
      <c r="AA30" s="20">
        <v>11.269045</v>
      </c>
      <c r="AB30" s="21">
        <v>13.781136999999999</v>
      </c>
      <c r="AC30" s="5">
        <f t="shared" si="22"/>
        <v>2.7684637999999993</v>
      </c>
      <c r="AD30" s="5">
        <f t="shared" si="23"/>
        <v>2.2680651000000012</v>
      </c>
      <c r="AE30" s="5">
        <f t="shared" si="24"/>
        <v>8.0789700000000408E-2</v>
      </c>
      <c r="AF30" s="22">
        <v>9.7417697906494141</v>
      </c>
      <c r="AG30" s="5"/>
      <c r="AH30" s="5"/>
      <c r="AI30" s="19">
        <v>6.7176312999999999</v>
      </c>
      <c r="AJ30" s="20">
        <v>7.2326455000000003</v>
      </c>
      <c r="AK30" s="20">
        <v>7.2610197000000003</v>
      </c>
      <c r="AL30" s="21">
        <v>7.1481630000000003</v>
      </c>
      <c r="AM30" s="5">
        <f t="shared" si="25"/>
        <v>-0.14208651000000128</v>
      </c>
      <c r="AN30" s="5">
        <f t="shared" si="26"/>
        <v>0.15752781000000127</v>
      </c>
      <c r="AO30" s="5">
        <f t="shared" si="27"/>
        <v>0.5556572500000021</v>
      </c>
      <c r="AP30" s="22">
        <v>6.9776592254638672</v>
      </c>
      <c r="AR30" s="5"/>
      <c r="AS30" s="19">
        <v>12.150506</v>
      </c>
      <c r="AT30" s="20">
        <v>11.943605</v>
      </c>
      <c r="AU30" s="20">
        <v>12.073627</v>
      </c>
      <c r="AV30" s="21">
        <v>11.844367</v>
      </c>
      <c r="AW30" s="5">
        <f t="shared" si="28"/>
        <v>0.10781249999999964</v>
      </c>
      <c r="AX30" s="5">
        <f t="shared" si="29"/>
        <v>0.24208519999999822</v>
      </c>
      <c r="AY30" s="5">
        <f t="shared" si="30"/>
        <v>0.42518345000000046</v>
      </c>
      <c r="AZ30" s="22">
        <v>9.9864950180053729</v>
      </c>
      <c r="BB30" s="5"/>
      <c r="BC30" s="19">
        <v>2.4908233000000002</v>
      </c>
      <c r="BD30" s="20">
        <v>2.3650918000000001</v>
      </c>
      <c r="BE30" s="20">
        <v>2.222216</v>
      </c>
      <c r="BF30" s="21">
        <v>2.2375004000000001</v>
      </c>
      <c r="BG30" s="5">
        <f t="shared" si="31"/>
        <v>6.3743160000000021E-2</v>
      </c>
      <c r="BH30" s="5">
        <f t="shared" si="32"/>
        <v>4.4320469999999723E-2</v>
      </c>
      <c r="BI30" s="5">
        <f t="shared" si="33"/>
        <v>5.726312999999994E-2</v>
      </c>
      <c r="BJ30" s="22">
        <v>1.6349333524703979</v>
      </c>
      <c r="BL30" s="5"/>
      <c r="BM30" s="19">
        <v>12.434428</v>
      </c>
      <c r="BN30" s="20">
        <v>11.873151</v>
      </c>
      <c r="BO30" s="20">
        <v>6.4529715000000003</v>
      </c>
      <c r="BP30" s="21">
        <v>8.1420309999999994</v>
      </c>
      <c r="BQ30" s="5">
        <f t="shared" si="34"/>
        <v>1.5120817700000018</v>
      </c>
      <c r="BR30" s="5">
        <f t="shared" si="35"/>
        <v>1.6495364000000006</v>
      </c>
      <c r="BS30" s="5">
        <f t="shared" si="36"/>
        <v>-8.3797060000000201E-2</v>
      </c>
      <c r="BT30" s="22">
        <v>5.9315619468688956</v>
      </c>
      <c r="BV30" s="5"/>
      <c r="BW30" s="19">
        <v>1.902126</v>
      </c>
      <c r="BX30" s="20">
        <v>2.9397733000000001</v>
      </c>
      <c r="BY30" s="20">
        <v>1.6871605000000001</v>
      </c>
      <c r="BZ30" s="21">
        <v>1.6668122000000001</v>
      </c>
      <c r="CA30" s="5">
        <f t="shared" si="37"/>
        <v>-2.8957109999999897E-2</v>
      </c>
      <c r="CB30" s="5">
        <f t="shared" si="38"/>
        <v>0.95589200999999968</v>
      </c>
      <c r="CC30" s="5">
        <f t="shared" si="39"/>
        <v>0.11614696000000024</v>
      </c>
      <c r="CD30" s="22">
        <v>1.506964445114136</v>
      </c>
      <c r="CI30">
        <v>2.888738632202148</v>
      </c>
      <c r="CN30">
        <v>1.479685425758362</v>
      </c>
    </row>
    <row r="31" spans="1:92" x14ac:dyDescent="0.25">
      <c r="A31" s="38"/>
      <c r="B31" s="5">
        <v>9</v>
      </c>
      <c r="C31" s="18">
        <v>42</v>
      </c>
      <c r="E31" s="19">
        <v>76.40334</v>
      </c>
      <c r="F31" s="20">
        <v>76.90513</v>
      </c>
      <c r="G31" s="20">
        <v>77.041709999999995</v>
      </c>
      <c r="H31" s="21">
        <v>77.182699999999997</v>
      </c>
      <c r="I31" s="5">
        <f t="shared" si="16"/>
        <v>1.8027000000017779E-2</v>
      </c>
      <c r="J31" s="5">
        <f t="shared" si="17"/>
        <v>1.6136796000000118</v>
      </c>
      <c r="K31" s="5">
        <f t="shared" si="18"/>
        <v>0.26702699999998458</v>
      </c>
      <c r="L31" s="22">
        <v>84.825897216796875</v>
      </c>
      <c r="M31" s="5"/>
      <c r="N31" s="5"/>
      <c r="O31" s="19">
        <v>66.131</v>
      </c>
      <c r="P31" s="20">
        <v>68.320949999999996</v>
      </c>
      <c r="Q31" s="20">
        <v>66.062010000000001</v>
      </c>
      <c r="R31" s="21">
        <v>68.397369999999995</v>
      </c>
      <c r="S31" s="5">
        <f t="shared" si="19"/>
        <v>-1.3255733999999961</v>
      </c>
      <c r="T31" s="5">
        <f t="shared" si="20"/>
        <v>-0.12046940000000461</v>
      </c>
      <c r="U31" s="5">
        <f t="shared" si="21"/>
        <v>-1.7238238999999993</v>
      </c>
      <c r="V31" s="22">
        <v>72.003883361816406</v>
      </c>
      <c r="W31" s="5"/>
      <c r="X31" s="5"/>
      <c r="Y31" s="19">
        <v>25.703240999999998</v>
      </c>
      <c r="Z31" s="20">
        <v>22.132833000000002</v>
      </c>
      <c r="AA31" s="20">
        <v>12.289301</v>
      </c>
      <c r="AB31" s="21">
        <v>10.931532000000001</v>
      </c>
      <c r="AC31" s="5">
        <f t="shared" si="22"/>
        <v>7.1393187999999981</v>
      </c>
      <c r="AD31" s="5">
        <f t="shared" si="23"/>
        <v>5.7001151000000014</v>
      </c>
      <c r="AE31" s="5">
        <f t="shared" si="24"/>
        <v>1.1010457000000002</v>
      </c>
      <c r="AF31" s="22">
        <v>21.176113128662109</v>
      </c>
      <c r="AG31" s="5"/>
      <c r="AH31" s="5"/>
      <c r="AI31" s="19">
        <v>7.0624732999999997</v>
      </c>
      <c r="AJ31" s="20">
        <v>7.0090060000000003</v>
      </c>
      <c r="AK31" s="20">
        <v>7.1254850000000003</v>
      </c>
      <c r="AL31" s="21">
        <v>6.9512609999999997</v>
      </c>
      <c r="AM31" s="5">
        <f t="shared" si="25"/>
        <v>0.20275548999999859</v>
      </c>
      <c r="AN31" s="5">
        <f t="shared" si="26"/>
        <v>-6.6111689999998724E-2</v>
      </c>
      <c r="AO31" s="5">
        <f t="shared" si="27"/>
        <v>0.42012255000000209</v>
      </c>
      <c r="AP31" s="22">
        <v>7.2650880813598633</v>
      </c>
      <c r="AR31" s="5"/>
      <c r="AS31" s="19">
        <v>11.933557499999999</v>
      </c>
      <c r="AT31" s="20">
        <v>11.824101000000001</v>
      </c>
      <c r="AU31" s="20">
        <v>11.758393</v>
      </c>
      <c r="AV31" s="21">
        <v>11.718411</v>
      </c>
      <c r="AW31" s="5">
        <f t="shared" si="28"/>
        <v>-0.10913600000000123</v>
      </c>
      <c r="AX31" s="5">
        <f t="shared" si="29"/>
        <v>0.12258119999999906</v>
      </c>
      <c r="AY31" s="5">
        <f t="shared" si="30"/>
        <v>0.10994945000000023</v>
      </c>
      <c r="AZ31" s="22">
        <v>9.2742109298706037</v>
      </c>
      <c r="BB31" s="5"/>
      <c r="BC31" s="19">
        <v>2.4996342999999999</v>
      </c>
      <c r="BD31" s="20">
        <v>2.3327846999999999</v>
      </c>
      <c r="BE31" s="20">
        <v>2.2357235000000002</v>
      </c>
      <c r="BF31" s="21">
        <v>2.2433068999999999</v>
      </c>
      <c r="BG31" s="5">
        <f t="shared" si="31"/>
        <v>7.2554159999999701E-2</v>
      </c>
      <c r="BH31" s="5">
        <f t="shared" si="32"/>
        <v>1.2013369999999579E-2</v>
      </c>
      <c r="BI31" s="5">
        <f t="shared" si="33"/>
        <v>7.0770630000000168E-2</v>
      </c>
      <c r="BJ31" s="22">
        <v>1.9860900640487671</v>
      </c>
      <c r="BL31" s="5"/>
      <c r="BM31" s="19">
        <v>14.477207999999999</v>
      </c>
      <c r="BN31" s="20">
        <v>12.594101</v>
      </c>
      <c r="BO31" s="20">
        <v>8.0698170000000005</v>
      </c>
      <c r="BP31" s="21">
        <v>7.2280946000000004</v>
      </c>
      <c r="BQ31" s="5">
        <f t="shared" si="34"/>
        <v>3.5548617700000005</v>
      </c>
      <c r="BR31" s="5">
        <f t="shared" si="35"/>
        <v>2.3704864000000008</v>
      </c>
      <c r="BS31" s="5">
        <f t="shared" si="36"/>
        <v>1.53304844</v>
      </c>
      <c r="BT31" s="22">
        <v>12.457723617553709</v>
      </c>
      <c r="BV31" s="5"/>
      <c r="BW31" s="19">
        <v>1.9055815</v>
      </c>
      <c r="BX31" s="20">
        <v>2.2101679999999999</v>
      </c>
      <c r="BY31" s="20">
        <v>1.7393186</v>
      </c>
      <c r="BZ31" s="21">
        <v>1.6977491</v>
      </c>
      <c r="CA31" s="5">
        <f t="shared" si="37"/>
        <v>-2.5501609999999841E-2</v>
      </c>
      <c r="CB31" s="5">
        <f t="shared" si="38"/>
        <v>0.22628670999999945</v>
      </c>
      <c r="CC31" s="5">
        <f t="shared" si="39"/>
        <v>0.16830506000000023</v>
      </c>
      <c r="CD31" s="22">
        <v>1.628946781158447</v>
      </c>
      <c r="CI31">
        <v>2.9028556346893311</v>
      </c>
      <c r="CN31">
        <v>1.633095264434814</v>
      </c>
    </row>
    <row r="32" spans="1:92" x14ac:dyDescent="0.25">
      <c r="A32" s="39"/>
      <c r="B32" s="23">
        <v>10</v>
      </c>
      <c r="C32" s="24">
        <v>47</v>
      </c>
      <c r="E32" s="25">
        <v>76.557559999999995</v>
      </c>
      <c r="F32" s="26">
        <v>76.926349999999999</v>
      </c>
      <c r="G32" s="26">
        <v>77.206230000000005</v>
      </c>
      <c r="H32" s="27">
        <v>77.132469999999998</v>
      </c>
      <c r="I32" s="23">
        <f t="shared" si="16"/>
        <v>0.17224700000001292</v>
      </c>
      <c r="J32" s="23">
        <f t="shared" si="17"/>
        <v>1.6348996000000113</v>
      </c>
      <c r="K32" s="23">
        <f t="shared" si="18"/>
        <v>0.4315469999999948</v>
      </c>
      <c r="L32" s="28">
        <v>84.064231872558594</v>
      </c>
      <c r="M32" s="5"/>
      <c r="N32" s="5"/>
      <c r="O32" s="25">
        <v>66.481139999999996</v>
      </c>
      <c r="P32" s="26">
        <v>68.439989999999995</v>
      </c>
      <c r="Q32" s="26">
        <v>68.323943999999997</v>
      </c>
      <c r="R32" s="27">
        <v>68.553719999999998</v>
      </c>
      <c r="S32" s="23">
        <f t="shared" si="19"/>
        <v>-0.97543340000000001</v>
      </c>
      <c r="T32" s="23">
        <f t="shared" si="20"/>
        <v>-1.4294000000063534E-3</v>
      </c>
      <c r="U32" s="23">
        <f t="shared" si="21"/>
        <v>0.53811009999999726</v>
      </c>
      <c r="V32" s="28">
        <v>72.511932373046875</v>
      </c>
      <c r="W32" s="5"/>
      <c r="X32" s="5"/>
      <c r="Y32" s="25">
        <v>26.594480000000001</v>
      </c>
      <c r="Z32" s="26">
        <v>22.333130000000001</v>
      </c>
      <c r="AA32" s="26">
        <v>11.579726000000001</v>
      </c>
      <c r="AB32" s="27">
        <v>11.054104000000001</v>
      </c>
      <c r="AC32" s="23">
        <f t="shared" si="22"/>
        <v>8.0305578000000004</v>
      </c>
      <c r="AD32" s="23">
        <f t="shared" si="23"/>
        <v>5.9004121000000005</v>
      </c>
      <c r="AE32" s="23">
        <f t="shared" si="24"/>
        <v>0.39147070000000106</v>
      </c>
      <c r="AF32" s="28">
        <v>9.4809322357177717</v>
      </c>
      <c r="AG32" s="5"/>
      <c r="AH32" s="5"/>
      <c r="AI32" s="25">
        <v>7.0070069999999998</v>
      </c>
      <c r="AJ32" s="26">
        <v>6.9621550000000001</v>
      </c>
      <c r="AK32" s="26">
        <v>7.0671590000000002</v>
      </c>
      <c r="AL32" s="27">
        <v>6.9594088000000003</v>
      </c>
      <c r="AM32" s="23">
        <f t="shared" si="25"/>
        <v>0.14728918999999863</v>
      </c>
      <c r="AN32" s="23">
        <f t="shared" si="26"/>
        <v>-0.11296268999999892</v>
      </c>
      <c r="AO32" s="23">
        <f t="shared" si="27"/>
        <v>0.36179655000000199</v>
      </c>
      <c r="AP32" s="28">
        <v>6.9798011779785156</v>
      </c>
      <c r="AR32" s="5"/>
      <c r="AS32" s="25">
        <v>11.899604999999999</v>
      </c>
      <c r="AT32" s="26">
        <v>11.839085000000001</v>
      </c>
      <c r="AU32" s="26">
        <v>11.739432000000001</v>
      </c>
      <c r="AV32" s="27">
        <v>11.814202999999999</v>
      </c>
      <c r="AW32" s="23">
        <f t="shared" si="28"/>
        <v>-0.14308850000000106</v>
      </c>
      <c r="AX32" s="23">
        <f t="shared" si="29"/>
        <v>0.13756519999999917</v>
      </c>
      <c r="AY32" s="23">
        <f t="shared" si="30"/>
        <v>9.0988450000001109E-2</v>
      </c>
      <c r="AZ32" s="28">
        <v>10.019430160522459</v>
      </c>
      <c r="BB32" s="5"/>
      <c r="BC32" s="25">
        <v>2.7145220000000001</v>
      </c>
      <c r="BD32" s="26">
        <v>2.3462765000000001</v>
      </c>
      <c r="BE32" s="26">
        <v>2.2051544000000001</v>
      </c>
      <c r="BF32" s="27">
        <v>2.2458490000000002</v>
      </c>
      <c r="BG32" s="23">
        <f t="shared" si="31"/>
        <v>0.28744185999999994</v>
      </c>
      <c r="BH32" s="23">
        <f t="shared" si="32"/>
        <v>2.5505169999999744E-2</v>
      </c>
      <c r="BI32" s="23">
        <f t="shared" si="33"/>
        <v>4.0201530000000041E-2</v>
      </c>
      <c r="BJ32" s="28">
        <v>1.6349333524703979</v>
      </c>
      <c r="BL32" s="5"/>
      <c r="BM32" s="25">
        <v>15.190060000000001</v>
      </c>
      <c r="BN32" s="26">
        <v>13.661913</v>
      </c>
      <c r="BO32" s="26">
        <v>6.9156110000000002</v>
      </c>
      <c r="BP32" s="27">
        <v>7.5803146000000003</v>
      </c>
      <c r="BQ32" s="23">
        <f t="shared" si="34"/>
        <v>4.2677137700000021</v>
      </c>
      <c r="BR32" s="23">
        <f t="shared" si="35"/>
        <v>3.4382984000000008</v>
      </c>
      <c r="BS32" s="23">
        <f t="shared" si="36"/>
        <v>0.37884243999999967</v>
      </c>
      <c r="BT32" s="28">
        <v>6.4761981964111328</v>
      </c>
      <c r="BV32" s="5"/>
      <c r="BW32" s="25">
        <v>1.9645623999999999</v>
      </c>
      <c r="BX32" s="26">
        <v>2.2319396</v>
      </c>
      <c r="BY32" s="26">
        <v>1.6917795</v>
      </c>
      <c r="BZ32" s="27">
        <v>1.6877894</v>
      </c>
      <c r="CA32" s="23">
        <f t="shared" si="37"/>
        <v>3.347929000000005E-2</v>
      </c>
      <c r="CB32" s="23">
        <f t="shared" si="38"/>
        <v>0.24805830999999956</v>
      </c>
      <c r="CC32" s="23">
        <f t="shared" si="39"/>
        <v>0.12076596000000017</v>
      </c>
      <c r="CD32" s="28">
        <v>1.511468648910522</v>
      </c>
      <c r="CI32">
        <v>2.769239187240601</v>
      </c>
      <c r="CN32">
        <v>1.5335977077484131</v>
      </c>
    </row>
    <row r="33" spans="1:92" x14ac:dyDescent="0.25">
      <c r="A33" s="37">
        <v>3</v>
      </c>
      <c r="B33" s="12">
        <v>1</v>
      </c>
      <c r="C33" s="13">
        <v>3</v>
      </c>
      <c r="E33" s="14">
        <v>84.432580000000002</v>
      </c>
      <c r="F33" s="15">
        <v>83.593604999999997</v>
      </c>
      <c r="G33" s="15">
        <v>84.52637</v>
      </c>
      <c r="H33" s="16">
        <v>84.603089999999995</v>
      </c>
      <c r="I33" s="12">
        <f t="shared" ref="I33:I42" si="40">IF(OR(E33="",E33="NaN"),"",E33-AVERAGE(E$33:E$42))</f>
        <v>0.52585039999999594</v>
      </c>
      <c r="J33" s="12">
        <f t="shared" ref="J33:J42" si="41">IF(OR(F33="",F33="NaN"),"",F33-AVERAGE(F$33:F$42))</f>
        <v>-4.0849000000093838E-3</v>
      </c>
      <c r="K33" s="12">
        <f t="shared" ref="K33:K42" si="42">IF(OR(G33="",G33="NaN"),"",G33-AVERAGE(G$33:G$42))</f>
        <v>0.60920500000000288</v>
      </c>
      <c r="L33" s="17">
        <v>84.736312866210938</v>
      </c>
      <c r="M33" s="5"/>
      <c r="N33" s="5"/>
      <c r="O33" s="14">
        <v>72.008960000000002</v>
      </c>
      <c r="P33" s="15">
        <v>72.375564999999995</v>
      </c>
      <c r="Q33" s="15">
        <v>72.435109999999995</v>
      </c>
      <c r="R33" s="16">
        <v>73.449780000000004</v>
      </c>
      <c r="S33" s="12">
        <f t="shared" ref="S33:S42" si="43">IF(OR(O33="",O33="NaN"),"",O33-AVERAGE(O$33:O$42))</f>
        <v>-0.31269899999999495</v>
      </c>
      <c r="T33" s="12">
        <f t="shared" ref="T33:T42" si="44">IF(OR(P33="",P33="NaN"),"",P33-AVERAGE(P$33:P$42))</f>
        <v>-4.6198000000146067E-3</v>
      </c>
      <c r="U33" s="12">
        <f t="shared" ref="U33:U42" si="45">IF(OR(Q33="",Q33="NaN"),"",Q33-AVERAGE(Q$33:Q$42))</f>
        <v>9.2418099999989067E-2</v>
      </c>
      <c r="V33" s="17">
        <v>72.161567687988281</v>
      </c>
      <c r="W33" s="5"/>
      <c r="X33" s="5"/>
      <c r="Y33" s="14">
        <v>11.332198</v>
      </c>
      <c r="Z33" s="15">
        <v>16.379307000000001</v>
      </c>
      <c r="AA33" s="15">
        <v>9.0076260000000001</v>
      </c>
      <c r="AB33" s="16">
        <v>9.3871719999999996</v>
      </c>
      <c r="AC33" s="12">
        <f t="shared" ref="AC33:AC42" si="46">IF(OR(Y33="",Y33="NaN"),"",Y33-AVERAGE(Y$33:Y$42))</f>
        <v>-0.79356084999999865</v>
      </c>
      <c r="AD33" s="12">
        <f t="shared" ref="AD33:AD42" si="47">IF(OR(Z33="",Z33="NaN"),"",Z33-AVERAGE(Z$33:Z$42))</f>
        <v>-4.9542347999999983</v>
      </c>
      <c r="AE33" s="12">
        <f t="shared" ref="AE33:AE42" si="48">IF(OR(AA33="",AA33="NaN"),"",AA33-AVERAGE(AA$33:AA$42))</f>
        <v>-0.79345849999999807</v>
      </c>
      <c r="AF33" s="17">
        <v>9.6801242828369141</v>
      </c>
      <c r="AG33" s="5"/>
      <c r="AH33" s="5"/>
      <c r="AI33" s="14">
        <v>6.4270259999999997</v>
      </c>
      <c r="AJ33" s="15">
        <v>6.9656209999999996</v>
      </c>
      <c r="AK33" s="15">
        <v>6.4964037000000001</v>
      </c>
      <c r="AL33" s="16">
        <v>6.1024940000000001</v>
      </c>
      <c r="AM33" s="12">
        <f t="shared" ref="AM33:AM42" si="49">IF(OR(AI33="",AI33="NaN"),"",AI33-AVERAGE(AI$33:AI$42))</f>
        <v>-0.5754912300000008</v>
      </c>
      <c r="AN33" s="12">
        <f t="shared" ref="AN33:AN42" si="50">IF(OR(AJ33="",AJ33="NaN"),"",AJ33-AVERAGE(AJ$33:AJ$42))</f>
        <v>7.1968419999998368E-2</v>
      </c>
      <c r="AO33" s="12">
        <f t="shared" ref="AO33:AO42" si="51">IF(OR(AK33="",AK33="NaN"),"",AK33-AVERAGE(AK$33:AK$42))</f>
        <v>-6.8006039999999324E-2</v>
      </c>
      <c r="AP33" s="17">
        <v>6.8252444267272949</v>
      </c>
      <c r="AR33" s="5"/>
      <c r="AS33" s="14">
        <v>9.2773074999999992</v>
      </c>
      <c r="AT33" s="15">
        <v>10.009396000000001</v>
      </c>
      <c r="AU33" s="15">
        <v>10.355598000000001</v>
      </c>
      <c r="AV33" s="16">
        <v>10.576275000000001</v>
      </c>
      <c r="AW33" s="12">
        <f t="shared" ref="AW33:AW42" si="52">IF(OR(AS33="",AS33="NaN"),"",AS33-AVERAGE(AS$33:AS$42))</f>
        <v>-0.32108325000000093</v>
      </c>
      <c r="AX33" s="12">
        <f t="shared" ref="AX33:AX42" si="53">IF(OR(AT33="",AT33="NaN"),"",AT33-AVERAGE(AT$33:AT$42))</f>
        <v>0.29673539999999932</v>
      </c>
      <c r="AY33" s="12">
        <f t="shared" ref="AY33:AY42" si="54">IF(OR(AU33="",AU33="NaN"),"",AU33-AVERAGE(AU$33:AU$42))</f>
        <v>0.59437354999999847</v>
      </c>
      <c r="AZ33" s="17">
        <v>10.380697250366209</v>
      </c>
      <c r="BB33" s="5"/>
      <c r="BC33" s="14">
        <v>1.5564944000000001</v>
      </c>
      <c r="BD33" s="15">
        <v>1.7815536000000001</v>
      </c>
      <c r="BE33" s="15">
        <v>1.5342431999999999</v>
      </c>
      <c r="BF33" s="16">
        <v>1.5288309</v>
      </c>
      <c r="BG33" s="12">
        <f t="shared" ref="BG33:BG42" si="55">IF(OR(BC33="",BC33="NaN"),"",BC33-AVERAGE(BC$33:BC$42))</f>
        <v>-0.10333008000000032</v>
      </c>
      <c r="BH33" s="12">
        <f t="shared" ref="BH33:BH42" si="56">IF(OR(BD33="",BD33="NaN"),"",BD33-AVERAGE(BD$33:BD$42))</f>
        <v>-2.3197520000000083E-2</v>
      </c>
      <c r="BI33" s="12">
        <f t="shared" ref="BI33:BI42" si="57">IF(OR(BE33="",BE33="NaN"),"",BE33-AVERAGE(BE$33:BE$42))</f>
        <v>-2.7126880000000186E-2</v>
      </c>
      <c r="BJ33" s="17">
        <v>1.5265417098999019</v>
      </c>
      <c r="BL33" s="5"/>
      <c r="BM33" s="14">
        <v>8.4318030000000004</v>
      </c>
      <c r="BN33" s="15">
        <v>4.8371677000000002</v>
      </c>
      <c r="BO33" s="15">
        <v>3.6755772000000002</v>
      </c>
      <c r="BP33" s="16">
        <v>3.7189190000000001</v>
      </c>
      <c r="BQ33" s="12">
        <f t="shared" ref="BQ33:BQ42" si="58">IF(OR(BM33="",BM33="NaN"),"",BM33-AVERAGE(BM$33:BM$42))</f>
        <v>2.0489609600000005</v>
      </c>
      <c r="BR33" s="12">
        <f t="shared" ref="BR33:BR42" si="59">IF(OR(BN33="",BN33="NaN"),"",BN33-AVERAGE(BN$33:BN$42))</f>
        <v>-5.4318044699999977</v>
      </c>
      <c r="BS33" s="12">
        <f t="shared" ref="BS33:BS42" si="60">IF(OR(BO33="",BO33="NaN"),"",BO33-AVERAGE(BO$33:BO$42))</f>
        <v>-0.64389649000000038</v>
      </c>
      <c r="BT33" s="17">
        <v>5.1372261047363281</v>
      </c>
      <c r="BV33" s="5"/>
      <c r="BW33" s="14">
        <v>1.1233854999999999</v>
      </c>
      <c r="BX33" s="15">
        <v>1.4868615999999999</v>
      </c>
      <c r="BY33" s="15">
        <v>1.1205700000000001</v>
      </c>
      <c r="BZ33" s="16">
        <v>0.95513939999999997</v>
      </c>
      <c r="CA33" s="12">
        <f t="shared" ref="CA33:CA42" si="61">IF(OR(BW33="",BW33="NaN"),"",BW33-AVERAGE(BW$33:BW$42))</f>
        <v>-0.17351968000000006</v>
      </c>
      <c r="CB33" s="12">
        <f t="shared" ref="CB33:CB42" si="62">IF(OR(BX33="",BX33="NaN"),"",BX33-AVERAGE(BX$33:BX$42))</f>
        <v>-0.2074087899999999</v>
      </c>
      <c r="CC33" s="12">
        <f t="shared" ref="CC33:CC42" si="63">IF(OR(BY33="",BY33="NaN"),"",BY33-AVERAGE(BY$33:BY$42))</f>
        <v>-7.4921970000000115E-2</v>
      </c>
      <c r="CD33" s="17">
        <v>1.16869580745697</v>
      </c>
      <c r="CI33">
        <v>2.927009105682373</v>
      </c>
      <c r="CN33">
        <v>1.340770959854126</v>
      </c>
    </row>
    <row r="34" spans="1:92" x14ac:dyDescent="0.25">
      <c r="A34" s="38"/>
      <c r="B34" s="5">
        <v>2</v>
      </c>
      <c r="C34" s="18">
        <v>8</v>
      </c>
      <c r="E34" s="19">
        <v>84.481930000000006</v>
      </c>
      <c r="F34" s="20">
        <v>83.421660000000003</v>
      </c>
      <c r="G34" s="20">
        <v>84.413139999999999</v>
      </c>
      <c r="H34" s="21">
        <v>84.393165999999994</v>
      </c>
      <c r="I34" s="5">
        <f t="shared" si="40"/>
        <v>0.57520039999999995</v>
      </c>
      <c r="J34" s="5">
        <f t="shared" si="41"/>
        <v>-0.17602990000000318</v>
      </c>
      <c r="K34" s="5">
        <f t="shared" si="42"/>
        <v>0.49597500000000139</v>
      </c>
      <c r="L34" s="22">
        <v>84.1337890625</v>
      </c>
      <c r="M34" s="5"/>
      <c r="N34" s="5"/>
      <c r="O34" s="19">
        <v>72.285259999999994</v>
      </c>
      <c r="P34" s="20">
        <v>72.366640000000004</v>
      </c>
      <c r="Q34" s="20">
        <v>72.402730000000005</v>
      </c>
      <c r="R34" s="21">
        <v>72.559746000000004</v>
      </c>
      <c r="S34" s="5">
        <f t="shared" si="43"/>
        <v>-3.6399000000002957E-2</v>
      </c>
      <c r="T34" s="5">
        <f t="shared" si="44"/>
        <v>-1.3544800000005353E-2</v>
      </c>
      <c r="U34" s="5">
        <f t="shared" si="45"/>
        <v>6.0038099999999872E-2</v>
      </c>
      <c r="V34" s="22">
        <v>72.292190551757813</v>
      </c>
      <c r="W34" s="5"/>
      <c r="X34" s="5"/>
      <c r="Y34" s="19">
        <v>11.590892999999999</v>
      </c>
      <c r="Z34" s="20">
        <v>17.411915</v>
      </c>
      <c r="AA34" s="20">
        <v>10.220133000000001</v>
      </c>
      <c r="AB34" s="21">
        <v>9.1061060000000005</v>
      </c>
      <c r="AC34" s="5">
        <f t="shared" si="46"/>
        <v>-0.5348658499999992</v>
      </c>
      <c r="AD34" s="5">
        <f t="shared" si="47"/>
        <v>-3.9216267999999985</v>
      </c>
      <c r="AE34" s="5">
        <f t="shared" si="48"/>
        <v>0.41904850000000238</v>
      </c>
      <c r="AF34" s="22">
        <v>10.007533073425289</v>
      </c>
      <c r="AG34" s="5"/>
      <c r="AH34" s="5"/>
      <c r="AI34" s="19">
        <v>7.2715515999999996</v>
      </c>
      <c r="AJ34" s="20">
        <v>6.9503630000000003</v>
      </c>
      <c r="AK34" s="20">
        <v>6.5714363999999996</v>
      </c>
      <c r="AL34" s="21">
        <v>6.3621100000000004</v>
      </c>
      <c r="AM34" s="5">
        <f t="shared" si="49"/>
        <v>0.26903436999999908</v>
      </c>
      <c r="AN34" s="5">
        <f t="shared" si="50"/>
        <v>5.671041999999904E-2</v>
      </c>
      <c r="AO34" s="5">
        <f t="shared" si="51"/>
        <v>7.0266600000001844E-3</v>
      </c>
      <c r="AP34" s="22">
        <v>7.0615639686584473</v>
      </c>
      <c r="AR34" s="5"/>
      <c r="AS34" s="19">
        <v>9.4830050000000004</v>
      </c>
      <c r="AT34" s="20">
        <v>9.4561440000000001</v>
      </c>
      <c r="AU34" s="20">
        <v>9.7523400000000002</v>
      </c>
      <c r="AV34" s="21">
        <v>9.36707</v>
      </c>
      <c r="AW34" s="5">
        <f t="shared" si="52"/>
        <v>-0.11538574999999973</v>
      </c>
      <c r="AX34" s="5">
        <f t="shared" si="53"/>
        <v>-0.2565166000000012</v>
      </c>
      <c r="AY34" s="5">
        <f t="shared" si="54"/>
        <v>-8.8844500000018201E-3</v>
      </c>
      <c r="AZ34" s="22">
        <v>9.2456607818603516</v>
      </c>
      <c r="BB34" s="5"/>
      <c r="BC34" s="19">
        <v>1.6607746999999999</v>
      </c>
      <c r="BD34" s="20">
        <v>1.8673687000000001</v>
      </c>
      <c r="BE34" s="20">
        <v>1.5342431999999999</v>
      </c>
      <c r="BF34" s="21">
        <v>1.5618707000000001</v>
      </c>
      <c r="BG34" s="5">
        <f t="shared" si="55"/>
        <v>9.5021999999955753E-4</v>
      </c>
      <c r="BH34" s="5">
        <f t="shared" si="56"/>
        <v>6.2617579999999951E-2</v>
      </c>
      <c r="BI34" s="5">
        <f t="shared" si="57"/>
        <v>-2.7126880000000186E-2</v>
      </c>
      <c r="BJ34" s="22">
        <v>1.534243226051331</v>
      </c>
      <c r="BL34" s="5"/>
      <c r="BM34" s="19">
        <v>7.0075234999999996</v>
      </c>
      <c r="BN34" s="20">
        <v>11.136652</v>
      </c>
      <c r="BO34" s="20">
        <v>5.3310890000000004</v>
      </c>
      <c r="BP34" s="21">
        <v>3.4613445</v>
      </c>
      <c r="BQ34" s="5">
        <f t="shared" si="58"/>
        <v>0.62468145999999969</v>
      </c>
      <c r="BR34" s="5">
        <f t="shared" si="59"/>
        <v>0.86767983000000193</v>
      </c>
      <c r="BS34" s="5">
        <f t="shared" si="60"/>
        <v>1.0116153099999998</v>
      </c>
      <c r="BT34" s="22">
        <v>5.1587491035461426</v>
      </c>
      <c r="BV34" s="5"/>
      <c r="BW34" s="19">
        <v>1.284103</v>
      </c>
      <c r="BX34" s="20">
        <v>1.4335374000000001</v>
      </c>
      <c r="BY34" s="20">
        <v>1.2410007000000001</v>
      </c>
      <c r="BZ34" s="21">
        <v>1.1010994000000001</v>
      </c>
      <c r="CA34" s="5">
        <f t="shared" si="61"/>
        <v>-1.2802179999999996E-2</v>
      </c>
      <c r="CB34" s="5">
        <f t="shared" si="62"/>
        <v>-0.26073298999999972</v>
      </c>
      <c r="CC34" s="5">
        <f t="shared" si="63"/>
        <v>4.5508729999999886E-2</v>
      </c>
      <c r="CD34" s="22">
        <v>1.1961239576339719</v>
      </c>
      <c r="CI34">
        <v>3.0177488327026372</v>
      </c>
      <c r="CN34">
        <v>1.5104125738143921</v>
      </c>
    </row>
    <row r="35" spans="1:92" x14ac:dyDescent="0.25">
      <c r="A35" s="38"/>
      <c r="B35" s="5">
        <v>3</v>
      </c>
      <c r="C35" s="18">
        <v>13</v>
      </c>
      <c r="E35" s="19">
        <v>83.920670000000001</v>
      </c>
      <c r="F35" s="20">
        <v>83.718590000000006</v>
      </c>
      <c r="G35" s="20">
        <v>83.842709999999997</v>
      </c>
      <c r="H35" s="21">
        <v>83.690674000000001</v>
      </c>
      <c r="I35" s="5">
        <f t="shared" si="40"/>
        <v>1.3940399999995634E-2</v>
      </c>
      <c r="J35" s="5">
        <f t="shared" si="41"/>
        <v>0.12090010000000007</v>
      </c>
      <c r="K35" s="5">
        <f t="shared" si="42"/>
        <v>-7.4455000000000382E-2</v>
      </c>
      <c r="L35" s="22">
        <v>83.875389099121094</v>
      </c>
      <c r="M35" s="5"/>
      <c r="N35" s="5"/>
      <c r="O35" s="19">
        <v>72.348910000000004</v>
      </c>
      <c r="P35" s="20">
        <v>72.679159999999996</v>
      </c>
      <c r="Q35" s="20">
        <v>72.330460000000002</v>
      </c>
      <c r="R35" s="21">
        <v>72.829369999999997</v>
      </c>
      <c r="S35" s="5">
        <f t="shared" si="43"/>
        <v>2.7251000000006798E-2</v>
      </c>
      <c r="T35" s="5">
        <f t="shared" si="44"/>
        <v>0.29897519999998678</v>
      </c>
      <c r="U35" s="5">
        <f t="shared" si="45"/>
        <v>-1.2231900000003293E-2</v>
      </c>
      <c r="V35" s="22">
        <v>72.406349182128906</v>
      </c>
      <c r="W35" s="5"/>
      <c r="X35" s="5"/>
      <c r="Y35" s="19">
        <v>10.185377000000001</v>
      </c>
      <c r="Z35" s="20">
        <v>16.361319000000002</v>
      </c>
      <c r="AA35" s="20">
        <v>9.6805710000000005</v>
      </c>
      <c r="AB35" s="21">
        <v>9.9220410000000001</v>
      </c>
      <c r="AC35" s="5">
        <f t="shared" si="46"/>
        <v>-1.9403818499999979</v>
      </c>
      <c r="AD35" s="5">
        <f t="shared" si="47"/>
        <v>-4.9722227999999973</v>
      </c>
      <c r="AE35" s="5">
        <f t="shared" si="48"/>
        <v>-0.12051349999999772</v>
      </c>
      <c r="AF35" s="22">
        <v>9.5538215637207031</v>
      </c>
      <c r="AG35" s="5"/>
      <c r="AH35" s="5"/>
      <c r="AI35" s="19">
        <v>6.5793442999999998</v>
      </c>
      <c r="AJ35" s="20">
        <v>6.9337806999999998</v>
      </c>
      <c r="AK35" s="20">
        <v>6.489376</v>
      </c>
      <c r="AL35" s="21">
        <v>6.6815249999999997</v>
      </c>
      <c r="AM35" s="5">
        <f t="shared" si="49"/>
        <v>-0.42317293000000067</v>
      </c>
      <c r="AN35" s="5">
        <f t="shared" si="50"/>
        <v>4.0128119999998546E-2</v>
      </c>
      <c r="AO35" s="5">
        <f t="shared" si="51"/>
        <v>-7.5033739999999405E-2</v>
      </c>
      <c r="AP35" s="22">
        <v>6.684361457824707</v>
      </c>
      <c r="AR35" s="5"/>
      <c r="AS35" s="19">
        <v>10.299619</v>
      </c>
      <c r="AT35" s="20">
        <v>9.5401659999999993</v>
      </c>
      <c r="AU35" s="20">
        <v>10.234463</v>
      </c>
      <c r="AV35" s="21">
        <v>10.446218999999999</v>
      </c>
      <c r="AW35" s="5">
        <f t="shared" si="52"/>
        <v>0.70122824999999978</v>
      </c>
      <c r="AX35" s="5">
        <f t="shared" si="53"/>
        <v>-0.17249460000000205</v>
      </c>
      <c r="AY35" s="5">
        <f t="shared" si="54"/>
        <v>0.47323854999999782</v>
      </c>
      <c r="AZ35" s="22">
        <v>9.3862419128417969</v>
      </c>
      <c r="BB35" s="5"/>
      <c r="BC35" s="19">
        <v>1.5342431999999999</v>
      </c>
      <c r="BD35" s="20">
        <v>1.740972</v>
      </c>
      <c r="BE35" s="20">
        <v>1.5404659999999999</v>
      </c>
      <c r="BF35" s="21">
        <v>1.5397547</v>
      </c>
      <c r="BG35" s="5">
        <f t="shared" si="55"/>
        <v>-0.12558128000000046</v>
      </c>
      <c r="BH35" s="5">
        <f t="shared" si="56"/>
        <v>-6.3779120000000189E-2</v>
      </c>
      <c r="BI35" s="5">
        <f t="shared" si="57"/>
        <v>-2.0904080000000214E-2</v>
      </c>
      <c r="BJ35" s="22">
        <v>1.543917775154114</v>
      </c>
      <c r="BL35" s="5"/>
      <c r="BM35" s="19">
        <v>4.3183721999999998</v>
      </c>
      <c r="BN35" s="20">
        <v>8.4507130000000004</v>
      </c>
      <c r="BO35" s="20">
        <v>4.1098619999999997</v>
      </c>
      <c r="BP35" s="21">
        <v>3.5750305999999998</v>
      </c>
      <c r="BQ35" s="5">
        <f t="shared" si="58"/>
        <v>-2.0644698400000001</v>
      </c>
      <c r="BR35" s="5">
        <f t="shared" si="59"/>
        <v>-1.8182591699999975</v>
      </c>
      <c r="BS35" s="5">
        <f t="shared" si="60"/>
        <v>-0.20961169000000091</v>
      </c>
      <c r="BT35" s="22">
        <v>3.8219437599182129</v>
      </c>
      <c r="BV35" s="5"/>
      <c r="BW35" s="19">
        <v>1.1671692</v>
      </c>
      <c r="BX35" s="20">
        <v>1.343772</v>
      </c>
      <c r="BY35" s="20">
        <v>1.2159534000000001</v>
      </c>
      <c r="BZ35" s="21">
        <v>1.2101253999999999</v>
      </c>
      <c r="CA35" s="5">
        <f t="shared" si="61"/>
        <v>-0.12973597999999997</v>
      </c>
      <c r="CB35" s="5">
        <f t="shared" si="62"/>
        <v>-0.35049838999999983</v>
      </c>
      <c r="CC35" s="5">
        <f t="shared" si="63"/>
        <v>2.0461429999999892E-2</v>
      </c>
      <c r="CD35" s="22">
        <v>1.1782070398330691</v>
      </c>
      <c r="CI35">
        <v>2.708742618560791</v>
      </c>
      <c r="CN35">
        <v>1.3979810476303101</v>
      </c>
    </row>
    <row r="36" spans="1:92" x14ac:dyDescent="0.25">
      <c r="A36" s="38"/>
      <c r="B36" s="5">
        <v>4</v>
      </c>
      <c r="C36" s="18">
        <v>18</v>
      </c>
      <c r="E36" s="19">
        <v>83.343665999999999</v>
      </c>
      <c r="F36" s="20">
        <v>83.459770000000006</v>
      </c>
      <c r="G36" s="20">
        <v>84.094030000000004</v>
      </c>
      <c r="H36" s="21">
        <v>84.04</v>
      </c>
      <c r="I36" s="5">
        <f t="shared" si="40"/>
        <v>-0.56306360000000666</v>
      </c>
      <c r="J36" s="5">
        <f t="shared" si="41"/>
        <v>-0.13791989999999998</v>
      </c>
      <c r="K36" s="5">
        <f t="shared" si="42"/>
        <v>0.17686500000000649</v>
      </c>
      <c r="L36" s="22">
        <v>83.698883056640625</v>
      </c>
      <c r="M36" s="5"/>
      <c r="N36" s="5"/>
      <c r="O36" s="19">
        <v>72.496459999999999</v>
      </c>
      <c r="P36" s="20">
        <v>72.272880000000001</v>
      </c>
      <c r="Q36" s="20">
        <v>72.294039999999995</v>
      </c>
      <c r="R36" s="21">
        <v>72.430530000000005</v>
      </c>
      <c r="S36" s="5">
        <f t="shared" si="43"/>
        <v>0.1748010000000022</v>
      </c>
      <c r="T36" s="5">
        <f t="shared" si="44"/>
        <v>-0.10730480000000853</v>
      </c>
      <c r="U36" s="5">
        <f t="shared" si="45"/>
        <v>-4.8651900000010073E-2</v>
      </c>
      <c r="V36" s="22">
        <v>72.873748779296875</v>
      </c>
      <c r="W36" s="5"/>
      <c r="X36" s="5"/>
      <c r="Y36" s="19">
        <v>10.682487500000001</v>
      </c>
      <c r="Z36" s="20">
        <v>23.589213999999998</v>
      </c>
      <c r="AA36" s="20">
        <v>10.746468999999999</v>
      </c>
      <c r="AB36" s="21">
        <v>10.388814</v>
      </c>
      <c r="AC36" s="5">
        <f t="shared" si="46"/>
        <v>-1.4432713499999981</v>
      </c>
      <c r="AD36" s="5">
        <f t="shared" si="47"/>
        <v>2.2556721999999993</v>
      </c>
      <c r="AE36" s="5">
        <f t="shared" si="48"/>
        <v>0.94538450000000118</v>
      </c>
      <c r="AF36" s="22">
        <v>9.6916913986206037</v>
      </c>
      <c r="AG36" s="5"/>
      <c r="AH36" s="5"/>
      <c r="AI36" s="19">
        <v>7.1309820000000004</v>
      </c>
      <c r="AJ36" s="20">
        <v>6.8074510000000004</v>
      </c>
      <c r="AK36" s="20">
        <v>6.7489420000000004</v>
      </c>
      <c r="AL36" s="21">
        <v>6.6784395999999999</v>
      </c>
      <c r="AM36" s="5">
        <f t="shared" si="49"/>
        <v>0.12846476999999989</v>
      </c>
      <c r="AN36" s="5">
        <f t="shared" si="50"/>
        <v>-8.6201580000000888E-2</v>
      </c>
      <c r="AO36" s="5">
        <f t="shared" si="51"/>
        <v>0.184532260000001</v>
      </c>
      <c r="AP36" s="22">
        <v>6.9919757843017578</v>
      </c>
      <c r="AR36" s="5"/>
      <c r="AS36" s="19">
        <v>9.4976489999999991</v>
      </c>
      <c r="AT36" s="20">
        <v>9.5821129999999997</v>
      </c>
      <c r="AU36" s="20">
        <v>9.6568489999999994</v>
      </c>
      <c r="AV36" s="21">
        <v>9.6311619999999998</v>
      </c>
      <c r="AW36" s="5">
        <f t="shared" si="52"/>
        <v>-0.10074175000000096</v>
      </c>
      <c r="AX36" s="5">
        <f t="shared" si="53"/>
        <v>-0.13054760000000165</v>
      </c>
      <c r="AY36" s="5">
        <f t="shared" si="54"/>
        <v>-0.1043754500000027</v>
      </c>
      <c r="AZ36" s="22">
        <v>9.8444252014160156</v>
      </c>
      <c r="BB36" s="5"/>
      <c r="BC36" s="19">
        <v>1.6482175999999999</v>
      </c>
      <c r="BD36" s="20">
        <v>1.7734158</v>
      </c>
      <c r="BE36" s="20">
        <v>1.5470071000000001</v>
      </c>
      <c r="BF36" s="21">
        <v>1.5470071000000001</v>
      </c>
      <c r="BG36" s="5">
        <f t="shared" si="55"/>
        <v>-1.160688000000043E-2</v>
      </c>
      <c r="BH36" s="5">
        <f t="shared" si="56"/>
        <v>-3.1335320000000166E-2</v>
      </c>
      <c r="BI36" s="5">
        <f t="shared" si="57"/>
        <v>-1.4362980000000025E-2</v>
      </c>
      <c r="BJ36" s="22">
        <v>1.594603538513184</v>
      </c>
      <c r="BL36" s="5"/>
      <c r="BM36" s="19">
        <v>5.223973</v>
      </c>
      <c r="BN36" s="20">
        <v>10.768131</v>
      </c>
      <c r="BO36" s="20">
        <v>5.0623183000000003</v>
      </c>
      <c r="BP36" s="21">
        <v>3.3561770000000002</v>
      </c>
      <c r="BQ36" s="5">
        <f t="shared" si="58"/>
        <v>-1.1588690399999999</v>
      </c>
      <c r="BR36" s="5">
        <f t="shared" si="59"/>
        <v>0.4991588300000025</v>
      </c>
      <c r="BS36" s="5">
        <f t="shared" si="60"/>
        <v>0.74284460999999968</v>
      </c>
      <c r="BT36" s="22">
        <v>4.5316166877746582</v>
      </c>
      <c r="BV36" s="5"/>
      <c r="BW36" s="19">
        <v>1.3931855</v>
      </c>
      <c r="BX36" s="20">
        <v>1.4112731999999999</v>
      </c>
      <c r="BY36" s="20">
        <v>1.3151235999999999</v>
      </c>
      <c r="BZ36" s="21">
        <v>1.3020122000000001</v>
      </c>
      <c r="CA36" s="5">
        <f t="shared" si="61"/>
        <v>9.6280319999999975E-2</v>
      </c>
      <c r="CB36" s="5">
        <f t="shared" si="62"/>
        <v>-0.2829971899999999</v>
      </c>
      <c r="CC36" s="5">
        <f t="shared" si="63"/>
        <v>0.11963162999999977</v>
      </c>
      <c r="CD36" s="22">
        <v>1.041257381439209</v>
      </c>
      <c r="CI36">
        <v>2.8680615425109859</v>
      </c>
      <c r="CN36">
        <v>1.523774147033691</v>
      </c>
    </row>
    <row r="37" spans="1:92" x14ac:dyDescent="0.25">
      <c r="A37" s="38"/>
      <c r="B37" s="5">
        <v>5</v>
      </c>
      <c r="C37" s="18">
        <v>23</v>
      </c>
      <c r="E37" s="19">
        <v>84.211550000000003</v>
      </c>
      <c r="F37" s="20">
        <v>83.420159999999996</v>
      </c>
      <c r="G37" s="20">
        <v>83.877420000000001</v>
      </c>
      <c r="H37" s="21">
        <v>84.182540000000003</v>
      </c>
      <c r="I37" s="5">
        <f t="shared" si="40"/>
        <v>0.30482039999999699</v>
      </c>
      <c r="J37" s="5">
        <f t="shared" si="41"/>
        <v>-0.17752990000001034</v>
      </c>
      <c r="K37" s="5">
        <f t="shared" si="42"/>
        <v>-3.9744999999996367E-2</v>
      </c>
      <c r="L37" s="22">
        <v>84.419105529785156</v>
      </c>
      <c r="M37" s="5"/>
      <c r="N37" s="5"/>
      <c r="O37" s="19">
        <v>72.350430000000003</v>
      </c>
      <c r="P37" s="20">
        <v>72.167749999999998</v>
      </c>
      <c r="Q37" s="20">
        <v>72.096609999999998</v>
      </c>
      <c r="R37" s="21">
        <v>72.352744999999999</v>
      </c>
      <c r="S37" s="5">
        <f t="shared" si="43"/>
        <v>2.8771000000006097E-2</v>
      </c>
      <c r="T37" s="5">
        <f t="shared" si="44"/>
        <v>-0.21243480000001114</v>
      </c>
      <c r="U37" s="5">
        <f t="shared" si="45"/>
        <v>-0.24608190000000718</v>
      </c>
      <c r="V37" s="22">
        <v>72.594451904296875</v>
      </c>
      <c r="W37" s="5"/>
      <c r="X37" s="5"/>
      <c r="Y37" s="19">
        <v>10.711921</v>
      </c>
      <c r="Z37" s="20">
        <v>23.477985</v>
      </c>
      <c r="AA37" s="20">
        <v>9.5764410000000009</v>
      </c>
      <c r="AB37" s="21">
        <v>9.6623520000000003</v>
      </c>
      <c r="AC37" s="5">
        <f t="shared" si="46"/>
        <v>-1.4138378499999984</v>
      </c>
      <c r="AD37" s="5">
        <f t="shared" si="47"/>
        <v>2.1444432000000013</v>
      </c>
      <c r="AE37" s="5">
        <f t="shared" si="48"/>
        <v>-0.22464349999999733</v>
      </c>
      <c r="AF37" s="22">
        <v>9.8551273345947283</v>
      </c>
      <c r="AG37" s="5"/>
      <c r="AH37" s="5"/>
      <c r="AI37" s="19">
        <v>7.0776386000000002</v>
      </c>
      <c r="AJ37" s="20">
        <v>6.8761400000000004</v>
      </c>
      <c r="AK37" s="20">
        <v>6.9506180000000004</v>
      </c>
      <c r="AL37" s="21">
        <v>6.5745234000000004</v>
      </c>
      <c r="AM37" s="5">
        <f t="shared" si="49"/>
        <v>7.5121369999999743E-2</v>
      </c>
      <c r="AN37" s="5">
        <f t="shared" si="50"/>
        <v>-1.7512580000000888E-2</v>
      </c>
      <c r="AO37" s="5">
        <f t="shared" si="51"/>
        <v>0.38620826000000097</v>
      </c>
      <c r="AP37" s="22">
        <v>6.9797921180725098</v>
      </c>
      <c r="AR37" s="5"/>
      <c r="AS37" s="19">
        <v>9.8662480000000006</v>
      </c>
      <c r="AT37" s="20">
        <v>9.5088600000000003</v>
      </c>
      <c r="AU37" s="20">
        <v>9.1681609999999996</v>
      </c>
      <c r="AV37" s="21">
        <v>9.6137940000000004</v>
      </c>
      <c r="AW37" s="5">
        <f t="shared" si="52"/>
        <v>0.26785725000000049</v>
      </c>
      <c r="AX37" s="5">
        <f t="shared" si="53"/>
        <v>-0.203800600000001</v>
      </c>
      <c r="AY37" s="5">
        <f t="shared" si="54"/>
        <v>-0.59306345000000249</v>
      </c>
      <c r="AZ37" s="22">
        <v>9.7194366455078125</v>
      </c>
      <c r="BB37" s="5"/>
      <c r="BC37" s="19">
        <v>1.6482175999999999</v>
      </c>
      <c r="BD37" s="20">
        <v>1.7921568000000001</v>
      </c>
      <c r="BE37" s="20">
        <v>1.5534570999999999</v>
      </c>
      <c r="BF37" s="21">
        <v>1.5437825999999999</v>
      </c>
      <c r="BG37" s="5">
        <f t="shared" si="55"/>
        <v>-1.160688000000043E-2</v>
      </c>
      <c r="BH37" s="5">
        <f t="shared" si="56"/>
        <v>-1.2594320000000048E-2</v>
      </c>
      <c r="BI37" s="5">
        <f t="shared" si="57"/>
        <v>-7.9129800000001804E-3</v>
      </c>
      <c r="BJ37" s="22">
        <v>1.643211364746094</v>
      </c>
      <c r="BL37" s="5"/>
      <c r="BM37" s="19">
        <v>5.1979394000000001</v>
      </c>
      <c r="BN37" s="20">
        <v>11.108368</v>
      </c>
      <c r="BO37" s="20">
        <v>4.1242622999999998</v>
      </c>
      <c r="BP37" s="21">
        <v>4.9198880000000003</v>
      </c>
      <c r="BQ37" s="5">
        <f t="shared" si="58"/>
        <v>-1.1849026399999998</v>
      </c>
      <c r="BR37" s="5">
        <f t="shared" si="59"/>
        <v>0.83939583000000262</v>
      </c>
      <c r="BS37" s="5">
        <f t="shared" si="60"/>
        <v>-0.19521139000000076</v>
      </c>
      <c r="BT37" s="22">
        <v>6.1585903167724609</v>
      </c>
      <c r="BV37" s="5"/>
      <c r="BW37" s="19">
        <v>1.5140020000000001</v>
      </c>
      <c r="BX37" s="20">
        <v>1.8985779</v>
      </c>
      <c r="BY37" s="20">
        <v>1.1910765000000001</v>
      </c>
      <c r="BZ37" s="21">
        <v>1.2409041999999999</v>
      </c>
      <c r="CA37" s="5">
        <f t="shared" si="61"/>
        <v>0.21709682000000008</v>
      </c>
      <c r="CB37" s="5">
        <f t="shared" si="62"/>
        <v>0.20430751000000025</v>
      </c>
      <c r="CC37" s="5">
        <f t="shared" si="63"/>
        <v>-4.4154700000000879E-3</v>
      </c>
      <c r="CD37" s="22">
        <v>1.5016434192657471</v>
      </c>
      <c r="CI37">
        <v>2.852109432220459</v>
      </c>
      <c r="CN37">
        <v>1.569048404693604</v>
      </c>
    </row>
    <row r="38" spans="1:92" x14ac:dyDescent="0.25">
      <c r="A38" s="38"/>
      <c r="B38" s="5">
        <v>6</v>
      </c>
      <c r="C38" s="18">
        <v>28</v>
      </c>
      <c r="E38" s="19">
        <v>83.621170000000006</v>
      </c>
      <c r="F38" s="20">
        <v>83.843230000000005</v>
      </c>
      <c r="G38" s="20">
        <v>83.61251</v>
      </c>
      <c r="H38" s="21">
        <v>83.830826000000002</v>
      </c>
      <c r="I38" s="5">
        <f t="shared" si="40"/>
        <v>-0.28555959999999914</v>
      </c>
      <c r="J38" s="5">
        <f t="shared" si="41"/>
        <v>0.24554009999999948</v>
      </c>
      <c r="K38" s="5">
        <f t="shared" si="42"/>
        <v>-0.30465499999999679</v>
      </c>
      <c r="L38" s="22">
        <v>84.201805114746094</v>
      </c>
      <c r="M38" s="5"/>
      <c r="N38" s="5"/>
      <c r="O38" s="19">
        <v>72.618560000000002</v>
      </c>
      <c r="P38" s="20">
        <v>72.478049999999996</v>
      </c>
      <c r="Q38" s="20">
        <v>72.523070000000004</v>
      </c>
      <c r="R38" s="21">
        <v>72.609909999999999</v>
      </c>
      <c r="S38" s="5">
        <f t="shared" si="43"/>
        <v>0.29690100000000541</v>
      </c>
      <c r="T38" s="5">
        <f t="shared" si="44"/>
        <v>9.7865199999986885E-2</v>
      </c>
      <c r="U38" s="5">
        <f t="shared" si="45"/>
        <v>0.18037809999999865</v>
      </c>
      <c r="V38" s="22">
        <v>72.004478454589844</v>
      </c>
      <c r="W38" s="5"/>
      <c r="X38" s="5"/>
      <c r="Y38" s="19">
        <v>9.4776729999999993</v>
      </c>
      <c r="Z38" s="20">
        <v>23.406013000000002</v>
      </c>
      <c r="AA38" s="20">
        <v>9.8516110000000001</v>
      </c>
      <c r="AB38" s="21">
        <v>9.4633850000000006</v>
      </c>
      <c r="AC38" s="5">
        <f t="shared" si="46"/>
        <v>-2.6480858499999993</v>
      </c>
      <c r="AD38" s="5">
        <f t="shared" si="47"/>
        <v>2.0724712000000025</v>
      </c>
      <c r="AE38" s="5">
        <f t="shared" si="48"/>
        <v>5.0526500000001917E-2</v>
      </c>
      <c r="AF38" s="22">
        <v>20.31297492980957</v>
      </c>
      <c r="AG38" s="5"/>
      <c r="AH38" s="5"/>
      <c r="AI38" s="19">
        <v>6.9918209999999998</v>
      </c>
      <c r="AJ38" s="20">
        <v>6.9370193000000002</v>
      </c>
      <c r="AK38" s="20">
        <v>6.4325989999999997</v>
      </c>
      <c r="AL38" s="21">
        <v>7.1269673999999998</v>
      </c>
      <c r="AM38" s="5">
        <f t="shared" si="49"/>
        <v>-1.0696230000000639E-2</v>
      </c>
      <c r="AN38" s="5">
        <f t="shared" si="50"/>
        <v>4.3366719999998971E-2</v>
      </c>
      <c r="AO38" s="5">
        <f t="shared" si="51"/>
        <v>-0.1318107399999997</v>
      </c>
      <c r="AP38" s="22">
        <v>7.0902881622314453</v>
      </c>
      <c r="AR38" s="5"/>
      <c r="AS38" s="19">
        <v>10.549405</v>
      </c>
      <c r="AT38" s="20">
        <v>9.9822389999999999</v>
      </c>
      <c r="AU38" s="20">
        <v>9.8413009999999996</v>
      </c>
      <c r="AV38" s="21">
        <v>10.497812</v>
      </c>
      <c r="AW38" s="5">
        <f t="shared" si="52"/>
        <v>0.95101425000000006</v>
      </c>
      <c r="AX38" s="5">
        <f t="shared" si="53"/>
        <v>0.26957839999999855</v>
      </c>
      <c r="AY38" s="5">
        <f t="shared" si="54"/>
        <v>8.0076549999997582E-2</v>
      </c>
      <c r="AZ38" s="22">
        <v>9.1869487762451154</v>
      </c>
      <c r="BB38" s="5"/>
      <c r="BC38" s="19">
        <v>1.5224831000000001</v>
      </c>
      <c r="BD38" s="20">
        <v>1.7399876999999999</v>
      </c>
      <c r="BE38" s="20">
        <v>1.5307611000000001</v>
      </c>
      <c r="BF38" s="21">
        <v>1.5224831000000001</v>
      </c>
      <c r="BG38" s="5">
        <f t="shared" si="55"/>
        <v>-0.13734138000000029</v>
      </c>
      <c r="BH38" s="5">
        <f t="shared" si="56"/>
        <v>-6.4763420000000238E-2</v>
      </c>
      <c r="BI38" s="5">
        <f t="shared" si="57"/>
        <v>-3.0608980000000008E-2</v>
      </c>
      <c r="BJ38" s="22">
        <v>1.998647212982178</v>
      </c>
      <c r="BL38" s="5"/>
      <c r="BM38" s="19">
        <v>3.8010554000000001</v>
      </c>
      <c r="BN38" s="20">
        <v>11.789464000000001</v>
      </c>
      <c r="BO38" s="20">
        <v>3.9358977999999998</v>
      </c>
      <c r="BP38" s="21">
        <v>4.7790356000000003</v>
      </c>
      <c r="BQ38" s="5">
        <f t="shared" si="58"/>
        <v>-2.5817866399999998</v>
      </c>
      <c r="BR38" s="5">
        <f t="shared" si="59"/>
        <v>1.5204918300000028</v>
      </c>
      <c r="BS38" s="5">
        <f t="shared" si="60"/>
        <v>-0.38357589000000081</v>
      </c>
      <c r="BT38" s="22">
        <v>12.42718601226807</v>
      </c>
      <c r="BV38" s="5"/>
      <c r="BW38" s="19">
        <v>1.1842134</v>
      </c>
      <c r="BX38" s="20">
        <v>1.8098681999999999</v>
      </c>
      <c r="BY38" s="20">
        <v>1.1208560000000001</v>
      </c>
      <c r="BZ38" s="21">
        <v>1.1900492</v>
      </c>
      <c r="CA38" s="5">
        <f t="shared" si="61"/>
        <v>-0.11269178000000002</v>
      </c>
      <c r="CB38" s="5">
        <f t="shared" si="62"/>
        <v>0.11559781000000013</v>
      </c>
      <c r="CC38" s="5">
        <f t="shared" si="63"/>
        <v>-7.4635970000000107E-2</v>
      </c>
      <c r="CD38" s="22">
        <v>1.6119647026062009</v>
      </c>
      <c r="CI38">
        <v>2.8993561267852779</v>
      </c>
      <c r="CN38">
        <v>1.7882561683654781</v>
      </c>
    </row>
    <row r="39" spans="1:92" x14ac:dyDescent="0.25">
      <c r="A39" s="38"/>
      <c r="B39" s="5">
        <v>7</v>
      </c>
      <c r="C39" s="18">
        <v>33</v>
      </c>
      <c r="E39" s="19">
        <v>83.622380000000007</v>
      </c>
      <c r="F39" s="20">
        <v>83.767700000000005</v>
      </c>
      <c r="G39" s="20">
        <v>83.485050000000001</v>
      </c>
      <c r="H39" s="21">
        <v>83.948009999999996</v>
      </c>
      <c r="I39" s="5">
        <f t="shared" si="40"/>
        <v>-0.28434959999999876</v>
      </c>
      <c r="J39" s="5">
        <f t="shared" si="41"/>
        <v>0.17001009999999894</v>
      </c>
      <c r="K39" s="5">
        <f t="shared" si="42"/>
        <v>-0.43211499999999603</v>
      </c>
      <c r="L39" s="22">
        <v>82.838104248046875</v>
      </c>
      <c r="M39" s="5"/>
      <c r="N39" s="5"/>
      <c r="O39" s="19">
        <v>72.395979999999994</v>
      </c>
      <c r="P39" s="20">
        <v>72.638053999999997</v>
      </c>
      <c r="Q39" s="20">
        <v>72.365555000000001</v>
      </c>
      <c r="R39" s="21">
        <v>72.497910000000005</v>
      </c>
      <c r="S39" s="5">
        <f t="shared" si="43"/>
        <v>7.4320999999997639E-2</v>
      </c>
      <c r="T39" s="5">
        <f t="shared" si="44"/>
        <v>0.25786919999998759</v>
      </c>
      <c r="U39" s="5">
        <f t="shared" si="45"/>
        <v>2.2863099999995029E-2</v>
      </c>
      <c r="V39" s="22">
        <v>73.800285339355469</v>
      </c>
      <c r="W39" s="5"/>
      <c r="X39" s="5"/>
      <c r="Y39" s="19">
        <v>9.5480809999999998</v>
      </c>
      <c r="Z39" s="20">
        <v>23.743241999999999</v>
      </c>
      <c r="AA39" s="20">
        <v>9.440804</v>
      </c>
      <c r="AB39" s="21">
        <v>10.103071999999999</v>
      </c>
      <c r="AC39" s="5">
        <f t="shared" si="46"/>
        <v>-2.5776778499999988</v>
      </c>
      <c r="AD39" s="5">
        <f t="shared" si="47"/>
        <v>2.4097001999999996</v>
      </c>
      <c r="AE39" s="5">
        <f t="shared" si="48"/>
        <v>-0.36028049999999823</v>
      </c>
      <c r="AF39" s="22">
        <v>11.357925415039061</v>
      </c>
      <c r="AG39" s="5"/>
      <c r="AH39" s="5"/>
      <c r="AI39" s="19">
        <v>7.1233854000000001</v>
      </c>
      <c r="AJ39" s="20">
        <v>6.8133039999999996</v>
      </c>
      <c r="AK39" s="20">
        <v>6.4983706000000003</v>
      </c>
      <c r="AL39" s="21">
        <v>6.4131660000000004</v>
      </c>
      <c r="AM39" s="5">
        <f t="shared" si="49"/>
        <v>0.12086816999999961</v>
      </c>
      <c r="AN39" s="5">
        <f t="shared" si="50"/>
        <v>-8.0348580000001668E-2</v>
      </c>
      <c r="AO39" s="5">
        <f t="shared" si="51"/>
        <v>-6.6039139999999108E-2</v>
      </c>
      <c r="AP39" s="22">
        <v>5.1677041053771973</v>
      </c>
      <c r="AR39" s="5"/>
      <c r="AS39" s="19">
        <v>10.140404999999999</v>
      </c>
      <c r="AT39" s="20">
        <v>9.6073430000000002</v>
      </c>
      <c r="AU39" s="20">
        <v>10.004479</v>
      </c>
      <c r="AV39" s="21">
        <v>10.292154</v>
      </c>
      <c r="AW39" s="5">
        <f t="shared" si="52"/>
        <v>0.54201424999999936</v>
      </c>
      <c r="AX39" s="5">
        <f t="shared" si="53"/>
        <v>-0.10531760000000112</v>
      </c>
      <c r="AY39" s="5">
        <f t="shared" si="54"/>
        <v>0.24325454999999785</v>
      </c>
      <c r="AZ39" s="22">
        <v>10.11396503448486</v>
      </c>
      <c r="BB39" s="5"/>
      <c r="BC39" s="19">
        <v>1.6482175999999999</v>
      </c>
      <c r="BD39" s="20">
        <v>1.7362268000000001</v>
      </c>
      <c r="BE39" s="20">
        <v>1.5439178</v>
      </c>
      <c r="BF39" s="21">
        <v>1.5358822000000001</v>
      </c>
      <c r="BG39" s="5">
        <f t="shared" si="55"/>
        <v>-1.160688000000043E-2</v>
      </c>
      <c r="BH39" s="5">
        <f t="shared" si="56"/>
        <v>-6.8524320000000083E-2</v>
      </c>
      <c r="BI39" s="5">
        <f t="shared" si="57"/>
        <v>-1.7452280000000098E-2</v>
      </c>
      <c r="BJ39" s="22">
        <v>3.143062829971313</v>
      </c>
      <c r="BL39" s="5"/>
      <c r="BM39" s="19">
        <v>4.3959270000000004</v>
      </c>
      <c r="BN39" s="20">
        <v>11.027894</v>
      </c>
      <c r="BO39" s="20">
        <v>4.1139559999999999</v>
      </c>
      <c r="BP39" s="21">
        <v>3.6229360000000002</v>
      </c>
      <c r="BQ39" s="5">
        <f t="shared" si="58"/>
        <v>-1.9869150399999995</v>
      </c>
      <c r="BR39" s="5">
        <f t="shared" si="59"/>
        <v>0.75892183000000202</v>
      </c>
      <c r="BS39" s="5">
        <f t="shared" si="60"/>
        <v>-0.20551769000000064</v>
      </c>
      <c r="BT39" s="22">
        <v>2.7290608882904048</v>
      </c>
      <c r="BV39" s="5"/>
      <c r="BW39" s="19">
        <v>1.2195636999999999</v>
      </c>
      <c r="BX39" s="20">
        <v>1.9474381000000001</v>
      </c>
      <c r="BY39" s="20">
        <v>1.1951556000000001</v>
      </c>
      <c r="BZ39" s="21">
        <v>1.2680901</v>
      </c>
      <c r="CA39" s="5">
        <f t="shared" si="61"/>
        <v>-7.7341480000000074E-2</v>
      </c>
      <c r="CB39" s="5">
        <f t="shared" si="62"/>
        <v>0.25316771000000027</v>
      </c>
      <c r="CC39" s="5">
        <f t="shared" si="63"/>
        <v>-3.3637000000008577E-4</v>
      </c>
      <c r="CD39" s="22">
        <v>1.468977212905884</v>
      </c>
      <c r="CI39">
        <v>1.2869293689727781</v>
      </c>
      <c r="CN39">
        <v>1.5510133504867549</v>
      </c>
    </row>
    <row r="40" spans="1:92" x14ac:dyDescent="0.25">
      <c r="A40" s="38"/>
      <c r="B40" s="5">
        <v>8</v>
      </c>
      <c r="C40" s="18">
        <v>38</v>
      </c>
      <c r="E40" s="19">
        <v>83.946079999999995</v>
      </c>
      <c r="F40" s="20">
        <v>83.44529</v>
      </c>
      <c r="G40" s="20">
        <v>83.985699999999994</v>
      </c>
      <c r="H40" s="21">
        <v>84.348420000000004</v>
      </c>
      <c r="I40" s="5">
        <f t="shared" si="40"/>
        <v>3.9350399999989349E-2</v>
      </c>
      <c r="J40" s="5">
        <f t="shared" si="41"/>
        <v>-0.15239990000000603</v>
      </c>
      <c r="K40" s="5">
        <f t="shared" si="42"/>
        <v>6.8534999999997126E-2</v>
      </c>
      <c r="L40" s="22">
        <v>82.699607849121094</v>
      </c>
      <c r="M40" s="5"/>
      <c r="N40" s="5"/>
      <c r="O40" s="19">
        <v>72.169524999999993</v>
      </c>
      <c r="P40" s="20">
        <v>72.124954000000002</v>
      </c>
      <c r="Q40" s="20">
        <v>72.241020000000006</v>
      </c>
      <c r="R40" s="21">
        <v>71.924359999999993</v>
      </c>
      <c r="S40" s="5">
        <f t="shared" si="43"/>
        <v>-0.15213400000000377</v>
      </c>
      <c r="T40" s="5">
        <f t="shared" si="44"/>
        <v>-0.25523080000000675</v>
      </c>
      <c r="U40" s="5">
        <f t="shared" si="45"/>
        <v>-0.10167189999999948</v>
      </c>
      <c r="V40" s="22">
        <v>73.882308959960938</v>
      </c>
      <c r="W40" s="5"/>
      <c r="X40" s="5"/>
      <c r="Y40" s="19">
        <v>9.8147350000000007</v>
      </c>
      <c r="Z40" s="20">
        <v>22.616312000000001</v>
      </c>
      <c r="AA40" s="20">
        <v>9.0462109999999996</v>
      </c>
      <c r="AB40" s="21">
        <v>9.1410289999999996</v>
      </c>
      <c r="AC40" s="5">
        <f t="shared" si="46"/>
        <v>-2.311023849999998</v>
      </c>
      <c r="AD40" s="5">
        <f t="shared" si="47"/>
        <v>1.2827702000000016</v>
      </c>
      <c r="AE40" s="5">
        <f t="shared" si="48"/>
        <v>-0.75487349999999864</v>
      </c>
      <c r="AF40" s="22">
        <v>10.54888439178467</v>
      </c>
      <c r="AG40" s="5"/>
      <c r="AH40" s="5"/>
      <c r="AI40" s="19">
        <v>6.9247804000000004</v>
      </c>
      <c r="AJ40" s="20">
        <v>6.8398895</v>
      </c>
      <c r="AK40" s="20">
        <v>6.3125429999999998</v>
      </c>
      <c r="AL40" s="21">
        <v>6.5773419999999998</v>
      </c>
      <c r="AM40" s="5">
        <f t="shared" si="49"/>
        <v>-7.773683000000009E-2</v>
      </c>
      <c r="AN40" s="5">
        <f t="shared" si="50"/>
        <v>-5.3763080000001295E-2</v>
      </c>
      <c r="AO40" s="5">
        <f t="shared" si="51"/>
        <v>-0.25186673999999964</v>
      </c>
      <c r="AP40" s="22">
        <v>5.1672801971435547</v>
      </c>
      <c r="AR40" s="5"/>
      <c r="AS40" s="19">
        <v>8.0858299999999996</v>
      </c>
      <c r="AT40" s="20">
        <v>9.5942679999999996</v>
      </c>
      <c r="AU40" s="20">
        <v>9.6831410000000009</v>
      </c>
      <c r="AV40" s="21">
        <v>8.7689319999999995</v>
      </c>
      <c r="AW40" s="5">
        <f t="shared" si="52"/>
        <v>-1.5125607500000005</v>
      </c>
      <c r="AX40" s="5">
        <f t="shared" si="53"/>
        <v>-0.11839260000000174</v>
      </c>
      <c r="AY40" s="5">
        <f t="shared" si="54"/>
        <v>-7.8083450000001164E-2</v>
      </c>
      <c r="AZ40" s="22">
        <v>9.8030824661254883</v>
      </c>
      <c r="BB40" s="5"/>
      <c r="BC40" s="19">
        <v>1.7724521</v>
      </c>
      <c r="BD40" s="20">
        <v>1.9450189</v>
      </c>
      <c r="BE40" s="20">
        <v>1.6384107000000001</v>
      </c>
      <c r="BF40" s="21">
        <v>1.6805009</v>
      </c>
      <c r="BG40" s="5">
        <f t="shared" si="55"/>
        <v>0.1126276199999996</v>
      </c>
      <c r="BH40" s="5">
        <f t="shared" si="56"/>
        <v>0.14026777999999984</v>
      </c>
      <c r="BI40" s="5">
        <f t="shared" si="57"/>
        <v>7.7040620000000004E-2</v>
      </c>
      <c r="BJ40" s="22">
        <v>2.093816995620728</v>
      </c>
      <c r="BL40" s="5"/>
      <c r="BM40" s="19">
        <v>4.5112176000000002</v>
      </c>
      <c r="BN40" s="20">
        <v>11.227887000000001</v>
      </c>
      <c r="BO40" s="20">
        <v>3.6547462999999998</v>
      </c>
      <c r="BP40" s="21">
        <v>3.2661967000000001</v>
      </c>
      <c r="BQ40" s="5">
        <f t="shared" si="58"/>
        <v>-1.8716244399999997</v>
      </c>
      <c r="BR40" s="5">
        <f t="shared" si="59"/>
        <v>0.95891483000000299</v>
      </c>
      <c r="BS40" s="5">
        <f t="shared" si="60"/>
        <v>-0.66472739000000081</v>
      </c>
      <c r="BT40" s="22">
        <v>2.7039990425109859</v>
      </c>
      <c r="BV40" s="5"/>
      <c r="BW40" s="19">
        <v>1.1630655999999999</v>
      </c>
      <c r="BX40" s="20">
        <v>2.0559734999999999</v>
      </c>
      <c r="BY40" s="20">
        <v>1.1577313</v>
      </c>
      <c r="BZ40" s="21">
        <v>1.1507765999999999</v>
      </c>
      <c r="CA40" s="5">
        <f t="shared" si="61"/>
        <v>-0.13383958000000007</v>
      </c>
      <c r="CB40" s="5">
        <f t="shared" si="62"/>
        <v>0.36170311000000011</v>
      </c>
      <c r="CC40" s="5">
        <f t="shared" si="63"/>
        <v>-3.7760670000000163E-2</v>
      </c>
      <c r="CD40" s="22">
        <v>1.2907813787460329</v>
      </c>
      <c r="CI40">
        <v>1.2760025262832639</v>
      </c>
      <c r="CN40">
        <v>1.5433962345123291</v>
      </c>
    </row>
    <row r="41" spans="1:92" x14ac:dyDescent="0.25">
      <c r="A41" s="38"/>
      <c r="B41" s="5">
        <v>9</v>
      </c>
      <c r="C41" s="18">
        <v>43</v>
      </c>
      <c r="E41" s="19">
        <v>84.220770000000002</v>
      </c>
      <c r="F41" s="20">
        <v>83.622283999999993</v>
      </c>
      <c r="G41" s="20">
        <v>83.802449999999993</v>
      </c>
      <c r="H41" s="21">
        <v>84.334180000000003</v>
      </c>
      <c r="I41" s="5">
        <f t="shared" si="40"/>
        <v>0.31404039999999611</v>
      </c>
      <c r="J41" s="5">
        <f t="shared" si="41"/>
        <v>2.4594099999987407E-2</v>
      </c>
      <c r="K41" s="5">
        <f t="shared" si="42"/>
        <v>-0.1147150000000039</v>
      </c>
      <c r="L41" s="22">
        <v>83.006759643554688</v>
      </c>
      <c r="M41" s="5"/>
      <c r="N41" s="5"/>
      <c r="O41" s="19">
        <v>72.048540000000003</v>
      </c>
      <c r="P41" s="20">
        <v>72.001755000000003</v>
      </c>
      <c r="Q41" s="20">
        <v>72.175740000000005</v>
      </c>
      <c r="R41" s="21">
        <v>72.311719999999994</v>
      </c>
      <c r="S41" s="5">
        <f t="shared" si="43"/>
        <v>-0.27311899999999412</v>
      </c>
      <c r="T41" s="5">
        <f t="shared" si="44"/>
        <v>-0.37842980000000637</v>
      </c>
      <c r="U41" s="5">
        <f t="shared" si="45"/>
        <v>-0.16695190000000082</v>
      </c>
      <c r="V41" s="22">
        <v>73.414314270019531</v>
      </c>
      <c r="W41" s="5"/>
      <c r="X41" s="5"/>
      <c r="Y41" s="19">
        <v>10.932644</v>
      </c>
      <c r="Z41" s="20">
        <v>22.605968000000001</v>
      </c>
      <c r="AA41" s="20">
        <v>10.695026</v>
      </c>
      <c r="AB41" s="21">
        <v>10.708176999999999</v>
      </c>
      <c r="AC41" s="5">
        <f t="shared" si="46"/>
        <v>-1.1931148499999988</v>
      </c>
      <c r="AD41" s="5">
        <f t="shared" si="47"/>
        <v>1.2724262000000017</v>
      </c>
      <c r="AE41" s="5">
        <f t="shared" si="48"/>
        <v>0.89394150000000216</v>
      </c>
      <c r="AF41" s="22">
        <v>11.37313842773438</v>
      </c>
      <c r="AG41" s="5"/>
      <c r="AH41" s="5"/>
      <c r="AI41" s="19">
        <v>7.1874830000000003</v>
      </c>
      <c r="AJ41" s="20">
        <v>6.9028587000000003</v>
      </c>
      <c r="AK41" s="20">
        <v>6.6585007000000003</v>
      </c>
      <c r="AL41" s="21">
        <v>6.6531215000000001</v>
      </c>
      <c r="AM41" s="5">
        <f t="shared" si="49"/>
        <v>0.18496576999999981</v>
      </c>
      <c r="AN41" s="5">
        <f t="shared" si="50"/>
        <v>9.2061199999990961E-3</v>
      </c>
      <c r="AO41" s="5">
        <f t="shared" si="51"/>
        <v>9.4090960000000834E-2</v>
      </c>
      <c r="AP41" s="22">
        <v>4.9135746955871582</v>
      </c>
      <c r="AR41" s="5"/>
      <c r="AS41" s="19">
        <v>8.0713340000000002</v>
      </c>
      <c r="AT41" s="20">
        <v>9.7810190000000006</v>
      </c>
      <c r="AU41" s="20">
        <v>8.8936069999999994</v>
      </c>
      <c r="AV41" s="21">
        <v>8.8661150000000006</v>
      </c>
      <c r="AW41" s="5">
        <f t="shared" si="52"/>
        <v>-1.5270567499999999</v>
      </c>
      <c r="AX41" s="5">
        <f t="shared" si="53"/>
        <v>6.8358399999999264E-2</v>
      </c>
      <c r="AY41" s="5">
        <f t="shared" si="54"/>
        <v>-0.86761745000000268</v>
      </c>
      <c r="AZ41" s="22">
        <v>10.72947311401367</v>
      </c>
      <c r="BB41" s="5"/>
      <c r="BC41" s="19">
        <v>1.6785501</v>
      </c>
      <c r="BD41" s="20">
        <v>1.977071</v>
      </c>
      <c r="BE41" s="20">
        <v>1.6472768</v>
      </c>
      <c r="BF41" s="21">
        <v>1.6640630000000001</v>
      </c>
      <c r="BG41" s="5">
        <f t="shared" si="55"/>
        <v>1.8725619999999665E-2</v>
      </c>
      <c r="BH41" s="5">
        <f t="shared" si="56"/>
        <v>0.17231987999999987</v>
      </c>
      <c r="BI41" s="5">
        <f t="shared" si="57"/>
        <v>8.5906719999999881E-2</v>
      </c>
      <c r="BJ41" s="22">
        <v>3.195968866348267</v>
      </c>
      <c r="BL41" s="5"/>
      <c r="BM41" s="19">
        <v>5.9707603000000002</v>
      </c>
      <c r="BN41" s="20">
        <v>11.122828999999999</v>
      </c>
      <c r="BO41" s="20">
        <v>4.7411300000000001</v>
      </c>
      <c r="BP41" s="21">
        <v>5.1616163000000004</v>
      </c>
      <c r="BQ41" s="5">
        <f t="shared" si="58"/>
        <v>-0.41208173999999964</v>
      </c>
      <c r="BR41" s="5">
        <f t="shared" si="59"/>
        <v>0.85385683000000157</v>
      </c>
      <c r="BS41" s="5">
        <f t="shared" si="60"/>
        <v>0.42165630999999948</v>
      </c>
      <c r="BT41" s="22">
        <v>2.495773077011108</v>
      </c>
      <c r="BV41" s="5"/>
      <c r="BW41" s="19">
        <v>1.16309</v>
      </c>
      <c r="BX41" s="20">
        <v>1.6547129</v>
      </c>
      <c r="BY41" s="20">
        <v>1.2572808</v>
      </c>
      <c r="BZ41" s="21">
        <v>1.2091428</v>
      </c>
      <c r="CA41" s="5">
        <f t="shared" si="61"/>
        <v>-0.13381518000000003</v>
      </c>
      <c r="CB41" s="5">
        <f t="shared" si="62"/>
        <v>-3.9557489999999751E-2</v>
      </c>
      <c r="CC41" s="5">
        <f t="shared" si="63"/>
        <v>6.1788829999999795E-2</v>
      </c>
      <c r="CD41" s="22">
        <v>1.4731065034866331</v>
      </c>
      <c r="CI41">
        <v>1.254568934440613</v>
      </c>
      <c r="CN41">
        <v>1.637948155403137</v>
      </c>
    </row>
    <row r="42" spans="1:92" x14ac:dyDescent="0.25">
      <c r="A42" s="39"/>
      <c r="B42" s="23">
        <v>10</v>
      </c>
      <c r="C42" s="24">
        <v>48</v>
      </c>
      <c r="E42" s="25">
        <v>83.266499999999994</v>
      </c>
      <c r="F42" s="26">
        <v>83.684610000000006</v>
      </c>
      <c r="G42" s="26">
        <v>83.532269999999997</v>
      </c>
      <c r="H42" s="27">
        <v>83.642264999999995</v>
      </c>
      <c r="I42" s="23">
        <f t="shared" si="40"/>
        <v>-0.64022960000001206</v>
      </c>
      <c r="J42" s="23">
        <f t="shared" si="41"/>
        <v>8.6920100000000389E-2</v>
      </c>
      <c r="K42" s="23">
        <f t="shared" si="42"/>
        <v>-0.38489500000000021</v>
      </c>
      <c r="L42" s="28">
        <v>82.792449951171875</v>
      </c>
      <c r="M42" s="5"/>
      <c r="N42" s="5"/>
      <c r="O42" s="25">
        <v>72.493965000000003</v>
      </c>
      <c r="P42" s="26">
        <v>72.697040000000001</v>
      </c>
      <c r="Q42" s="26">
        <v>72.562584000000001</v>
      </c>
      <c r="R42" s="27">
        <v>72.807919999999996</v>
      </c>
      <c r="S42" s="23">
        <f t="shared" si="43"/>
        <v>0.17230600000000607</v>
      </c>
      <c r="T42" s="23">
        <f t="shared" si="44"/>
        <v>0.31685519999999201</v>
      </c>
      <c r="U42" s="23">
        <f t="shared" si="45"/>
        <v>0.21989209999999559</v>
      </c>
      <c r="V42" s="28">
        <v>73.086868286132813</v>
      </c>
      <c r="W42" s="5"/>
      <c r="X42" s="5"/>
      <c r="Y42" s="25">
        <v>26.981579</v>
      </c>
      <c r="Z42" s="26">
        <v>23.744143000000001</v>
      </c>
      <c r="AA42" s="26">
        <v>9.7459530000000001</v>
      </c>
      <c r="AB42" s="27">
        <v>9.8096709999999998</v>
      </c>
      <c r="AC42" s="23">
        <f t="shared" si="46"/>
        <v>14.855820150000001</v>
      </c>
      <c r="AD42" s="23">
        <f t="shared" si="47"/>
        <v>2.4106012000000021</v>
      </c>
      <c r="AE42" s="23">
        <f t="shared" si="48"/>
        <v>-5.5131499999998113E-2</v>
      </c>
      <c r="AF42" s="28">
        <v>11.35883140563965</v>
      </c>
      <c r="AG42" s="5"/>
      <c r="AH42" s="5"/>
      <c r="AI42" s="25">
        <v>7.3111600000000001</v>
      </c>
      <c r="AJ42" s="26">
        <v>6.9100986000000004</v>
      </c>
      <c r="AK42" s="26">
        <v>6.4853079999999999</v>
      </c>
      <c r="AL42" s="27">
        <v>6.5137720000000003</v>
      </c>
      <c r="AM42" s="23">
        <f t="shared" si="49"/>
        <v>0.30864276999999962</v>
      </c>
      <c r="AN42" s="23">
        <f t="shared" si="50"/>
        <v>1.6446019999999173E-2</v>
      </c>
      <c r="AO42" s="23">
        <f t="shared" si="51"/>
        <v>-7.9101739999999587E-2</v>
      </c>
      <c r="AP42" s="28">
        <v>5.1187982559204102</v>
      </c>
      <c r="AR42" s="5"/>
      <c r="AS42" s="25">
        <v>10.713105000000001</v>
      </c>
      <c r="AT42" s="26">
        <v>10.065058000000001</v>
      </c>
      <c r="AU42" s="26">
        <v>10.0223055</v>
      </c>
      <c r="AV42" s="27">
        <v>10.238212000000001</v>
      </c>
      <c r="AW42" s="23">
        <f t="shared" si="52"/>
        <v>1.1147142500000005</v>
      </c>
      <c r="AX42" s="23">
        <f t="shared" si="53"/>
        <v>0.35239739999999919</v>
      </c>
      <c r="AY42" s="23">
        <f t="shared" si="54"/>
        <v>0.26108104999999782</v>
      </c>
      <c r="AZ42" s="28">
        <v>10.05780124664307</v>
      </c>
      <c r="BB42" s="5"/>
      <c r="BC42" s="25">
        <v>1.9285943999999999</v>
      </c>
      <c r="BD42" s="26">
        <v>1.6937399</v>
      </c>
      <c r="BE42" s="26">
        <v>1.5439178</v>
      </c>
      <c r="BF42" s="27">
        <v>1.5432066</v>
      </c>
      <c r="BG42" s="23">
        <f t="shared" si="55"/>
        <v>0.26876991999999955</v>
      </c>
      <c r="BH42" s="23">
        <f t="shared" si="56"/>
        <v>-0.11101122000000019</v>
      </c>
      <c r="BI42" s="23">
        <f t="shared" si="57"/>
        <v>-1.7452280000000098E-2</v>
      </c>
      <c r="BJ42" s="28">
        <v>3.1458203792572021</v>
      </c>
      <c r="BL42" s="5"/>
      <c r="BM42" s="25">
        <v>14.969849</v>
      </c>
      <c r="BN42" s="26">
        <v>11.220616</v>
      </c>
      <c r="BO42" s="26">
        <v>4.4458979999999997</v>
      </c>
      <c r="BP42" s="27">
        <v>4.7603172999999996</v>
      </c>
      <c r="BQ42" s="23">
        <f t="shared" si="58"/>
        <v>8.5870069600000001</v>
      </c>
      <c r="BR42" s="23">
        <f t="shared" si="59"/>
        <v>0.95164383000000186</v>
      </c>
      <c r="BS42" s="23">
        <f t="shared" si="60"/>
        <v>0.1264243099999991</v>
      </c>
      <c r="BT42" s="28">
        <v>2.401467084884644</v>
      </c>
      <c r="BV42" s="5"/>
      <c r="BW42" s="25">
        <v>1.7572738999999999</v>
      </c>
      <c r="BX42" s="26">
        <v>1.9006890999999999</v>
      </c>
      <c r="BY42" s="26">
        <v>1.1401718000000001</v>
      </c>
      <c r="BZ42" s="27">
        <v>1.1762935999999999</v>
      </c>
      <c r="CA42" s="23">
        <f t="shared" si="61"/>
        <v>0.46036871999999995</v>
      </c>
      <c r="CB42" s="23">
        <f t="shared" si="62"/>
        <v>0.20641871000000012</v>
      </c>
      <c r="CC42" s="23">
        <f t="shared" si="63"/>
        <v>-5.5320170000000113E-2</v>
      </c>
      <c r="CD42" s="28">
        <v>1.2649844884872441</v>
      </c>
      <c r="CI42">
        <v>1.2130511999130249</v>
      </c>
      <c r="CN42">
        <v>1.512855529785156</v>
      </c>
    </row>
    <row r="43" spans="1:92" x14ac:dyDescent="0.25">
      <c r="A43" s="37">
        <v>4</v>
      </c>
      <c r="B43" s="12">
        <v>1</v>
      </c>
      <c r="C43" s="13">
        <v>4</v>
      </c>
      <c r="E43" s="14">
        <v>84.501305000000002</v>
      </c>
      <c r="F43" s="15">
        <v>83.364875999999995</v>
      </c>
      <c r="G43" s="15">
        <v>85.006270000000001</v>
      </c>
      <c r="H43" s="16">
        <v>84.934560000000005</v>
      </c>
      <c r="I43" s="12">
        <f t="shared" ref="I43:I52" si="64">IF(OR(E43="",E43="NaN"),"",E43-AVERAGE(E$43:E$52))</f>
        <v>0.14110800000000268</v>
      </c>
      <c r="J43" s="12">
        <f t="shared" ref="J43:J52" si="65">IF(OR(F43="",F43="NaN"),"",F43-AVERAGE(F$43:F$52))</f>
        <v>0.44229019999998798</v>
      </c>
      <c r="K43" s="12">
        <f t="shared" ref="K43:K52" si="66">IF(OR(G43="",G43="NaN"),"",G43-AVERAGE(G$43:G$52))</f>
        <v>0.66115929999998002</v>
      </c>
      <c r="L43" s="17">
        <v>82.609611511230469</v>
      </c>
      <c r="M43" s="5"/>
      <c r="N43" s="5"/>
      <c r="O43" s="14">
        <v>72.739006000000003</v>
      </c>
      <c r="P43" s="15">
        <v>72.291970000000006</v>
      </c>
      <c r="Q43" s="15">
        <v>72.430954</v>
      </c>
      <c r="R43" s="16">
        <v>72.459569999999999</v>
      </c>
      <c r="S43" s="12">
        <f t="shared" ref="S43:S52" si="67">IF(OR(O43="",O43="NaN"),"",O43-AVERAGE(O$43:O$52))</f>
        <v>0.16075780000001316</v>
      </c>
      <c r="T43" s="12">
        <f t="shared" ref="T43:T52" si="68">IF(OR(P43="",P43="NaN"),"",P43-AVERAGE(P$43:P$52))</f>
        <v>-0.12013469999999415</v>
      </c>
      <c r="U43" s="12">
        <f t="shared" ref="U43:U52" si="69">IF(OR(Q43="",Q43="NaN"),"",Q43-AVERAGE(Q$43:Q$52))</f>
        <v>6.7599599999994098E-2</v>
      </c>
      <c r="V43" s="17">
        <v>70.460731506347656</v>
      </c>
      <c r="W43" s="5"/>
      <c r="X43" s="5"/>
      <c r="Y43" s="14">
        <v>10.562703000000001</v>
      </c>
      <c r="Z43" s="15">
        <v>28.374613</v>
      </c>
      <c r="AA43" s="15">
        <v>9.7685999999999993</v>
      </c>
      <c r="AB43" s="16">
        <v>10.66583</v>
      </c>
      <c r="AC43" s="12">
        <f t="shared" ref="AC43:AC52" si="70">IF(OR(Y43="",Y43="NaN"),"",Y43-AVERAGE(Y$43:Y$52))</f>
        <v>-2.0591755999999997</v>
      </c>
      <c r="AD43" s="12">
        <f t="shared" ref="AD43:AD52" si="71">IF(OR(Z43="",Z43="NaN"),"",Z43-AVERAGE(Z$43:Z$52))</f>
        <v>2.9774022999999978</v>
      </c>
      <c r="AE43" s="12">
        <f t="shared" ref="AE43:AE52" si="72">IF(OR(AA43="",AA43="NaN"),"",AA43-AVERAGE(AA$43:AA$52))</f>
        <v>-2.1582687000000007</v>
      </c>
      <c r="AF43" s="17">
        <v>10.944827079772949</v>
      </c>
      <c r="AG43" s="5"/>
      <c r="AH43" s="5"/>
      <c r="AI43" s="14">
        <v>6.9688806999999997</v>
      </c>
      <c r="AJ43" s="15">
        <v>6.8111142999999998</v>
      </c>
      <c r="AK43" s="15">
        <v>6.9649996999999999</v>
      </c>
      <c r="AL43" s="16">
        <v>7.0428753000000004</v>
      </c>
      <c r="AM43" s="12">
        <f t="shared" ref="AM43:AM52" si="73">IF(OR(AI43="",AI43="NaN"),"",AI43-AVERAGE(AI$43:AI$52))</f>
        <v>-5.7295030000001468E-2</v>
      </c>
      <c r="AN43" s="12">
        <f t="shared" ref="AN43:AN52" si="74">IF(OR(AJ43="",AJ43="NaN"),"",AJ43-AVERAGE(AJ$43:AJ$52))</f>
        <v>-0.10875900999999999</v>
      </c>
      <c r="AO43" s="12">
        <f t="shared" ref="AO43:AO52" si="75">IF(OR(AK43="",AK43="NaN"),"",AK43-AVERAGE(AK$43:AK$52))</f>
        <v>-1.7077660000000883E-2</v>
      </c>
      <c r="AP43" s="17">
        <v>5.4340524673461914</v>
      </c>
      <c r="AR43" s="5"/>
      <c r="AS43" s="14">
        <v>9.7057819999999992</v>
      </c>
      <c r="AT43" s="15">
        <v>9.9934580000000004</v>
      </c>
      <c r="AU43" s="15">
        <v>10.335702</v>
      </c>
      <c r="AV43" s="16">
        <v>10.043514</v>
      </c>
      <c r="AW43" s="12">
        <f t="shared" ref="AW43:AW52" si="76">IF(OR(AS43="",AS43="NaN"),"",AS43-AVERAGE(AS$43:AS$52))</f>
        <v>-0.13240610000000075</v>
      </c>
      <c r="AX43" s="12">
        <f t="shared" ref="AX43:AX52" si="77">IF(OR(AT43="",AT43="NaN"),"",AT43-AVERAGE(AT$43:AT$52))</f>
        <v>0.4267114000000003</v>
      </c>
      <c r="AY43" s="12">
        <f t="shared" ref="AY43:AY52" si="78">IF(OR(AU43="",AU43="NaN"),"",AU43-AVERAGE(AU$43:AU$52))</f>
        <v>0.59777710000000006</v>
      </c>
      <c r="AZ43" s="17">
        <v>12.01936531066894</v>
      </c>
      <c r="BB43" s="5"/>
      <c r="BC43" s="14">
        <v>1.6349334</v>
      </c>
      <c r="BD43" s="15">
        <v>1.7897481</v>
      </c>
      <c r="BE43" s="15">
        <v>1.5173416</v>
      </c>
      <c r="BF43" s="16">
        <v>1.4734536</v>
      </c>
      <c r="BG43" s="12">
        <f t="shared" ref="BG43:BG52" si="79">IF(OR(BC43="",BC43="NaN"),"",BC43-AVERAGE(BC$43:BC$52))</f>
        <v>-0.10193758000000019</v>
      </c>
      <c r="BH43" s="12">
        <f t="shared" ref="BH43:BH52" si="80">IF(OR(BD43="",BD43="NaN"),"",BD43-AVERAGE(BD$43:BD$52))</f>
        <v>-3.6152400000000195E-2</v>
      </c>
      <c r="BI43" s="12">
        <f t="shared" ref="BI43:BI52" si="81">IF(OR(BE43="",BE43="NaN"),"",BE43-AVERAGE(BE$43:BE$52))</f>
        <v>-0.14410473000000001</v>
      </c>
      <c r="BJ43" s="17">
        <v>2.4883286952972412</v>
      </c>
      <c r="BL43" s="5"/>
      <c r="BM43" s="14">
        <v>8.1912850000000006</v>
      </c>
      <c r="BN43" s="15">
        <v>13.824626</v>
      </c>
      <c r="BO43" s="15">
        <v>6.5540620000000001</v>
      </c>
      <c r="BP43" s="16">
        <v>6.1152439999999997</v>
      </c>
      <c r="BQ43" s="12">
        <f t="shared" ref="BQ43:BQ52" si="82">IF(OR(BM43="",BM43="NaN"),"",BM43-AVERAGE(BM$43:BM$52))</f>
        <v>6.8307329999999666E-2</v>
      </c>
      <c r="BR43" s="12">
        <f t="shared" ref="BR43:BR52" si="83">IF(OR(BN43="",BN43="NaN"),"",BN43-AVERAGE(BN$43:BN$52))</f>
        <v>1.1117318000000012</v>
      </c>
      <c r="BS43" s="12">
        <f t="shared" ref="BS43:BS52" si="84">IF(OR(BO43="",BO43="NaN"),"",BO43-AVERAGE(BO$43:BO$52))</f>
        <v>-0.31142378000000015</v>
      </c>
      <c r="BT43" s="17">
        <v>2.4419879913330078</v>
      </c>
      <c r="BV43" s="5"/>
      <c r="BW43" s="14">
        <v>1.3334992999999999</v>
      </c>
      <c r="BX43" s="15">
        <v>2.1484773000000001</v>
      </c>
      <c r="BY43" s="15">
        <v>1.2871170999999999</v>
      </c>
      <c r="BZ43" s="16">
        <v>1.1420621</v>
      </c>
      <c r="CA43" s="12">
        <f t="shared" ref="CA43:CA52" si="85">IF(OR(BW43="",BW43="NaN"),"",BW43-AVERAGE(BW$43:BW$52))</f>
        <v>-0.17751279999999992</v>
      </c>
      <c r="CB43" s="12">
        <f t="shared" ref="CB43:CB52" si="86">IF(OR(BX43="",BX43="NaN"),"",BX43-AVERAGE(BX$43:BX$52))</f>
        <v>-0.64975651000000001</v>
      </c>
      <c r="CC43" s="12">
        <f t="shared" ref="CC43:CC52" si="87">IF(OR(BY43="",BY43="NaN"),"",BY43-AVERAGE(BY$43:BY$52))</f>
        <v>-7.6121820000000229E-2</v>
      </c>
      <c r="CD43" s="17">
        <v>2.2656726837158199</v>
      </c>
      <c r="CI43">
        <v>1.3076015710830691</v>
      </c>
      <c r="CN43">
        <v>1.633973121643066</v>
      </c>
    </row>
    <row r="44" spans="1:92" x14ac:dyDescent="0.25">
      <c r="A44" s="38"/>
      <c r="B44" s="5">
        <v>2</v>
      </c>
      <c r="C44" s="18">
        <v>9</v>
      </c>
      <c r="E44" s="19">
        <v>84.371499999999997</v>
      </c>
      <c r="F44" s="20">
        <v>83.131516000000005</v>
      </c>
      <c r="G44" s="20">
        <v>84.489425999999995</v>
      </c>
      <c r="H44" s="21">
        <v>84.600040000000007</v>
      </c>
      <c r="I44" s="5">
        <f t="shared" si="64"/>
        <v>1.1302999999998065E-2</v>
      </c>
      <c r="J44" s="5">
        <f t="shared" si="65"/>
        <v>0.20893019999999751</v>
      </c>
      <c r="K44" s="5">
        <f t="shared" si="66"/>
        <v>0.14431529999997394</v>
      </c>
      <c r="L44" s="22">
        <v>81.958152770996094</v>
      </c>
      <c r="M44" s="5"/>
      <c r="N44" s="5"/>
      <c r="O44" s="19">
        <v>72.909480000000002</v>
      </c>
      <c r="P44" s="20">
        <v>72.379530000000003</v>
      </c>
      <c r="Q44" s="20">
        <v>72.353989999999996</v>
      </c>
      <c r="R44" s="21">
        <v>72.494069999999994</v>
      </c>
      <c r="S44" s="5">
        <f t="shared" si="67"/>
        <v>0.33123180000001184</v>
      </c>
      <c r="T44" s="5">
        <f t="shared" si="68"/>
        <v>-3.2574699999997847E-2</v>
      </c>
      <c r="U44" s="5">
        <f t="shared" si="69"/>
        <v>-9.3644000000097094E-3</v>
      </c>
      <c r="V44" s="22">
        <v>73.496971130371094</v>
      </c>
      <c r="W44" s="5"/>
      <c r="X44" s="5"/>
      <c r="Y44" s="19">
        <v>9.1449909999999992</v>
      </c>
      <c r="Z44" s="20">
        <v>26.260784000000001</v>
      </c>
      <c r="AA44" s="20">
        <v>9.7417700000000007</v>
      </c>
      <c r="AB44" s="21">
        <v>9.5570360000000001</v>
      </c>
      <c r="AC44" s="5">
        <f t="shared" si="70"/>
        <v>-3.4768876000000013</v>
      </c>
      <c r="AD44" s="5">
        <f t="shared" si="71"/>
        <v>0.86357329999999877</v>
      </c>
      <c r="AE44" s="5">
        <f t="shared" si="72"/>
        <v>-2.1850986999999993</v>
      </c>
      <c r="AF44" s="22">
        <v>10.7048282623291</v>
      </c>
      <c r="AG44" s="5"/>
      <c r="AH44" s="5"/>
      <c r="AI44" s="19">
        <v>6.9712005000000001</v>
      </c>
      <c r="AJ44" s="20">
        <v>6.8595790000000001</v>
      </c>
      <c r="AK44" s="20">
        <v>6.9776590000000001</v>
      </c>
      <c r="AL44" s="21">
        <v>6.9754543</v>
      </c>
      <c r="AM44" s="5">
        <f t="shared" si="73"/>
        <v>-5.4975230000001041E-2</v>
      </c>
      <c r="AN44" s="5">
        <f t="shared" si="74"/>
        <v>-6.029430999999974E-2</v>
      </c>
      <c r="AO44" s="5">
        <f t="shared" si="75"/>
        <v>-4.4183600000007317E-3</v>
      </c>
      <c r="AP44" s="22">
        <v>4.5832014083862314</v>
      </c>
      <c r="AR44" s="5"/>
      <c r="AS44" s="19">
        <v>10.052028</v>
      </c>
      <c r="AT44" s="20">
        <v>10.011744999999999</v>
      </c>
      <c r="AU44" s="20">
        <v>9.9864949999999997</v>
      </c>
      <c r="AV44" s="21">
        <v>9.481052</v>
      </c>
      <c r="AW44" s="5">
        <f t="shared" si="76"/>
        <v>0.21383989999999997</v>
      </c>
      <c r="AX44" s="5">
        <f t="shared" si="77"/>
        <v>0.44499839999999935</v>
      </c>
      <c r="AY44" s="5">
        <f t="shared" si="78"/>
        <v>0.24857010000000024</v>
      </c>
      <c r="AZ44" s="22">
        <v>9.8017568588256836</v>
      </c>
      <c r="BB44" s="5"/>
      <c r="BC44" s="19">
        <v>1.6349334</v>
      </c>
      <c r="BD44" s="20">
        <v>1.8043317999999999</v>
      </c>
      <c r="BE44" s="20">
        <v>1.6349334</v>
      </c>
      <c r="BF44" s="21">
        <v>1.6349334</v>
      </c>
      <c r="BG44" s="5">
        <f t="shared" si="79"/>
        <v>-0.10193758000000019</v>
      </c>
      <c r="BH44" s="5">
        <f t="shared" si="80"/>
        <v>-2.1568700000000218E-2</v>
      </c>
      <c r="BI44" s="5">
        <f t="shared" si="81"/>
        <v>-2.651292999999999E-2</v>
      </c>
      <c r="BJ44" s="22">
        <v>2.179030179977417</v>
      </c>
      <c r="BL44" s="5"/>
      <c r="BM44" s="19">
        <v>5.6773195000000003</v>
      </c>
      <c r="BN44" s="20">
        <v>12.953274</v>
      </c>
      <c r="BO44" s="20">
        <v>5.9315619999999996</v>
      </c>
      <c r="BP44" s="21">
        <v>5.9669613999999997</v>
      </c>
      <c r="BQ44" s="5">
        <f t="shared" si="82"/>
        <v>-2.4456581700000006</v>
      </c>
      <c r="BR44" s="5">
        <f t="shared" si="83"/>
        <v>0.24037980000000125</v>
      </c>
      <c r="BS44" s="5">
        <f t="shared" si="84"/>
        <v>-0.93392378000000065</v>
      </c>
      <c r="BT44" s="22">
        <v>2.837152242660522</v>
      </c>
      <c r="BV44" s="5"/>
      <c r="BW44" s="19">
        <v>1.4796853999999999</v>
      </c>
      <c r="BX44" s="20">
        <v>2.8887385999999999</v>
      </c>
      <c r="BY44" s="20">
        <v>1.5069644</v>
      </c>
      <c r="BZ44" s="21">
        <v>1.4732556000000001</v>
      </c>
      <c r="CA44" s="5">
        <f t="shared" si="85"/>
        <v>-3.132669999999993E-2</v>
      </c>
      <c r="CB44" s="5">
        <f t="shared" si="86"/>
        <v>9.050478999999978E-2</v>
      </c>
      <c r="CC44" s="5">
        <f t="shared" si="87"/>
        <v>0.14372547999999985</v>
      </c>
      <c r="CD44" s="22">
        <v>1.258527517318726</v>
      </c>
      <c r="CI44">
        <v>1.2003436088562009</v>
      </c>
      <c r="CN44">
        <v>1.311695337295532</v>
      </c>
    </row>
    <row r="45" spans="1:92" x14ac:dyDescent="0.25">
      <c r="A45" s="38"/>
      <c r="B45" s="5">
        <v>3</v>
      </c>
      <c r="C45" s="18">
        <v>14</v>
      </c>
      <c r="E45" s="19">
        <v>85.213499999999996</v>
      </c>
      <c r="F45" s="20">
        <v>83.426209999999998</v>
      </c>
      <c r="G45" s="20">
        <v>84.825900000000004</v>
      </c>
      <c r="H45" s="21">
        <v>84.860939999999999</v>
      </c>
      <c r="I45" s="5">
        <f t="shared" si="64"/>
        <v>0.85330299999999681</v>
      </c>
      <c r="J45" s="5">
        <f t="shared" si="65"/>
        <v>0.5036241999999902</v>
      </c>
      <c r="K45" s="5">
        <f t="shared" si="66"/>
        <v>0.48078929999998365</v>
      </c>
      <c r="L45" s="22">
        <v>82.003921508789063</v>
      </c>
      <c r="M45" s="5"/>
      <c r="N45" s="5"/>
      <c r="O45" s="19">
        <v>72.032470000000004</v>
      </c>
      <c r="P45" s="20">
        <v>72.348656000000005</v>
      </c>
      <c r="Q45" s="20">
        <v>72.003879999999995</v>
      </c>
      <c r="R45" s="21">
        <v>72.216909999999999</v>
      </c>
      <c r="S45" s="5">
        <f t="shared" si="67"/>
        <v>-0.54577819999998667</v>
      </c>
      <c r="T45" s="5">
        <f t="shared" si="68"/>
        <v>-6.3448699999995029E-2</v>
      </c>
      <c r="U45" s="5">
        <f t="shared" si="69"/>
        <v>-0.35947440000001052</v>
      </c>
      <c r="V45" s="22">
        <v>72.315940856933594</v>
      </c>
      <c r="W45" s="5"/>
      <c r="X45" s="5"/>
      <c r="Y45" s="19">
        <v>20.401797999999999</v>
      </c>
      <c r="Z45" s="20">
        <v>26.446290000000001</v>
      </c>
      <c r="AA45" s="20">
        <v>21.176113000000001</v>
      </c>
      <c r="AB45" s="21">
        <v>21.338256999999999</v>
      </c>
      <c r="AC45" s="5">
        <f t="shared" si="70"/>
        <v>7.7799193999999989</v>
      </c>
      <c r="AD45" s="5">
        <f t="shared" si="71"/>
        <v>1.0490792999999989</v>
      </c>
      <c r="AE45" s="5">
        <f t="shared" si="72"/>
        <v>9.2492443000000009</v>
      </c>
      <c r="AF45" s="22">
        <v>9.1006507873535156</v>
      </c>
      <c r="AG45" s="5"/>
      <c r="AH45" s="5"/>
      <c r="AI45" s="19">
        <v>7.2542343000000002</v>
      </c>
      <c r="AJ45" s="20">
        <v>6.9685139999999999</v>
      </c>
      <c r="AK45" s="20">
        <v>7.2650880000000004</v>
      </c>
      <c r="AL45" s="21">
        <v>7.3333135</v>
      </c>
      <c r="AM45" s="5">
        <f t="shared" si="73"/>
        <v>0.22805856999999907</v>
      </c>
      <c r="AN45" s="5">
        <f t="shared" si="74"/>
        <v>4.8640690000000042E-2</v>
      </c>
      <c r="AO45" s="5">
        <f t="shared" si="75"/>
        <v>0.28301063999999965</v>
      </c>
      <c r="AP45" s="22">
        <v>5.5431661605834961</v>
      </c>
      <c r="AR45" s="5"/>
      <c r="AS45" s="19">
        <v>8.8547720000000005</v>
      </c>
      <c r="AT45" s="20">
        <v>8.9510249999999996</v>
      </c>
      <c r="AU45" s="20">
        <v>9.2742109999999993</v>
      </c>
      <c r="AV45" s="21">
        <v>9.3855020000000007</v>
      </c>
      <c r="AW45" s="5">
        <f t="shared" si="76"/>
        <v>-0.98341609999999946</v>
      </c>
      <c r="AX45" s="5">
        <f t="shared" si="77"/>
        <v>-0.61572160000000054</v>
      </c>
      <c r="AY45" s="5">
        <f t="shared" si="78"/>
        <v>-0.46371390000000012</v>
      </c>
      <c r="AZ45" s="22">
        <v>9.8790979385375977</v>
      </c>
      <c r="BB45" s="5"/>
      <c r="BC45" s="19">
        <v>1.9986472</v>
      </c>
      <c r="BD45" s="20">
        <v>1.8515157</v>
      </c>
      <c r="BE45" s="20">
        <v>1.9860901</v>
      </c>
      <c r="BF45" s="21">
        <v>1.9779393999999999</v>
      </c>
      <c r="BG45" s="5">
        <f t="shared" si="79"/>
        <v>0.26177621999999978</v>
      </c>
      <c r="BH45" s="5">
        <f t="shared" si="80"/>
        <v>2.5615199999999838E-2</v>
      </c>
      <c r="BI45" s="5">
        <f t="shared" si="81"/>
        <v>0.32464377</v>
      </c>
      <c r="BJ45" s="22">
        <v>1.7340444326400759</v>
      </c>
      <c r="BL45" s="5"/>
      <c r="BM45" s="19">
        <v>13.493396000000001</v>
      </c>
      <c r="BN45" s="20">
        <v>12.304064</v>
      </c>
      <c r="BO45" s="20">
        <v>12.457724000000001</v>
      </c>
      <c r="BP45" s="21">
        <v>11.324450499999999</v>
      </c>
      <c r="BQ45" s="5">
        <f t="shared" si="82"/>
        <v>5.3704183299999997</v>
      </c>
      <c r="BR45" s="5">
        <f t="shared" si="83"/>
        <v>-0.40883019999999881</v>
      </c>
      <c r="BS45" s="5">
        <f t="shared" si="84"/>
        <v>5.5922382200000005</v>
      </c>
      <c r="BT45" s="22">
        <v>3.370998859405518</v>
      </c>
      <c r="BV45" s="5"/>
      <c r="BW45" s="19">
        <v>1.6330952999999999</v>
      </c>
      <c r="BX45" s="20">
        <v>2.9028556000000001</v>
      </c>
      <c r="BY45" s="20">
        <v>1.6289468</v>
      </c>
      <c r="BZ45" s="21">
        <v>1.6223645</v>
      </c>
      <c r="CA45" s="5">
        <f t="shared" si="85"/>
        <v>0.12208320000000006</v>
      </c>
      <c r="CB45" s="5">
        <f t="shared" si="86"/>
        <v>0.10462178999999994</v>
      </c>
      <c r="CC45" s="5">
        <f t="shared" si="87"/>
        <v>0.2657078799999999</v>
      </c>
      <c r="CD45" s="22">
        <v>1.2654737234115601</v>
      </c>
      <c r="CI45">
        <v>1.462233901023865</v>
      </c>
      <c r="CN45">
        <v>1.279629707336426</v>
      </c>
    </row>
    <row r="46" spans="1:92" x14ac:dyDescent="0.25">
      <c r="A46" s="38"/>
      <c r="B46" s="5">
        <v>4</v>
      </c>
      <c r="C46" s="18">
        <v>19</v>
      </c>
      <c r="E46" s="19">
        <v>84.359790000000004</v>
      </c>
      <c r="F46" s="20">
        <v>83.535690000000002</v>
      </c>
      <c r="G46" s="20">
        <v>84.064229999999995</v>
      </c>
      <c r="H46" s="21">
        <v>84.436040000000006</v>
      </c>
      <c r="I46" s="5">
        <f t="shared" si="64"/>
        <v>-4.0699999999560532E-4</v>
      </c>
      <c r="J46" s="5">
        <f t="shared" si="65"/>
        <v>0.6131041999999951</v>
      </c>
      <c r="K46" s="5">
        <f t="shared" si="66"/>
        <v>-0.28088070000002574</v>
      </c>
      <c r="L46" s="22">
        <v>82.582359313964844</v>
      </c>
      <c r="M46" s="5"/>
      <c r="N46" s="5"/>
      <c r="O46" s="19">
        <v>72.662469999999999</v>
      </c>
      <c r="P46" s="20">
        <v>72.480840000000001</v>
      </c>
      <c r="Q46" s="20">
        <v>72.511930000000007</v>
      </c>
      <c r="R46" s="21">
        <v>72.465090000000004</v>
      </c>
      <c r="S46" s="5">
        <f t="shared" si="67"/>
        <v>8.4221800000008784E-2</v>
      </c>
      <c r="T46" s="5">
        <f t="shared" si="68"/>
        <v>6.8735300000000166E-2</v>
      </c>
      <c r="U46" s="5">
        <f t="shared" si="69"/>
        <v>0.14857560000000092</v>
      </c>
      <c r="V46" s="22">
        <v>74.261451721191406</v>
      </c>
      <c r="W46" s="5"/>
      <c r="X46" s="5"/>
      <c r="Y46" s="19">
        <v>10.055076</v>
      </c>
      <c r="Z46" s="20">
        <v>25.895128</v>
      </c>
      <c r="AA46" s="20">
        <v>9.4809319999999992</v>
      </c>
      <c r="AB46" s="21">
        <v>11.07888</v>
      </c>
      <c r="AC46" s="5">
        <f t="shared" si="70"/>
        <v>-2.5668026000000008</v>
      </c>
      <c r="AD46" s="5">
        <f t="shared" si="71"/>
        <v>0.49791729999999745</v>
      </c>
      <c r="AE46" s="5">
        <f t="shared" si="72"/>
        <v>-2.4459367000000007</v>
      </c>
      <c r="AF46" s="22">
        <v>11.3830680847168</v>
      </c>
      <c r="AG46" s="5"/>
      <c r="AH46" s="5"/>
      <c r="AI46" s="19">
        <v>7.0024139999999999</v>
      </c>
      <c r="AJ46" s="20">
        <v>6.9369698</v>
      </c>
      <c r="AK46" s="20">
        <v>6.9798010000000001</v>
      </c>
      <c r="AL46" s="21">
        <v>6.9630729999999996</v>
      </c>
      <c r="AM46" s="5">
        <f t="shared" si="73"/>
        <v>-2.3761730000001258E-2</v>
      </c>
      <c r="AN46" s="5">
        <f t="shared" si="74"/>
        <v>1.7096490000000131E-2</v>
      </c>
      <c r="AO46" s="5">
        <f t="shared" si="75"/>
        <v>-2.2763600000006434E-3</v>
      </c>
      <c r="AP46" s="22">
        <v>4.886075496673584</v>
      </c>
      <c r="AR46" s="5"/>
      <c r="AS46" s="19">
        <v>10.066762000000001</v>
      </c>
      <c r="AT46" s="20">
        <v>8.9253119999999999</v>
      </c>
      <c r="AU46" s="20">
        <v>10.01943</v>
      </c>
      <c r="AV46" s="21">
        <v>9.9294030000000006</v>
      </c>
      <c r="AW46" s="5">
        <f t="shared" si="76"/>
        <v>0.22857390000000066</v>
      </c>
      <c r="AX46" s="5">
        <f t="shared" si="77"/>
        <v>-0.64143460000000019</v>
      </c>
      <c r="AY46" s="5">
        <f t="shared" si="78"/>
        <v>0.2815051000000004</v>
      </c>
      <c r="AZ46" s="22">
        <v>11.154356002807621</v>
      </c>
      <c r="BB46" s="5"/>
      <c r="BC46" s="19">
        <v>1.6563680000000001</v>
      </c>
      <c r="BD46" s="20">
        <v>1.8545752</v>
      </c>
      <c r="BE46" s="20">
        <v>1.6349334</v>
      </c>
      <c r="BF46" s="21">
        <v>1.6482175999999999</v>
      </c>
      <c r="BG46" s="5">
        <f t="shared" si="79"/>
        <v>-8.0502980000000113E-2</v>
      </c>
      <c r="BH46" s="5">
        <f t="shared" si="80"/>
        <v>2.8674699999999831E-2</v>
      </c>
      <c r="BI46" s="5">
        <f t="shared" si="81"/>
        <v>-2.651292999999999E-2</v>
      </c>
      <c r="BJ46" s="22">
        <v>3.17444896697998</v>
      </c>
      <c r="BL46" s="5"/>
      <c r="BM46" s="19">
        <v>6.7875860000000001</v>
      </c>
      <c r="BN46" s="20">
        <v>12.087377999999999</v>
      </c>
      <c r="BO46" s="20">
        <v>6.4761980000000001</v>
      </c>
      <c r="BP46" s="21">
        <v>6.2279140000000002</v>
      </c>
      <c r="BQ46" s="5">
        <f t="shared" si="82"/>
        <v>-1.3353916700000008</v>
      </c>
      <c r="BR46" s="5">
        <f t="shared" si="83"/>
        <v>-0.62551619999999986</v>
      </c>
      <c r="BS46" s="5">
        <f t="shared" si="84"/>
        <v>-0.38928778000000008</v>
      </c>
      <c r="BT46" s="22">
        <v>2.5699350833892818</v>
      </c>
      <c r="BV46" s="5"/>
      <c r="BW46" s="19">
        <v>1.5335977000000001</v>
      </c>
      <c r="BX46" s="20">
        <v>2.7692391999999999</v>
      </c>
      <c r="BY46" s="20">
        <v>1.5114685999999999</v>
      </c>
      <c r="BZ46" s="21">
        <v>1.5121142999999999</v>
      </c>
      <c r="CA46" s="5">
        <f t="shared" si="85"/>
        <v>2.2585600000000206E-2</v>
      </c>
      <c r="CB46" s="5">
        <f t="shared" si="86"/>
        <v>-2.8994610000000254E-2</v>
      </c>
      <c r="CC46" s="5">
        <f t="shared" si="87"/>
        <v>0.14822967999999981</v>
      </c>
      <c r="CD46" s="22">
        <v>1.4985823631286621</v>
      </c>
      <c r="CI46">
        <v>1.5833795070648189</v>
      </c>
      <c r="CN46">
        <v>2.1167676448822021</v>
      </c>
    </row>
    <row r="47" spans="1:92" x14ac:dyDescent="0.25">
      <c r="A47" s="38"/>
      <c r="B47" s="5">
        <v>5</v>
      </c>
      <c r="C47" s="18">
        <v>24</v>
      </c>
      <c r="E47" s="19">
        <v>84.787459999999996</v>
      </c>
      <c r="F47" s="20">
        <v>82.025660000000002</v>
      </c>
      <c r="G47" s="20">
        <v>84.736310000000003</v>
      </c>
      <c r="H47" s="21">
        <v>84.736519999999999</v>
      </c>
      <c r="I47" s="5">
        <f t="shared" si="64"/>
        <v>0.4272629999999964</v>
      </c>
      <c r="J47" s="5">
        <f t="shared" si="65"/>
        <v>-0.89692580000000532</v>
      </c>
      <c r="K47" s="5">
        <f t="shared" si="66"/>
        <v>0.39119929999998249</v>
      </c>
      <c r="L47" s="22">
        <v>82.681610107421875</v>
      </c>
      <c r="M47" s="5"/>
      <c r="N47" s="5"/>
      <c r="O47" s="19">
        <v>72.435310000000001</v>
      </c>
      <c r="P47" s="20">
        <v>72.166070000000005</v>
      </c>
      <c r="Q47" s="20">
        <v>72.161569999999998</v>
      </c>
      <c r="R47" s="21">
        <v>72.433555999999996</v>
      </c>
      <c r="S47" s="5">
        <f t="shared" si="67"/>
        <v>-0.14293819999998902</v>
      </c>
      <c r="T47" s="5">
        <f t="shared" si="68"/>
        <v>-0.24603469999999561</v>
      </c>
      <c r="U47" s="5">
        <f t="shared" si="69"/>
        <v>-0.20178440000000819</v>
      </c>
      <c r="V47" s="22">
        <v>72.625900268554688</v>
      </c>
      <c r="W47" s="5"/>
      <c r="X47" s="5"/>
      <c r="Y47" s="19">
        <v>9.2353869999999993</v>
      </c>
      <c r="Z47" s="20">
        <v>26.116648000000001</v>
      </c>
      <c r="AA47" s="20">
        <v>9.6801239999999993</v>
      </c>
      <c r="AB47" s="21">
        <v>9.3751339999999992</v>
      </c>
      <c r="AC47" s="5">
        <f t="shared" si="70"/>
        <v>-3.3864916000000012</v>
      </c>
      <c r="AD47" s="5">
        <f t="shared" si="71"/>
        <v>0.71943729999999917</v>
      </c>
      <c r="AE47" s="5">
        <f t="shared" si="72"/>
        <v>-2.2467447000000007</v>
      </c>
      <c r="AF47" s="22">
        <v>10.94961452484131</v>
      </c>
      <c r="AG47" s="5"/>
      <c r="AH47" s="5"/>
      <c r="AI47" s="19">
        <v>6.8925858</v>
      </c>
      <c r="AJ47" s="20">
        <v>6.7652010000000002</v>
      </c>
      <c r="AK47" s="20">
        <v>6.8252443999999999</v>
      </c>
      <c r="AL47" s="21">
        <v>6.9479236999999996</v>
      </c>
      <c r="AM47" s="5">
        <f t="shared" si="73"/>
        <v>-0.13358993000000119</v>
      </c>
      <c r="AN47" s="5">
        <f t="shared" si="74"/>
        <v>-0.15467230999999959</v>
      </c>
      <c r="AO47" s="5">
        <f t="shared" si="75"/>
        <v>-0.15683296000000091</v>
      </c>
      <c r="AP47" s="22">
        <v>4.7604885101318359</v>
      </c>
      <c r="AR47" s="5"/>
      <c r="AS47" s="19">
        <v>10.274335000000001</v>
      </c>
      <c r="AT47" s="20">
        <v>10.007073</v>
      </c>
      <c r="AU47" s="20">
        <v>10.380697</v>
      </c>
      <c r="AV47" s="21">
        <v>10.179427</v>
      </c>
      <c r="AW47" s="5">
        <f t="shared" si="76"/>
        <v>0.43614690000000067</v>
      </c>
      <c r="AX47" s="5">
        <f t="shared" si="77"/>
        <v>0.44032640000000001</v>
      </c>
      <c r="AY47" s="5">
        <f t="shared" si="78"/>
        <v>0.64277210000000018</v>
      </c>
      <c r="AZ47" s="22">
        <v>12.250059127807621</v>
      </c>
      <c r="BB47" s="5"/>
      <c r="BC47" s="19">
        <v>1.6308415000000001</v>
      </c>
      <c r="BD47" s="20">
        <v>1.8043317999999999</v>
      </c>
      <c r="BE47" s="20">
        <v>1.5265416999999999</v>
      </c>
      <c r="BF47" s="21">
        <v>1.6192933</v>
      </c>
      <c r="BG47" s="5">
        <f t="shared" si="79"/>
        <v>-0.10602948000000012</v>
      </c>
      <c r="BH47" s="5">
        <f t="shared" si="80"/>
        <v>-2.1568700000000218E-2</v>
      </c>
      <c r="BI47" s="5">
        <f t="shared" si="81"/>
        <v>-0.13490463000000008</v>
      </c>
      <c r="BJ47" s="22">
        <v>2.3001420497894292</v>
      </c>
      <c r="BL47" s="5"/>
      <c r="BM47" s="19">
        <v>5.2639655999999997</v>
      </c>
      <c r="BN47" s="20">
        <v>13.751461000000001</v>
      </c>
      <c r="BO47" s="20">
        <v>5.1372260000000001</v>
      </c>
      <c r="BP47" s="21">
        <v>5.4282383999999997</v>
      </c>
      <c r="BQ47" s="5">
        <f t="shared" si="82"/>
        <v>-2.8590120700000012</v>
      </c>
      <c r="BR47" s="5">
        <f t="shared" si="83"/>
        <v>1.0385668000000017</v>
      </c>
      <c r="BS47" s="5">
        <f t="shared" si="84"/>
        <v>-1.7282597800000001</v>
      </c>
      <c r="BT47" s="22">
        <v>2.4550297260284419</v>
      </c>
      <c r="BV47" s="5"/>
      <c r="BW47" s="19">
        <v>1.3407709999999999</v>
      </c>
      <c r="BX47" s="20">
        <v>2.927009</v>
      </c>
      <c r="BY47" s="20">
        <v>1.1686958000000001</v>
      </c>
      <c r="BZ47" s="21">
        <v>1.3360399999999999</v>
      </c>
      <c r="CA47" s="5">
        <f t="shared" si="85"/>
        <v>-0.17024109999999992</v>
      </c>
      <c r="CB47" s="5">
        <f t="shared" si="86"/>
        <v>0.12877518999999982</v>
      </c>
      <c r="CC47" s="5">
        <f t="shared" si="87"/>
        <v>-0.19454312000000007</v>
      </c>
      <c r="CD47" s="22">
        <v>2.2327418327331539</v>
      </c>
      <c r="CI47">
        <v>1.4952917098999019</v>
      </c>
      <c r="CN47">
        <v>2.240687370300293</v>
      </c>
    </row>
    <row r="48" spans="1:92" x14ac:dyDescent="0.25">
      <c r="A48" s="38"/>
      <c r="B48" s="5">
        <v>6</v>
      </c>
      <c r="C48" s="18">
        <v>29</v>
      </c>
      <c r="E48" s="19">
        <v>84.280069999999995</v>
      </c>
      <c r="F48" s="20">
        <v>83.361050000000006</v>
      </c>
      <c r="G48" s="20">
        <v>84.133790000000005</v>
      </c>
      <c r="H48" s="21">
        <v>77.235770000000002</v>
      </c>
      <c r="I48" s="5">
        <f t="shared" si="64"/>
        <v>-8.01270000000045E-2</v>
      </c>
      <c r="J48" s="5">
        <f t="shared" si="65"/>
        <v>0.43846419999999853</v>
      </c>
      <c r="K48" s="5">
        <f t="shared" si="66"/>
        <v>-0.2113207000000159</v>
      </c>
      <c r="L48" s="22">
        <v>82.854255676269531</v>
      </c>
      <c r="M48" s="5"/>
      <c r="N48" s="5"/>
      <c r="O48" s="19">
        <v>72.457015999999996</v>
      </c>
      <c r="P48" s="20">
        <v>72.191055000000006</v>
      </c>
      <c r="Q48" s="20">
        <v>72.292190000000005</v>
      </c>
      <c r="R48" s="21">
        <v>62.470416999999998</v>
      </c>
      <c r="S48" s="5">
        <f t="shared" si="67"/>
        <v>-0.12123219999999435</v>
      </c>
      <c r="T48" s="5">
        <f t="shared" si="68"/>
        <v>-0.22104969999999469</v>
      </c>
      <c r="U48" s="5">
        <f t="shared" si="69"/>
        <v>-7.1164400000000683E-2</v>
      </c>
      <c r="V48" s="22">
        <v>73.554855346679688</v>
      </c>
      <c r="W48" s="5"/>
      <c r="X48" s="5"/>
      <c r="Y48" s="19">
        <v>11.007002</v>
      </c>
      <c r="Z48" s="20">
        <v>22.238745000000002</v>
      </c>
      <c r="AA48" s="20">
        <v>10.007533</v>
      </c>
      <c r="AB48" s="21">
        <v>21.885884999999998</v>
      </c>
      <c r="AC48" s="5">
        <f t="shared" si="70"/>
        <v>-1.6148766000000006</v>
      </c>
      <c r="AD48" s="5">
        <f t="shared" si="71"/>
        <v>-3.1584657000000007</v>
      </c>
      <c r="AE48" s="5">
        <f t="shared" si="72"/>
        <v>-1.9193356999999995</v>
      </c>
      <c r="AF48" s="22">
        <v>11.48273372650146</v>
      </c>
      <c r="AG48" s="5"/>
      <c r="AH48" s="5"/>
      <c r="AI48" s="19">
        <v>6.9858574999999998</v>
      </c>
      <c r="AJ48" s="20">
        <v>7.0320109999999998</v>
      </c>
      <c r="AK48" s="20">
        <v>7.0615639999999997</v>
      </c>
      <c r="AL48" s="21">
        <v>8.5092929999999996</v>
      </c>
      <c r="AM48" s="5">
        <f t="shared" si="73"/>
        <v>-4.0318230000001343E-2</v>
      </c>
      <c r="AN48" s="5">
        <f t="shared" si="74"/>
        <v>0.11213768999999996</v>
      </c>
      <c r="AO48" s="5">
        <f t="shared" si="75"/>
        <v>7.9486639999998943E-2</v>
      </c>
      <c r="AP48" s="22">
        <v>5.1006088256835938</v>
      </c>
      <c r="AR48" s="5"/>
      <c r="AS48" s="19">
        <v>9.3553139999999999</v>
      </c>
      <c r="AT48" s="20">
        <v>9.4124490000000005</v>
      </c>
      <c r="AU48" s="20">
        <v>9.2456610000000001</v>
      </c>
      <c r="AV48" s="21">
        <v>17.723372000000001</v>
      </c>
      <c r="AW48" s="5">
        <f t="shared" si="76"/>
        <v>-0.48287410000000008</v>
      </c>
      <c r="AX48" s="5">
        <f t="shared" si="77"/>
        <v>-0.15429759999999959</v>
      </c>
      <c r="AY48" s="5">
        <f t="shared" si="78"/>
        <v>-0.49226389999999931</v>
      </c>
      <c r="AZ48" s="22">
        <v>11.343202590942379</v>
      </c>
      <c r="BB48" s="5"/>
      <c r="BC48" s="19">
        <v>1.6659074</v>
      </c>
      <c r="BD48" s="20">
        <v>1.9499179</v>
      </c>
      <c r="BE48" s="20">
        <v>1.5342431999999999</v>
      </c>
      <c r="BF48" s="21">
        <v>2.6428232</v>
      </c>
      <c r="BG48" s="5">
        <f t="shared" si="79"/>
        <v>-7.0963580000000137E-2</v>
      </c>
      <c r="BH48" s="5">
        <f t="shared" si="80"/>
        <v>0.12401739999999983</v>
      </c>
      <c r="BI48" s="5">
        <f t="shared" si="81"/>
        <v>-0.12720313000000005</v>
      </c>
      <c r="BJ48" s="22">
        <v>3.163144588470459</v>
      </c>
      <c r="BL48" s="5"/>
      <c r="BM48" s="19">
        <v>8.6178489999999996</v>
      </c>
      <c r="BN48" s="20">
        <v>11.732073</v>
      </c>
      <c r="BO48" s="20">
        <v>5.1587490000000003</v>
      </c>
      <c r="BP48" s="21">
        <v>15.075961</v>
      </c>
      <c r="BQ48" s="5">
        <f t="shared" si="82"/>
        <v>0.49487132999999872</v>
      </c>
      <c r="BR48" s="5">
        <f t="shared" si="83"/>
        <v>-0.98082119999999939</v>
      </c>
      <c r="BS48" s="5">
        <f t="shared" si="84"/>
        <v>-1.70673678</v>
      </c>
      <c r="BT48" s="22">
        <v>2.503325223922729</v>
      </c>
      <c r="BV48" s="5"/>
      <c r="BW48" s="19">
        <v>1.5104126</v>
      </c>
      <c r="BX48" s="20">
        <v>3.0177488000000001</v>
      </c>
      <c r="BY48" s="20">
        <v>1.196124</v>
      </c>
      <c r="BZ48" s="21">
        <v>3.4586410000000001</v>
      </c>
      <c r="CA48" s="5">
        <f t="shared" si="85"/>
        <v>-5.9949999999986403E-4</v>
      </c>
      <c r="CB48" s="5">
        <f t="shared" si="86"/>
        <v>0.21951498999999997</v>
      </c>
      <c r="CC48" s="5">
        <f t="shared" si="87"/>
        <v>-0.16711492000000017</v>
      </c>
      <c r="CD48" s="22">
        <v>1.465081095695496</v>
      </c>
      <c r="CI48">
        <v>1.520667552947998</v>
      </c>
      <c r="CN48">
        <v>1.8622362613677981</v>
      </c>
    </row>
    <row r="49" spans="1:82" x14ac:dyDescent="0.25">
      <c r="A49" s="38"/>
      <c r="B49" s="5">
        <v>7</v>
      </c>
      <c r="C49" s="18">
        <v>34</v>
      </c>
      <c r="E49" s="19">
        <v>83.880549999999999</v>
      </c>
      <c r="F49" s="20">
        <v>83.62603</v>
      </c>
      <c r="G49" s="20">
        <v>83.875389999999996</v>
      </c>
      <c r="H49" s="21">
        <v>84.089775000000003</v>
      </c>
      <c r="I49" s="5">
        <f t="shared" si="64"/>
        <v>-0.47964699999999993</v>
      </c>
      <c r="J49" s="5">
        <f t="shared" si="65"/>
        <v>0.70344419999999275</v>
      </c>
      <c r="K49" s="5">
        <f t="shared" si="66"/>
        <v>-0.46972070000002475</v>
      </c>
      <c r="L49" s="22">
        <f>IF(OR(H49="",H49="NaN"),"",H49-AVERAGE(H$43:H$52))</f>
        <v>0.39578090000000543</v>
      </c>
      <c r="M49" s="5"/>
      <c r="N49" s="5"/>
      <c r="O49" s="19">
        <v>72.674530000000004</v>
      </c>
      <c r="P49" s="20">
        <v>72.689499999999995</v>
      </c>
      <c r="Q49" s="20">
        <v>72.406350000000003</v>
      </c>
      <c r="R49" s="21">
        <v>72.397229999999993</v>
      </c>
      <c r="S49" s="5">
        <f t="shared" si="67"/>
        <v>9.6281800000014073E-2</v>
      </c>
      <c r="T49" s="5">
        <f t="shared" si="68"/>
        <v>0.2773952999999949</v>
      </c>
      <c r="U49" s="5">
        <f t="shared" si="69"/>
        <v>4.299559999999758E-2</v>
      </c>
      <c r="V49" s="22">
        <f>IF(OR(R49="",R49="NaN"),"",R49-AVERAGE(R$43:R$52))</f>
        <v>0.88928709999999001</v>
      </c>
      <c r="W49" s="5"/>
      <c r="X49" s="5"/>
      <c r="Y49" s="19">
        <v>10.578647</v>
      </c>
      <c r="Z49" s="20">
        <v>23.545565</v>
      </c>
      <c r="AA49" s="20">
        <v>9.5538220000000003</v>
      </c>
      <c r="AB49" s="21">
        <v>9.6907840000000007</v>
      </c>
      <c r="AC49" s="5">
        <f t="shared" si="70"/>
        <v>-2.0432316000000004</v>
      </c>
      <c r="AD49" s="5">
        <f t="shared" si="71"/>
        <v>-1.8516457000000024</v>
      </c>
      <c r="AE49" s="5">
        <f t="shared" si="72"/>
        <v>-2.3730466999999997</v>
      </c>
      <c r="AF49" s="22">
        <f>IF(OR(AB49="",AB49="NaN"),"",AB49-AVERAGE(AB$43:AB$52))</f>
        <v>-3.9551704999999977</v>
      </c>
      <c r="AG49" s="5"/>
      <c r="AH49" s="5"/>
      <c r="AI49" s="19">
        <v>6.9546742000000004</v>
      </c>
      <c r="AJ49" s="20">
        <v>7.0263147000000004</v>
      </c>
      <c r="AK49" s="20">
        <v>6.6843614999999996</v>
      </c>
      <c r="AL49" s="21">
        <v>6.4660076999999996</v>
      </c>
      <c r="AM49" s="5">
        <f t="shared" si="73"/>
        <v>-7.1501530000000812E-2</v>
      </c>
      <c r="AN49" s="5">
        <f t="shared" si="74"/>
        <v>0.10644139000000052</v>
      </c>
      <c r="AO49" s="5">
        <f t="shared" si="75"/>
        <v>-0.29771586000000116</v>
      </c>
      <c r="AP49" s="22">
        <f>IF(OR(AL49="",AL49="NaN"),"",AL49-AVERAGE(AL$43:AL$52))</f>
        <v>-0.68232084999999998</v>
      </c>
      <c r="AR49" s="5"/>
      <c r="AS49" s="19">
        <v>10.647320000000001</v>
      </c>
      <c r="AT49" s="20">
        <v>10.037841999999999</v>
      </c>
      <c r="AU49" s="20">
        <v>9.3862419999999993</v>
      </c>
      <c r="AV49" s="21">
        <v>9.4116909999999994</v>
      </c>
      <c r="AW49" s="5">
        <f t="shared" si="76"/>
        <v>0.80913190000000057</v>
      </c>
      <c r="AX49" s="5">
        <f t="shared" si="77"/>
        <v>0.47109539999999939</v>
      </c>
      <c r="AY49" s="5">
        <f t="shared" si="78"/>
        <v>-0.35168290000000013</v>
      </c>
      <c r="AZ49" s="22">
        <f>IF(OR(AV49="",AV49="NaN"),"",AV49-AVERAGE(AV$43:AV$52))</f>
        <v>-1.1861129000000012</v>
      </c>
      <c r="BB49" s="5"/>
      <c r="BC49" s="19">
        <v>1.6482175999999999</v>
      </c>
      <c r="BD49" s="20">
        <v>1.7948227999999999</v>
      </c>
      <c r="BE49" s="20">
        <v>1.5439178</v>
      </c>
      <c r="BF49" s="21">
        <v>1.5439178</v>
      </c>
      <c r="BG49" s="5">
        <f t="shared" si="79"/>
        <v>-8.8653380000000226E-2</v>
      </c>
      <c r="BH49" s="5">
        <f t="shared" si="80"/>
        <v>-3.1077700000000208E-2</v>
      </c>
      <c r="BI49" s="5">
        <f t="shared" si="81"/>
        <v>-0.11752852999999996</v>
      </c>
      <c r="BJ49" s="22">
        <f>IF(OR(BF49="",BF49="NaN"),"",BF49-AVERAGE(BF$43:BF$52))</f>
        <v>-0.25344123000000018</v>
      </c>
      <c r="BL49" s="5"/>
      <c r="BM49" s="19">
        <v>5.4263744000000003</v>
      </c>
      <c r="BN49" s="20">
        <v>11.809029000000001</v>
      </c>
      <c r="BO49" s="20">
        <v>3.8219438000000001</v>
      </c>
      <c r="BP49" s="21">
        <v>4.0287850000000001</v>
      </c>
      <c r="BQ49" s="5">
        <f t="shared" si="82"/>
        <v>-2.6966032700000007</v>
      </c>
      <c r="BR49" s="5">
        <f t="shared" si="83"/>
        <v>-0.90386519999999848</v>
      </c>
      <c r="BS49" s="5">
        <f t="shared" si="84"/>
        <v>-3.0435419800000001</v>
      </c>
      <c r="BT49" s="22">
        <f>IF(OR(BP49="",BP49="NaN"),"",BP49-AVERAGE(BP$43:BP$52))</f>
        <v>-3.9450669799999991</v>
      </c>
      <c r="BV49" s="5"/>
      <c r="BW49" s="19">
        <v>1.3979809999999999</v>
      </c>
      <c r="BX49" s="20">
        <v>2.7087425999999999</v>
      </c>
      <c r="BY49" s="20">
        <v>1.178207</v>
      </c>
      <c r="BZ49" s="21">
        <v>1.1186761000000001</v>
      </c>
      <c r="CA49" s="5">
        <f t="shared" si="85"/>
        <v>-0.11303109999999994</v>
      </c>
      <c r="CB49" s="5">
        <f t="shared" si="86"/>
        <v>-8.9491210000000265E-2</v>
      </c>
      <c r="CC49" s="5">
        <f t="shared" si="87"/>
        <v>-0.18503192000000013</v>
      </c>
      <c r="CD49" s="22">
        <f>IF(OR(BZ49="",BZ49="NaN"),"",BZ49-AVERAGE(BZ$43:BZ$52))</f>
        <v>-0.48430640999999985</v>
      </c>
    </row>
    <row r="50" spans="1:82" x14ac:dyDescent="0.25">
      <c r="A50" s="38"/>
      <c r="B50" s="5">
        <v>8</v>
      </c>
      <c r="C50" s="18">
        <v>39</v>
      </c>
      <c r="E50" s="19">
        <v>84.185959999999994</v>
      </c>
      <c r="F50" s="20">
        <v>80.793629999999993</v>
      </c>
      <c r="G50" s="20">
        <v>83.698880000000003</v>
      </c>
      <c r="H50" s="21">
        <v>83.944239999999994</v>
      </c>
      <c r="I50" s="5">
        <f t="shared" si="64"/>
        <v>-0.17423700000000508</v>
      </c>
      <c r="J50" s="5">
        <f t="shared" si="65"/>
        <v>-2.1289558000000142</v>
      </c>
      <c r="K50" s="5">
        <f t="shared" si="66"/>
        <v>-0.64623070000001803</v>
      </c>
      <c r="L50" s="22">
        <f>IF(OR(H50="",H50="NaN"),"",H50-AVERAGE(H$43:H$52))</f>
        <v>0.25024589999999591</v>
      </c>
      <c r="M50" s="5"/>
      <c r="N50" s="5"/>
      <c r="O50" s="19">
        <v>73.133390000000006</v>
      </c>
      <c r="P50" s="20">
        <v>72.475660000000005</v>
      </c>
      <c r="Q50" s="20">
        <v>72.873750000000001</v>
      </c>
      <c r="R50" s="21">
        <v>73.156875999999997</v>
      </c>
      <c r="S50" s="5">
        <f t="shared" si="67"/>
        <v>0.55514180000001545</v>
      </c>
      <c r="T50" s="5">
        <f t="shared" si="68"/>
        <v>6.3555300000004422E-2</v>
      </c>
      <c r="U50" s="5">
        <f t="shared" si="69"/>
        <v>0.5103955999999954</v>
      </c>
      <c r="V50" s="22">
        <f>IF(OR(R50="",R50="NaN"),"",R50-AVERAGE(R$43:R$52))</f>
        <v>1.6489330999999936</v>
      </c>
      <c r="W50" s="5"/>
      <c r="X50" s="5"/>
      <c r="Y50" s="19">
        <v>11.113913</v>
      </c>
      <c r="Z50" s="20">
        <v>22.432354</v>
      </c>
      <c r="AA50" s="20">
        <v>9.6916910000000005</v>
      </c>
      <c r="AB50" s="21">
        <v>10.070237000000001</v>
      </c>
      <c r="AC50" s="5">
        <f t="shared" si="70"/>
        <v>-1.5079656000000004</v>
      </c>
      <c r="AD50" s="5">
        <f t="shared" si="71"/>
        <v>-2.9648567000000021</v>
      </c>
      <c r="AE50" s="5">
        <f t="shared" si="72"/>
        <v>-2.2351776999999995</v>
      </c>
      <c r="AF50" s="22">
        <f>IF(OR(AB50="",AB50="NaN"),"",AB50-AVERAGE(AB$43:AB$52))</f>
        <v>-3.5757174999999979</v>
      </c>
      <c r="AG50" s="5"/>
      <c r="AH50" s="5"/>
      <c r="AI50" s="19">
        <v>7.1915459999999998</v>
      </c>
      <c r="AJ50" s="20">
        <v>6.9389814999999997</v>
      </c>
      <c r="AK50" s="20">
        <v>6.9919760000000002</v>
      </c>
      <c r="AL50" s="21">
        <v>7.2630290000000004</v>
      </c>
      <c r="AM50" s="5">
        <f t="shared" si="73"/>
        <v>0.1653702699999986</v>
      </c>
      <c r="AN50" s="5">
        <f t="shared" si="74"/>
        <v>1.9108189999999858E-2</v>
      </c>
      <c r="AO50" s="5">
        <f t="shared" si="75"/>
        <v>9.8986399999994035E-3</v>
      </c>
      <c r="AP50" s="22">
        <f>IF(OR(AL50="",AL50="NaN"),"",AL50-AVERAGE(AL$43:AL$52))</f>
        <v>0.11470045000000084</v>
      </c>
      <c r="AR50" s="5"/>
      <c r="AS50" s="19">
        <v>10.207098999999999</v>
      </c>
      <c r="AT50" s="20">
        <v>9.4930869999999992</v>
      </c>
      <c r="AU50" s="20">
        <v>9.8444249999999993</v>
      </c>
      <c r="AV50" s="21">
        <v>10.300874</v>
      </c>
      <c r="AW50" s="5">
        <f t="shared" si="76"/>
        <v>0.36891089999999949</v>
      </c>
      <c r="AX50" s="5">
        <f t="shared" si="77"/>
        <v>-7.3659600000000935E-2</v>
      </c>
      <c r="AY50" s="5">
        <f t="shared" si="78"/>
        <v>0.10650009999999988</v>
      </c>
      <c r="AZ50" s="22">
        <f>IF(OR(AV50="",AV50="NaN"),"",AV50-AVERAGE(AV$43:AV$52))</f>
        <v>-0.2969299000000003</v>
      </c>
      <c r="BB50" s="5"/>
      <c r="BC50" s="19">
        <v>1.6102436</v>
      </c>
      <c r="BD50" s="20">
        <v>1.7346060999999999</v>
      </c>
      <c r="BE50" s="20">
        <v>1.5946035000000001</v>
      </c>
      <c r="BF50" s="21">
        <v>1.6260717</v>
      </c>
      <c r="BG50" s="5">
        <f t="shared" si="79"/>
        <v>-0.12662738000000018</v>
      </c>
      <c r="BH50" s="5">
        <f t="shared" si="80"/>
        <v>-9.129440000000022E-2</v>
      </c>
      <c r="BI50" s="5">
        <f t="shared" si="81"/>
        <v>-6.6842829999999909E-2</v>
      </c>
      <c r="BJ50" s="22">
        <f>IF(OR(BF50="",BF50="NaN"),"",BF50-AVERAGE(BF$43:BF$52))</f>
        <v>-0.17128733000000018</v>
      </c>
      <c r="BL50" s="5"/>
      <c r="BM50" s="19">
        <v>6.9506430000000003</v>
      </c>
      <c r="BN50" s="20">
        <v>12.564301</v>
      </c>
      <c r="BO50" s="20">
        <v>4.5316166999999998</v>
      </c>
      <c r="BP50" s="21">
        <v>6.0735754999999996</v>
      </c>
      <c r="BQ50" s="5">
        <f t="shared" si="82"/>
        <v>-1.1723346700000006</v>
      </c>
      <c r="BR50" s="5">
        <f t="shared" si="83"/>
        <v>-0.14859319999999876</v>
      </c>
      <c r="BS50" s="5">
        <f t="shared" si="84"/>
        <v>-2.3338690800000004</v>
      </c>
      <c r="BT50" s="22">
        <f>IF(OR(BP50="",BP50="NaN"),"",BP50-AVERAGE(BP$43:BP$52))</f>
        <v>-1.9002764799999996</v>
      </c>
      <c r="BV50" s="5"/>
      <c r="BW50" s="19">
        <v>1.5237741</v>
      </c>
      <c r="BX50" s="20">
        <v>2.8680615</v>
      </c>
      <c r="BY50" s="20">
        <v>1.0412574000000001</v>
      </c>
      <c r="BZ50" s="21">
        <v>1.3308785000000001</v>
      </c>
      <c r="CA50" s="5">
        <f t="shared" si="85"/>
        <v>1.2762000000000162E-2</v>
      </c>
      <c r="CB50" s="5">
        <f t="shared" si="86"/>
        <v>6.9827689999999887E-2</v>
      </c>
      <c r="CC50" s="5">
        <f t="shared" si="87"/>
        <v>-0.32198152000000002</v>
      </c>
      <c r="CD50" s="22">
        <f>IF(OR(BZ50="",BZ50="NaN"),"",BZ50-AVERAGE(BZ$43:BZ$52))</f>
        <v>-0.27210400999999984</v>
      </c>
    </row>
    <row r="51" spans="1:82" x14ac:dyDescent="0.25">
      <c r="A51" s="38"/>
      <c r="B51" s="5">
        <v>9</v>
      </c>
      <c r="C51" s="18">
        <v>44</v>
      </c>
      <c r="E51" s="19">
        <v>84.058539999999994</v>
      </c>
      <c r="F51" s="20">
        <v>82.386696000000001</v>
      </c>
      <c r="G51" s="20">
        <v>84.419105999999999</v>
      </c>
      <c r="H51" s="21">
        <v>83.732215999999994</v>
      </c>
      <c r="I51" s="5">
        <f t="shared" si="64"/>
        <v>-0.30165700000000584</v>
      </c>
      <c r="J51" s="5">
        <f t="shared" si="65"/>
        <v>-0.53588980000000674</v>
      </c>
      <c r="K51" s="5">
        <f t="shared" si="66"/>
        <v>7.399529999997867E-2</v>
      </c>
      <c r="L51" s="22">
        <f>IF(OR(H51="",H51="NaN"),"",H51-AVERAGE(H$43:H$52))</f>
        <v>3.8221899999996367E-2</v>
      </c>
      <c r="M51" s="5"/>
      <c r="N51" s="5"/>
      <c r="O51" s="19">
        <v>72.595339999999993</v>
      </c>
      <c r="P51" s="20">
        <v>72.648439999999994</v>
      </c>
      <c r="Q51" s="20">
        <v>72.594449999999995</v>
      </c>
      <c r="R51" s="21">
        <v>72.578649999999996</v>
      </c>
      <c r="S51" s="5">
        <f t="shared" si="67"/>
        <v>1.7091800000002877E-2</v>
      </c>
      <c r="T51" s="5">
        <f t="shared" si="68"/>
        <v>0.23633529999999325</v>
      </c>
      <c r="U51" s="5">
        <f t="shared" si="69"/>
        <v>0.23109559999998908</v>
      </c>
      <c r="V51" s="22">
        <f>IF(OR(R51="",R51="NaN"),"",R51-AVERAGE(R$43:R$52))</f>
        <v>1.0707070999999928</v>
      </c>
      <c r="W51" s="5"/>
      <c r="X51" s="5"/>
      <c r="Y51" s="19">
        <v>9.8642889999999994</v>
      </c>
      <c r="Z51" s="20">
        <v>26.795636999999999</v>
      </c>
      <c r="AA51" s="20">
        <v>9.8551269999999995</v>
      </c>
      <c r="AB51" s="21">
        <v>11.726737</v>
      </c>
      <c r="AC51" s="5">
        <f t="shared" si="70"/>
        <v>-2.7575896000000011</v>
      </c>
      <c r="AD51" s="5">
        <f t="shared" si="71"/>
        <v>1.398426299999997</v>
      </c>
      <c r="AE51" s="5">
        <f t="shared" si="72"/>
        <v>-2.0717417000000005</v>
      </c>
      <c r="AF51" s="22">
        <f>IF(OR(AB51="",AB51="NaN"),"",AB51-AVERAGE(AB$43:AB$52))</f>
        <v>-1.9192174999999985</v>
      </c>
      <c r="AG51" s="5"/>
      <c r="AH51" s="5"/>
      <c r="AI51" s="19">
        <v>7.0220665999999996</v>
      </c>
      <c r="AJ51" s="20">
        <v>6.9234824000000001</v>
      </c>
      <c r="AK51" s="20">
        <v>6.9797919999999998</v>
      </c>
      <c r="AL51" s="21">
        <v>7.0134790000000002</v>
      </c>
      <c r="AM51" s="5">
        <f t="shared" si="73"/>
        <v>-4.1091300000015707E-3</v>
      </c>
      <c r="AN51" s="5">
        <f t="shared" si="74"/>
        <v>3.6090900000003145E-3</v>
      </c>
      <c r="AO51" s="5">
        <f t="shared" si="75"/>
        <v>-2.2853600000010132E-3</v>
      </c>
      <c r="AP51" s="22">
        <f>IF(OR(AL51="",AL51="NaN"),"",AL51-AVERAGE(AL$43:AL$52))</f>
        <v>-0.13484954999999932</v>
      </c>
      <c r="AR51" s="5"/>
      <c r="AS51" s="19">
        <v>9.9475350000000002</v>
      </c>
      <c r="AT51" s="20">
        <v>9.5287629999999996</v>
      </c>
      <c r="AU51" s="20">
        <v>9.7194369999999992</v>
      </c>
      <c r="AV51" s="21">
        <v>10.255356000000001</v>
      </c>
      <c r="AW51" s="5">
        <f t="shared" si="76"/>
        <v>0.10934690000000025</v>
      </c>
      <c r="AX51" s="5">
        <f t="shared" si="77"/>
        <v>-3.798360000000045E-2</v>
      </c>
      <c r="AY51" s="5">
        <f t="shared" si="78"/>
        <v>-1.8487900000000224E-2</v>
      </c>
      <c r="AZ51" s="22">
        <f>IF(OR(AV51="",AV51="NaN"),"",AV51-AVERAGE(AV$43:AV$52))</f>
        <v>-0.34244789999999981</v>
      </c>
      <c r="BB51" s="5"/>
      <c r="BC51" s="19">
        <v>1.8755192000000001</v>
      </c>
      <c r="BD51" s="20">
        <v>1.8236399000000001</v>
      </c>
      <c r="BE51" s="20">
        <v>1.6432114</v>
      </c>
      <c r="BF51" s="21">
        <v>1.8839079999999999</v>
      </c>
      <c r="BG51" s="5">
        <f t="shared" si="79"/>
        <v>0.13864821999999988</v>
      </c>
      <c r="BH51" s="5">
        <f t="shared" si="80"/>
        <v>-2.260600000000057E-3</v>
      </c>
      <c r="BI51" s="5">
        <f t="shared" si="81"/>
        <v>-1.8234929999999983E-2</v>
      </c>
      <c r="BJ51" s="22">
        <f>IF(OR(BF51="",BF51="NaN"),"",BF51-AVERAGE(BF$43:BF$52))</f>
        <v>8.6548969999999725E-2</v>
      </c>
      <c r="BL51" s="5"/>
      <c r="BM51" s="19">
        <v>6.7294717000000004</v>
      </c>
      <c r="BN51" s="20">
        <v>13.55233</v>
      </c>
      <c r="BO51" s="20">
        <v>6.1585903000000002</v>
      </c>
      <c r="BP51" s="21">
        <v>7.7229979999999996</v>
      </c>
      <c r="BQ51" s="5">
        <f t="shared" si="82"/>
        <v>-1.3935059700000005</v>
      </c>
      <c r="BR51" s="5">
        <f t="shared" si="83"/>
        <v>0.8394358000000004</v>
      </c>
      <c r="BS51" s="5">
        <f t="shared" si="84"/>
        <v>-0.70689548000000002</v>
      </c>
      <c r="BT51" s="22">
        <f>IF(OR(BP51="",BP51="NaN"),"",BP51-AVERAGE(BP$43:BP$52))</f>
        <v>-0.25085397999999959</v>
      </c>
      <c r="BV51" s="5"/>
      <c r="BW51" s="19">
        <v>1.5690484</v>
      </c>
      <c r="BX51" s="20">
        <v>2.8521093999999998</v>
      </c>
      <c r="BY51" s="20">
        <v>1.5016434000000001</v>
      </c>
      <c r="BZ51" s="21">
        <v>1.4344562999999999</v>
      </c>
      <c r="CA51" s="5">
        <f t="shared" si="85"/>
        <v>5.8036300000000152E-2</v>
      </c>
      <c r="CB51" s="5">
        <f t="shared" si="86"/>
        <v>5.387558999999964E-2</v>
      </c>
      <c r="CC51" s="5">
        <f t="shared" si="87"/>
        <v>0.13840447999999994</v>
      </c>
      <c r="CD51" s="22">
        <f>IF(OR(BZ51="",BZ51="NaN"),"",BZ51-AVERAGE(BZ$43:BZ$52))</f>
        <v>-0.16852621000000001</v>
      </c>
    </row>
    <row r="52" spans="1:82" x14ac:dyDescent="0.25">
      <c r="A52" s="39"/>
      <c r="B52" s="23">
        <v>10</v>
      </c>
      <c r="C52" s="24">
        <v>49</v>
      </c>
      <c r="E52" s="25">
        <v>83.963295000000002</v>
      </c>
      <c r="F52" s="26">
        <v>83.5745</v>
      </c>
      <c r="G52" s="26">
        <v>84.201804999999993</v>
      </c>
      <c r="H52" s="27">
        <v>84.369839999999996</v>
      </c>
      <c r="I52" s="23">
        <f t="shared" si="64"/>
        <v>-0.3969019999999972</v>
      </c>
      <c r="J52" s="23">
        <f t="shared" si="65"/>
        <v>0.65191419999999312</v>
      </c>
      <c r="K52" s="23">
        <f t="shared" si="66"/>
        <v>-0.14330570000002751</v>
      </c>
      <c r="L52" s="28">
        <f>IF(OR(H52="",H52="NaN"),"",H52-AVERAGE(H$43:H$52))</f>
        <v>0.67584589999999878</v>
      </c>
      <c r="M52" s="5"/>
      <c r="N52" s="5"/>
      <c r="O52" s="25">
        <v>72.143469999999994</v>
      </c>
      <c r="P52" s="26">
        <v>72.449325999999999</v>
      </c>
      <c r="Q52" s="26">
        <v>72.004480000000001</v>
      </c>
      <c r="R52" s="27">
        <v>72.407060000000001</v>
      </c>
      <c r="S52" s="23">
        <f t="shared" si="67"/>
        <v>-0.43477819999999667</v>
      </c>
      <c r="T52" s="23">
        <f t="shared" si="68"/>
        <v>3.7221299999998791E-2</v>
      </c>
      <c r="U52" s="23">
        <f t="shared" si="69"/>
        <v>-0.35887440000000481</v>
      </c>
      <c r="V52" s="28">
        <f>IF(OR(R52="",R52="NaN"),"",R52-AVERAGE(R$43:R$52))</f>
        <v>0.899117099999998</v>
      </c>
      <c r="W52" s="5"/>
      <c r="X52" s="5"/>
      <c r="Y52" s="25">
        <v>24.25498</v>
      </c>
      <c r="Z52" s="26">
        <v>25.866343000000001</v>
      </c>
      <c r="AA52" s="26">
        <v>20.312975000000002</v>
      </c>
      <c r="AB52" s="27">
        <v>21.070765000000002</v>
      </c>
      <c r="AC52" s="23">
        <f t="shared" si="70"/>
        <v>11.633101399999999</v>
      </c>
      <c r="AD52" s="23">
        <f t="shared" si="71"/>
        <v>0.46913229999999828</v>
      </c>
      <c r="AE52" s="23">
        <f t="shared" si="72"/>
        <v>8.3861063000000016</v>
      </c>
      <c r="AF52" s="28">
        <f>IF(OR(AB52="",AB52="NaN"),"",AB52-AVERAGE(AB$43:AB$52))</f>
        <v>7.4248105000000031</v>
      </c>
      <c r="AG52" s="5"/>
      <c r="AH52" s="5"/>
      <c r="AI52" s="25">
        <v>7.0182976999999998</v>
      </c>
      <c r="AJ52" s="26">
        <v>6.9365654000000001</v>
      </c>
      <c r="AK52" s="26">
        <v>7.0902880000000001</v>
      </c>
      <c r="AL52" s="27">
        <v>6.9688369999999997</v>
      </c>
      <c r="AM52" s="23">
        <f t="shared" si="73"/>
        <v>-7.8780300000014236E-3</v>
      </c>
      <c r="AN52" s="23">
        <f t="shared" si="74"/>
        <v>1.669209000000027E-2</v>
      </c>
      <c r="AO52" s="23">
        <f t="shared" si="75"/>
        <v>0.10821063999999936</v>
      </c>
      <c r="AP52" s="28">
        <f>IF(OR(AL52="",AL52="NaN"),"",AL52-AVERAGE(AL$43:AL$52))</f>
        <v>-0.17949154999999983</v>
      </c>
      <c r="AR52" s="5"/>
      <c r="AS52" s="25">
        <v>9.2709340000000005</v>
      </c>
      <c r="AT52" s="26">
        <v>9.3067119999999992</v>
      </c>
      <c r="AU52" s="26">
        <v>9.1869490000000003</v>
      </c>
      <c r="AV52" s="27">
        <v>9.2678480000000008</v>
      </c>
      <c r="AW52" s="23">
        <f t="shared" si="76"/>
        <v>-0.56725409999999954</v>
      </c>
      <c r="AX52" s="23">
        <f t="shared" si="77"/>
        <v>-0.26003460000000089</v>
      </c>
      <c r="AY52" s="23">
        <f t="shared" si="78"/>
        <v>-0.55097589999999919</v>
      </c>
      <c r="AZ52" s="28">
        <f>IF(OR(AV52="",AV52="NaN"),"",AV52-AVERAGE(AV$43:AV$52))</f>
        <v>-1.3299558999999999</v>
      </c>
      <c r="BB52" s="5"/>
      <c r="BC52" s="25">
        <v>2.0130984999999999</v>
      </c>
      <c r="BD52" s="26">
        <v>1.8515157</v>
      </c>
      <c r="BE52" s="26">
        <v>1.9986472</v>
      </c>
      <c r="BF52" s="27">
        <v>1.9230323</v>
      </c>
      <c r="BG52" s="23">
        <f t="shared" si="79"/>
        <v>0.27622751999999973</v>
      </c>
      <c r="BH52" s="23">
        <f t="shared" si="80"/>
        <v>2.5615199999999838E-2</v>
      </c>
      <c r="BI52" s="23">
        <f t="shared" si="81"/>
        <v>0.33720086999999999</v>
      </c>
      <c r="BJ52" s="28">
        <f>IF(OR(BF52="",BF52="NaN"),"",BF52-AVERAGE(BF$43:BF$52))</f>
        <v>0.12567326999999984</v>
      </c>
      <c r="BL52" s="5"/>
      <c r="BM52" s="25">
        <v>14.091886499999999</v>
      </c>
      <c r="BN52" s="26">
        <v>12.550406000000001</v>
      </c>
      <c r="BO52" s="26">
        <v>12.427186000000001</v>
      </c>
      <c r="BP52" s="27">
        <v>11.774392000000001</v>
      </c>
      <c r="BQ52" s="23">
        <f t="shared" si="82"/>
        <v>5.9689088299999984</v>
      </c>
      <c r="BR52" s="23">
        <f t="shared" si="83"/>
        <v>-0.16248819999999853</v>
      </c>
      <c r="BS52" s="23">
        <f t="shared" si="84"/>
        <v>5.5617002200000005</v>
      </c>
      <c r="BT52" s="28">
        <f>IF(OR(BP52="",BP52="NaN"),"",BP52-AVERAGE(BP$43:BP$52))</f>
        <v>3.8005400200000015</v>
      </c>
      <c r="BV52" s="5"/>
      <c r="BW52" s="25">
        <v>1.7882562</v>
      </c>
      <c r="BX52" s="26">
        <v>2.8993560999999999</v>
      </c>
      <c r="BY52" s="26">
        <v>1.6119646999999999</v>
      </c>
      <c r="BZ52" s="27">
        <v>1.6013367000000001</v>
      </c>
      <c r="CA52" s="23">
        <f t="shared" si="85"/>
        <v>0.2772441000000001</v>
      </c>
      <c r="CB52" s="23">
        <f t="shared" si="86"/>
        <v>0.10112228999999973</v>
      </c>
      <c r="CC52" s="23">
        <f t="shared" si="87"/>
        <v>0.24872577999999979</v>
      </c>
      <c r="CD52" s="28">
        <f>IF(OR(BZ52="",BZ52="NaN"),"",BZ52-AVERAGE(BZ$43:BZ$52))</f>
        <v>-1.6458099999998588E-3</v>
      </c>
    </row>
    <row r="53" spans="1:82" x14ac:dyDescent="0.25">
      <c r="A53" s="37">
        <v>5</v>
      </c>
      <c r="B53" s="12">
        <v>1</v>
      </c>
      <c r="C53" s="13">
        <v>5</v>
      </c>
      <c r="E53" s="14">
        <v>82.33569</v>
      </c>
      <c r="F53" s="15">
        <v>81.923469999999995</v>
      </c>
      <c r="G53" s="15">
        <v>82.838104000000001</v>
      </c>
      <c r="H53" s="16">
        <v>82.995059999999995</v>
      </c>
      <c r="I53" s="12">
        <f t="shared" ref="I53:I62" si="88">IF(OR(E53="",E53="NaN"),"",E53-AVERAGE(E$53:E$62))</f>
        <v>0.20293660000001523</v>
      </c>
      <c r="J53" s="12">
        <f t="shared" ref="J53:J62" si="89">IF(OR(F53="",F53="NaN"),"",F53-AVERAGE(F$53:F$62))</f>
        <v>0.62217659999998887</v>
      </c>
      <c r="K53" s="12">
        <f t="shared" ref="K53:K62" si="90">IF(OR(G53="",G53="NaN"),"",G53-AVERAGE(G$53:G$62))</f>
        <v>0.23542100000001653</v>
      </c>
      <c r="L53" s="17">
        <f t="shared" ref="L53:L62" si="91">IF(OR(H53="",H53="NaN"),"",H53-AVERAGE(H$53:H$62))</f>
        <v>0.4065999999999832</v>
      </c>
      <c r="M53" s="5"/>
      <c r="N53" s="5"/>
      <c r="O53" s="14">
        <v>73.412639999999996</v>
      </c>
      <c r="P53" s="15">
        <v>73.92671</v>
      </c>
      <c r="Q53" s="15">
        <v>73.800285000000002</v>
      </c>
      <c r="R53" s="16">
        <v>72.737700000000004</v>
      </c>
      <c r="S53" s="12">
        <f t="shared" ref="S53:S62" si="92">IF(OR(O53="",O53="NaN"),"",O53-AVERAGE(O$53:O$62))</f>
        <v>0.76952550000000031</v>
      </c>
      <c r="T53" s="12">
        <f t="shared" ref="T53:T62" si="93">IF(OR(P53="",P53="NaN"),"",P53-AVERAGE(P$53:P$62))</f>
        <v>0.45539100000000587</v>
      </c>
      <c r="U53" s="12">
        <f t="shared" ref="U53:U62" si="94">IF(OR(Q53="",Q53="NaN"),"",Q53-AVERAGE(Q$53:Q$62))</f>
        <v>0.71032259999999781</v>
      </c>
      <c r="V53" s="17">
        <f t="shared" ref="V53:V62" si="95">IF(OR(R53="",R53="NaN"),"",R53-AVERAGE(R$53:R$62))</f>
        <v>0.3253799000000015</v>
      </c>
      <c r="W53" s="5"/>
      <c r="X53" s="5"/>
      <c r="Y53" s="14">
        <v>14.935142000000001</v>
      </c>
      <c r="Z53" s="15">
        <v>9.4546569999999992</v>
      </c>
      <c r="AA53" s="15">
        <v>11.357925</v>
      </c>
      <c r="AB53" s="16">
        <v>10.80068</v>
      </c>
      <c r="AC53" s="12">
        <f t="shared" ref="AC53:AC62" si="96">IF(OR(Y53="",Y53="NaN"),"",Y53-AVERAGE(Y$53:Y$62))</f>
        <v>1.8965818500000005</v>
      </c>
      <c r="AD53" s="12">
        <f t="shared" ref="AD53:AD62" si="97">IF(OR(Z53="",Z53="NaN"),"",Z53-AVERAGE(Z$53:Z$62))</f>
        <v>-2.3103550999999989</v>
      </c>
      <c r="AE53" s="12">
        <f t="shared" ref="AE53:AE62" si="98">IF(OR(AA53="",AA53="NaN"),"",AA53-AVERAGE(AA$53:AA$62))</f>
        <v>0.43747489999999978</v>
      </c>
      <c r="AF53" s="17">
        <f t="shared" ref="AF53:AF62" si="99">IF(OR(AB53="",AB53="NaN"),"",AB53-AVERAGE(AB$53:AB$62))</f>
        <v>5.2984200000000925E-2</v>
      </c>
      <c r="AG53" s="5"/>
      <c r="AH53" s="5"/>
      <c r="AI53" s="14">
        <v>5.1500744999999997</v>
      </c>
      <c r="AJ53" s="15">
        <v>6.7278074999999999</v>
      </c>
      <c r="AK53" s="15">
        <v>5.1677039999999996</v>
      </c>
      <c r="AL53" s="16">
        <v>4.4358934999999997</v>
      </c>
      <c r="AM53" s="12">
        <f t="shared" ref="AM53:AM62" si="100">IF(OR(AI53="",AI53="NaN"),"",AI53-AVERAGE(AI$53:AI$62))</f>
        <v>-0.23069675999999983</v>
      </c>
      <c r="AN53" s="12">
        <f t="shared" ref="AN53:AN62" si="101">IF(OR(AJ53="",AJ53="NaN"),"",AJ53-AVERAGE(AJ$53:AJ$62))</f>
        <v>-0.18062921000000109</v>
      </c>
      <c r="AO53" s="12">
        <f t="shared" ref="AO53:AO62" si="102">IF(OR(AK53="",AK53="NaN"),"",AK53-AVERAGE(AK$53:AK$62))</f>
        <v>0.10020901000000038</v>
      </c>
      <c r="AP53" s="17">
        <f t="shared" ref="AP53:AP62" si="103">IF(OR(AL53="",AL53="NaN"),"",AL53-AVERAGE(AL$53:AL$62))</f>
        <v>-0.27308871000000057</v>
      </c>
      <c r="AR53" s="5"/>
      <c r="AS53" s="14">
        <v>11.3631525</v>
      </c>
      <c r="AT53" s="15">
        <v>9.7607970000000002</v>
      </c>
      <c r="AU53" s="15">
        <v>10.113965</v>
      </c>
      <c r="AV53" s="16">
        <v>11.326986</v>
      </c>
      <c r="AW53" s="12">
        <f t="shared" ref="AW53:AW62" si="104">IF(OR(AS53="",AS53="NaN"),"",AS53-AVERAGE(AS$53:AS$62))</f>
        <v>0.25853025000000152</v>
      </c>
      <c r="AX53" s="12">
        <f t="shared" ref="AX53:AX62" si="105">IF(OR(AT53="",AT53="NaN"),"",AT53-AVERAGE(AT$53:AT$62))</f>
        <v>-0.16856724999999884</v>
      </c>
      <c r="AY53" s="12">
        <f t="shared" ref="AY53:AY62" si="106">IF(OR(AU53="",AU53="NaN"),"",AU53-AVERAGE(AU$53:AU$62))</f>
        <v>-0.60125090000000014</v>
      </c>
      <c r="AZ53" s="17">
        <f t="shared" ref="AZ53:AZ62" si="107">IF(OR(AV53="",AV53="NaN"),"",AV53-AVERAGE(AV$53:AV$62))</f>
        <v>-0.3072536500000016</v>
      </c>
      <c r="BB53" s="5"/>
      <c r="BC53" s="14">
        <v>3.9580294999999999</v>
      </c>
      <c r="BD53" s="15">
        <v>1.6954719</v>
      </c>
      <c r="BE53" s="15">
        <v>3.1430628</v>
      </c>
      <c r="BF53" s="16">
        <v>2.2536890000000001</v>
      </c>
      <c r="BG53" s="12">
        <f t="shared" ref="BG53:BG62" si="108">IF(OR(BC53="",BC53="NaN"),"",BC53-AVERAGE(BC$53:BC$62))</f>
        <v>0.29693698000000035</v>
      </c>
      <c r="BH53" s="12">
        <f t="shared" ref="BH53:BH62" si="109">IF(OR(BD53="",BD53="NaN"),"",BD53-AVERAGE(BD$53:BD$62))</f>
        <v>-0.18143748000000004</v>
      </c>
      <c r="BI53" s="12">
        <f t="shared" ref="BI53:BI62" si="110">IF(OR(BE53="",BE53="NaN"),"",BE53-AVERAGE(BE$53:BE$62))</f>
        <v>0.48128200000000021</v>
      </c>
      <c r="BJ53" s="17">
        <f t="shared" ref="BJ53:BJ62" si="111">IF(OR(BF53="",BF53="NaN"),"",BF53-AVERAGE(BF$53:BF$62))</f>
        <v>-8.0555289999999946E-2</v>
      </c>
      <c r="BL53" s="5"/>
      <c r="BM53" s="14">
        <v>5.6865525000000003</v>
      </c>
      <c r="BN53" s="15">
        <v>3.8675828000000001</v>
      </c>
      <c r="BO53" s="15">
        <v>2.7290610000000002</v>
      </c>
      <c r="BP53" s="16">
        <v>2.9254432000000001</v>
      </c>
      <c r="BQ53" s="12">
        <f t="shared" ref="BQ53:BQ62" si="112">IF(OR(BM53="",BM53="NaN"),"",BM53-AVERAGE(BM$53:BM$62))</f>
        <v>1.2132686599999998</v>
      </c>
      <c r="BR53" s="12">
        <f t="shared" ref="BR53:BR62" si="113">IF(OR(BN53="",BN53="NaN"),"",BN53-AVERAGE(BN$53:BN$62))</f>
        <v>-0.94245743000000015</v>
      </c>
      <c r="BS53" s="12">
        <f t="shared" ref="BS53:BS62" si="114">IF(OR(BO53="",BO53="NaN"),"",BO53-AVERAGE(BO$53:BO$62))</f>
        <v>7.8188100000000205E-2</v>
      </c>
      <c r="BT53" s="17">
        <f t="shared" ref="BT53:BT62" si="115">IF(OR(BP53="",BP53="NaN"),"",BP53-AVERAGE(BP$53:BP$62))</f>
        <v>0.17107386999999985</v>
      </c>
      <c r="BV53" s="5"/>
      <c r="BW53" s="14">
        <v>1.5510134</v>
      </c>
      <c r="BX53" s="15">
        <v>1.2869294</v>
      </c>
      <c r="BY53" s="15">
        <v>1.4689772000000001</v>
      </c>
      <c r="BZ53" s="16">
        <v>2.2039293999999998</v>
      </c>
      <c r="CA53" s="12">
        <f t="shared" ref="CA53:CA62" si="116">IF(OR(BW53="",BW53="NaN"),"",BW53-AVERAGE(BW$53:BW$62))</f>
        <v>-0.1180068700000001</v>
      </c>
      <c r="CB53" s="12">
        <f t="shared" ref="CB53:CB62" si="117">IF(OR(BX53="",BX53="NaN"),"",BX53-AVERAGE(BX$53:BX$62))</f>
        <v>-7.3077589999999804E-2</v>
      </c>
      <c r="CC53" s="12">
        <f t="shared" ref="CC53:CC62" si="118">IF(OR(BY53="",BY53="NaN"),"",BY53-AVERAGE(BY$53:BY$62))</f>
        <v>-7.9415679999999655E-2</v>
      </c>
      <c r="CD53" s="17">
        <f t="shared" ref="CD53:CD62" si="119">IF(OR(BZ53="",BZ53="NaN"),"",BZ53-AVERAGE(BZ$53:BZ$62))</f>
        <v>0.52670628999999947</v>
      </c>
    </row>
    <row r="54" spans="1:82" x14ac:dyDescent="0.25">
      <c r="A54" s="38"/>
      <c r="B54" s="5">
        <v>2</v>
      </c>
      <c r="C54" s="18">
        <v>10</v>
      </c>
      <c r="E54" s="19">
        <v>82.101969999999994</v>
      </c>
      <c r="F54" s="20">
        <v>81.406610000000001</v>
      </c>
      <c r="G54" s="20">
        <v>82.699610000000007</v>
      </c>
      <c r="H54" s="21">
        <v>83.080839999999995</v>
      </c>
      <c r="I54" s="5">
        <f t="shared" si="88"/>
        <v>-3.0783399999990024E-2</v>
      </c>
      <c r="J54" s="5">
        <f t="shared" si="89"/>
        <v>0.10531659999999476</v>
      </c>
      <c r="K54" s="5">
        <f t="shared" si="90"/>
        <v>9.692700000002219E-2</v>
      </c>
      <c r="L54" s="22">
        <f t="shared" si="91"/>
        <v>0.49237999999998294</v>
      </c>
      <c r="M54" s="5"/>
      <c r="N54" s="5"/>
      <c r="O54" s="19">
        <v>73.238784999999993</v>
      </c>
      <c r="P54" s="20">
        <v>73.822463999999997</v>
      </c>
      <c r="Q54" s="20">
        <v>73.882310000000004</v>
      </c>
      <c r="R54" s="21">
        <v>73.209100000000007</v>
      </c>
      <c r="S54" s="5">
        <f t="shared" si="92"/>
        <v>0.59567049999999711</v>
      </c>
      <c r="T54" s="5">
        <f t="shared" si="93"/>
        <v>0.35114500000000248</v>
      </c>
      <c r="U54" s="5">
        <f t="shared" si="94"/>
        <v>0.79234759999999937</v>
      </c>
      <c r="V54" s="22">
        <f t="shared" si="95"/>
        <v>0.7967799000000042</v>
      </c>
      <c r="W54" s="5"/>
      <c r="X54" s="5"/>
      <c r="Y54" s="19">
        <v>11.884079</v>
      </c>
      <c r="Z54" s="20">
        <v>9.3065160000000002</v>
      </c>
      <c r="AA54" s="20">
        <v>10.548883999999999</v>
      </c>
      <c r="AB54" s="21">
        <v>10.558441999999999</v>
      </c>
      <c r="AC54" s="5">
        <f t="shared" si="96"/>
        <v>-1.1544811500000005</v>
      </c>
      <c r="AD54" s="5">
        <f t="shared" si="97"/>
        <v>-2.4584960999999979</v>
      </c>
      <c r="AE54" s="5">
        <f t="shared" si="98"/>
        <v>-0.37156610000000079</v>
      </c>
      <c r="AF54" s="22">
        <f t="shared" si="99"/>
        <v>-0.18925379999999947</v>
      </c>
      <c r="AG54" s="5"/>
      <c r="AH54" s="5"/>
      <c r="AI54" s="19">
        <v>5.1101299999999998</v>
      </c>
      <c r="AJ54" s="20">
        <v>6.7788167000000001</v>
      </c>
      <c r="AK54" s="20">
        <v>5.1672799999999999</v>
      </c>
      <c r="AL54" s="21">
        <v>4.4286585000000001</v>
      </c>
      <c r="AM54" s="5">
        <f t="shared" si="100"/>
        <v>-0.27064125999999966</v>
      </c>
      <c r="AN54" s="5">
        <f t="shared" si="101"/>
        <v>-0.1296200100000009</v>
      </c>
      <c r="AO54" s="5">
        <f t="shared" si="102"/>
        <v>9.9785010000000618E-2</v>
      </c>
      <c r="AP54" s="22">
        <f t="shared" si="103"/>
        <v>-0.28032371000000023</v>
      </c>
      <c r="AR54" s="5"/>
      <c r="AS54" s="19">
        <v>11.326038</v>
      </c>
      <c r="AT54" s="20">
        <v>9.5854289999999995</v>
      </c>
      <c r="AU54" s="20">
        <v>9.8030819999999999</v>
      </c>
      <c r="AV54" s="21">
        <v>11.520158</v>
      </c>
      <c r="AW54" s="5">
        <f t="shared" si="104"/>
        <v>0.22141575000000202</v>
      </c>
      <c r="AX54" s="5">
        <f t="shared" si="105"/>
        <v>-0.34393524999999947</v>
      </c>
      <c r="AY54" s="5">
        <f t="shared" si="106"/>
        <v>-0.91213390000000061</v>
      </c>
      <c r="AZ54" s="22">
        <f t="shared" si="107"/>
        <v>-0.11408165000000103</v>
      </c>
      <c r="BB54" s="5"/>
      <c r="BC54" s="19">
        <v>3.9430678000000001</v>
      </c>
      <c r="BD54" s="20">
        <v>1.7054136</v>
      </c>
      <c r="BE54" s="20">
        <v>2.093817</v>
      </c>
      <c r="BF54" s="21">
        <v>2.3169613</v>
      </c>
      <c r="BG54" s="5">
        <f t="shared" si="108"/>
        <v>0.28197528000000061</v>
      </c>
      <c r="BH54" s="5">
        <f t="shared" si="109"/>
        <v>-0.1714957800000001</v>
      </c>
      <c r="BI54" s="5">
        <f t="shared" si="110"/>
        <v>-0.5679637999999998</v>
      </c>
      <c r="BJ54" s="22">
        <f t="shared" si="111"/>
        <v>-1.7282989999999998E-2</v>
      </c>
      <c r="BL54" s="5"/>
      <c r="BM54" s="19">
        <v>4.1548790000000002</v>
      </c>
      <c r="BN54" s="20">
        <v>3.5509762999999999</v>
      </c>
      <c r="BO54" s="20">
        <v>2.703999</v>
      </c>
      <c r="BP54" s="21">
        <v>2.7974082999999998</v>
      </c>
      <c r="BQ54" s="5">
        <f t="shared" si="112"/>
        <v>-0.31840484000000036</v>
      </c>
      <c r="BR54" s="5">
        <f t="shared" si="113"/>
        <v>-1.2590639300000004</v>
      </c>
      <c r="BS54" s="5">
        <f t="shared" si="114"/>
        <v>5.3126100000000065E-2</v>
      </c>
      <c r="BT54" s="22">
        <f t="shared" si="115"/>
        <v>4.3038969999999566E-2</v>
      </c>
      <c r="BV54" s="5"/>
      <c r="BW54" s="19">
        <v>1.5433962000000001</v>
      </c>
      <c r="BX54" s="20">
        <v>1.2760024999999999</v>
      </c>
      <c r="BY54" s="20">
        <v>1.2907814</v>
      </c>
      <c r="BZ54" s="21">
        <v>1.4225923</v>
      </c>
      <c r="CA54" s="5">
        <f t="shared" si="116"/>
        <v>-0.12562406999999998</v>
      </c>
      <c r="CB54" s="5">
        <f t="shared" si="117"/>
        <v>-8.4004489999999876E-2</v>
      </c>
      <c r="CC54" s="5">
        <f t="shared" si="118"/>
        <v>-0.25761147999999978</v>
      </c>
      <c r="CD54" s="22">
        <f t="shared" si="119"/>
        <v>-0.25463081000000032</v>
      </c>
    </row>
    <row r="55" spans="1:82" x14ac:dyDescent="0.25">
      <c r="A55" s="38"/>
      <c r="B55" s="5">
        <v>3</v>
      </c>
      <c r="C55" s="18">
        <v>15</v>
      </c>
      <c r="E55" s="19">
        <v>81.915999999999997</v>
      </c>
      <c r="F55" s="20">
        <v>80.843543999999994</v>
      </c>
      <c r="G55" s="20">
        <v>83.00676</v>
      </c>
      <c r="H55" s="21">
        <v>82.476820000000004</v>
      </c>
      <c r="I55" s="5">
        <f t="shared" si="88"/>
        <v>-0.21675339999998755</v>
      </c>
      <c r="J55" s="5">
        <f t="shared" si="89"/>
        <v>-0.45774940000001152</v>
      </c>
      <c r="K55" s="5">
        <f t="shared" si="90"/>
        <v>0.40407700000001512</v>
      </c>
      <c r="L55" s="22">
        <f t="shared" si="91"/>
        <v>-0.1116400000000084</v>
      </c>
      <c r="M55" s="5"/>
      <c r="N55" s="5"/>
      <c r="O55" s="19">
        <v>72.73133</v>
      </c>
      <c r="P55" s="20">
        <v>73.854705999999993</v>
      </c>
      <c r="Q55" s="20">
        <v>73.414314000000005</v>
      </c>
      <c r="R55" s="21">
        <v>73.002396000000005</v>
      </c>
      <c r="S55" s="5">
        <f t="shared" si="92"/>
        <v>8.8215500000003999E-2</v>
      </c>
      <c r="T55" s="5">
        <f t="shared" si="93"/>
        <v>0.38338699999999903</v>
      </c>
      <c r="U55" s="5">
        <f t="shared" si="94"/>
        <v>0.32435159999999996</v>
      </c>
      <c r="V55" s="22">
        <f t="shared" si="95"/>
        <v>0.59007590000000221</v>
      </c>
      <c r="W55" s="5"/>
      <c r="X55" s="5"/>
      <c r="Y55" s="19">
        <v>11.760958</v>
      </c>
      <c r="Z55" s="20">
        <v>10.121028000000001</v>
      </c>
      <c r="AA55" s="20">
        <v>11.373138000000001</v>
      </c>
      <c r="AB55" s="21">
        <v>10.847746000000001</v>
      </c>
      <c r="AC55" s="5">
        <f t="shared" si="96"/>
        <v>-1.2776021499999999</v>
      </c>
      <c r="AD55" s="5">
        <f t="shared" si="97"/>
        <v>-1.6439840999999973</v>
      </c>
      <c r="AE55" s="5">
        <f t="shared" si="98"/>
        <v>0.45268790000000081</v>
      </c>
      <c r="AF55" s="22">
        <f t="shared" si="99"/>
        <v>0.10005020000000187</v>
      </c>
      <c r="AG55" s="5"/>
      <c r="AH55" s="5"/>
      <c r="AI55" s="19">
        <v>5.3874279999999999</v>
      </c>
      <c r="AJ55" s="20">
        <v>6.8932229999999999</v>
      </c>
      <c r="AK55" s="20">
        <v>4.9135746999999999</v>
      </c>
      <c r="AL55" s="21">
        <v>4.2482290000000003</v>
      </c>
      <c r="AM55" s="5">
        <f t="shared" si="100"/>
        <v>6.6567400000003829E-3</v>
      </c>
      <c r="AN55" s="5">
        <f t="shared" si="101"/>
        <v>-1.5213710000001157E-2</v>
      </c>
      <c r="AO55" s="5">
        <f t="shared" si="102"/>
        <v>-0.1539202899999994</v>
      </c>
      <c r="AP55" s="22">
        <f t="shared" si="103"/>
        <v>-0.46075321000000002</v>
      </c>
      <c r="AR55" s="5"/>
      <c r="AS55" s="19">
        <v>11.526662999999999</v>
      </c>
      <c r="AT55" s="20">
        <v>9.4853470000000009</v>
      </c>
      <c r="AU55" s="20">
        <v>10.729473</v>
      </c>
      <c r="AV55" s="21">
        <v>12.043167</v>
      </c>
      <c r="AW55" s="5">
        <f t="shared" si="104"/>
        <v>0.42204075000000074</v>
      </c>
      <c r="AX55" s="5">
        <f t="shared" si="105"/>
        <v>-0.44401724999999814</v>
      </c>
      <c r="AY55" s="5">
        <f t="shared" si="106"/>
        <v>1.4257100000000023E-2</v>
      </c>
      <c r="AZ55" s="22">
        <f t="shared" si="107"/>
        <v>0.40892734999999902</v>
      </c>
      <c r="BB55" s="5"/>
      <c r="BC55" s="19">
        <v>3.9790673000000001</v>
      </c>
      <c r="BD55" s="20">
        <v>1.7835361000000001</v>
      </c>
      <c r="BE55" s="20">
        <v>3.1959689</v>
      </c>
      <c r="BF55" s="21">
        <v>2.2654173000000002</v>
      </c>
      <c r="BG55" s="5">
        <f t="shared" si="108"/>
        <v>0.31797478000000057</v>
      </c>
      <c r="BH55" s="5">
        <f t="shared" si="109"/>
        <v>-9.3373280000000003E-2</v>
      </c>
      <c r="BI55" s="5">
        <f t="shared" si="110"/>
        <v>0.53418810000000017</v>
      </c>
      <c r="BJ55" s="22">
        <f t="shared" si="111"/>
        <v>-6.882698999999981E-2</v>
      </c>
      <c r="BL55" s="5"/>
      <c r="BM55" s="19">
        <v>2.7187076000000001</v>
      </c>
      <c r="BN55" s="20">
        <v>3.8196835999999998</v>
      </c>
      <c r="BO55" s="20">
        <v>2.4957729999999998</v>
      </c>
      <c r="BP55" s="21">
        <v>2.56758</v>
      </c>
      <c r="BQ55" s="5">
        <f t="shared" si="112"/>
        <v>-1.7545762400000005</v>
      </c>
      <c r="BR55" s="5">
        <f t="shared" si="113"/>
        <v>-0.9903566300000004</v>
      </c>
      <c r="BS55" s="5">
        <f t="shared" si="114"/>
        <v>-0.15509990000000018</v>
      </c>
      <c r="BT55" s="22">
        <f t="shared" si="115"/>
        <v>-0.18678933000000031</v>
      </c>
      <c r="BV55" s="5"/>
      <c r="BW55" s="19">
        <v>1.6379482000000001</v>
      </c>
      <c r="BX55" s="20">
        <v>1.2545689</v>
      </c>
      <c r="BY55" s="20">
        <v>1.4731065000000001</v>
      </c>
      <c r="BZ55" s="21">
        <v>1.4276882</v>
      </c>
      <c r="CA55" s="5">
        <f t="shared" si="116"/>
        <v>-3.1072070000000007E-2</v>
      </c>
      <c r="CB55" s="5">
        <f t="shared" si="117"/>
        <v>-0.10543808999999982</v>
      </c>
      <c r="CC55" s="5">
        <f t="shared" si="118"/>
        <v>-7.5286379999999653E-2</v>
      </c>
      <c r="CD55" s="22">
        <f t="shared" si="119"/>
        <v>-0.24953491000000039</v>
      </c>
    </row>
    <row r="56" spans="1:82" x14ac:dyDescent="0.25">
      <c r="A56" s="38"/>
      <c r="B56" s="5">
        <v>4</v>
      </c>
      <c r="C56" s="18">
        <v>20</v>
      </c>
      <c r="E56" s="19">
        <v>82.702033999999998</v>
      </c>
      <c r="F56" s="20">
        <v>81.808790000000002</v>
      </c>
      <c r="G56" s="20">
        <v>82.792450000000002</v>
      </c>
      <c r="H56" s="21">
        <v>82.534559999999999</v>
      </c>
      <c r="I56" s="5">
        <f t="shared" si="88"/>
        <v>0.56928060000001324</v>
      </c>
      <c r="J56" s="5">
        <f t="shared" si="89"/>
        <v>0.50749659999999608</v>
      </c>
      <c r="K56" s="5">
        <f t="shared" si="90"/>
        <v>0.18976700000001756</v>
      </c>
      <c r="L56" s="22">
        <f t="shared" si="91"/>
        <v>-5.3900000000012938E-2</v>
      </c>
      <c r="M56" s="5"/>
      <c r="N56" s="5"/>
      <c r="O56" s="19">
        <v>72.407989999999998</v>
      </c>
      <c r="P56" s="20">
        <v>73.094734000000003</v>
      </c>
      <c r="Q56" s="20">
        <v>73.086870000000005</v>
      </c>
      <c r="R56" s="21">
        <v>72.203829999999996</v>
      </c>
      <c r="S56" s="5">
        <f t="shared" si="92"/>
        <v>-0.23512449999999774</v>
      </c>
      <c r="T56" s="5">
        <f t="shared" si="93"/>
        <v>-0.37658499999999151</v>
      </c>
      <c r="U56" s="5">
        <f t="shared" si="94"/>
        <v>-3.0923999999998841E-3</v>
      </c>
      <c r="V56" s="22">
        <f t="shared" si="95"/>
        <v>-0.2084901000000059</v>
      </c>
      <c r="W56" s="5"/>
      <c r="X56" s="5"/>
      <c r="Y56" s="19">
        <v>12.094714</v>
      </c>
      <c r="Z56" s="20">
        <v>8.9019469999999998</v>
      </c>
      <c r="AA56" s="20">
        <v>11.358831</v>
      </c>
      <c r="AB56" s="21">
        <v>10.960915999999999</v>
      </c>
      <c r="AC56" s="5">
        <f t="shared" si="96"/>
        <v>-0.94384615000000061</v>
      </c>
      <c r="AD56" s="5">
        <f t="shared" si="97"/>
        <v>-2.8630650999999983</v>
      </c>
      <c r="AE56" s="5">
        <f t="shared" si="98"/>
        <v>0.4383809000000003</v>
      </c>
      <c r="AF56" s="22">
        <f t="shared" si="99"/>
        <v>0.2132202000000003</v>
      </c>
      <c r="AG56" s="5"/>
      <c r="AH56" s="5"/>
      <c r="AI56" s="19">
        <v>5.1401963000000004</v>
      </c>
      <c r="AJ56" s="20">
        <v>7.0355119999999998</v>
      </c>
      <c r="AK56" s="20">
        <v>5.1187982999999999</v>
      </c>
      <c r="AL56" s="21">
        <v>4.7728919999999997</v>
      </c>
      <c r="AM56" s="5">
        <f t="shared" si="100"/>
        <v>-0.24057495999999912</v>
      </c>
      <c r="AN56" s="5">
        <f t="shared" si="101"/>
        <v>0.12707528999999873</v>
      </c>
      <c r="AO56" s="5">
        <f t="shared" si="102"/>
        <v>5.1303310000000657E-2</v>
      </c>
      <c r="AP56" s="22">
        <f t="shared" si="103"/>
        <v>6.3909789999999411E-2</v>
      </c>
      <c r="AR56" s="5"/>
      <c r="AS56" s="19">
        <v>11.3582</v>
      </c>
      <c r="AT56" s="20">
        <v>9.3462969999999999</v>
      </c>
      <c r="AU56" s="20">
        <v>10.057801</v>
      </c>
      <c r="AV56" s="21">
        <v>11.617578999999999</v>
      </c>
      <c r="AW56" s="5">
        <f t="shared" si="104"/>
        <v>0.2535777500000016</v>
      </c>
      <c r="AX56" s="5">
        <f t="shared" si="105"/>
        <v>-0.58306724999999915</v>
      </c>
      <c r="AY56" s="5">
        <f t="shared" si="106"/>
        <v>-0.65741490000000091</v>
      </c>
      <c r="AZ56" s="22">
        <f t="shared" si="107"/>
        <v>-1.6660650000002164E-2</v>
      </c>
      <c r="BB56" s="5"/>
      <c r="BC56" s="19">
        <v>3.9310553000000001</v>
      </c>
      <c r="BD56" s="20">
        <v>1.7524983999999999</v>
      </c>
      <c r="BE56" s="20">
        <v>3.1458203999999999</v>
      </c>
      <c r="BF56" s="21">
        <v>2.2411048</v>
      </c>
      <c r="BG56" s="5">
        <f t="shared" si="108"/>
        <v>0.26996278000000062</v>
      </c>
      <c r="BH56" s="5">
        <f t="shared" si="109"/>
        <v>-0.12441098000000017</v>
      </c>
      <c r="BI56" s="5">
        <f t="shared" si="110"/>
        <v>0.48403960000000001</v>
      </c>
      <c r="BJ56" s="22">
        <f t="shared" si="111"/>
        <v>-9.3139489999999991E-2</v>
      </c>
      <c r="BL56" s="5"/>
      <c r="BM56" s="19">
        <v>3.9145379999999999</v>
      </c>
      <c r="BN56" s="20">
        <v>3.5141594</v>
      </c>
      <c r="BO56" s="20">
        <v>2.4014669999999998</v>
      </c>
      <c r="BP56" s="21">
        <v>2.7149624999999999</v>
      </c>
      <c r="BQ56" s="5">
        <f t="shared" si="112"/>
        <v>-0.55874584000000072</v>
      </c>
      <c r="BR56" s="5">
        <f t="shared" si="113"/>
        <v>-1.2958808300000002</v>
      </c>
      <c r="BS56" s="5">
        <f t="shared" si="114"/>
        <v>-0.24940590000000018</v>
      </c>
      <c r="BT56" s="22">
        <f t="shared" si="115"/>
        <v>-3.9406830000000337E-2</v>
      </c>
      <c r="BV56" s="5"/>
      <c r="BW56" s="19">
        <v>1.5128554999999999</v>
      </c>
      <c r="BX56" s="20">
        <v>1.2130512</v>
      </c>
      <c r="BY56" s="20">
        <v>1.2649845</v>
      </c>
      <c r="BZ56" s="21">
        <v>1.6626643999999999</v>
      </c>
      <c r="CA56" s="5">
        <f t="shared" si="116"/>
        <v>-0.15616477000000017</v>
      </c>
      <c r="CB56" s="5">
        <f t="shared" si="117"/>
        <v>-0.14695578999999981</v>
      </c>
      <c r="CC56" s="5">
        <f t="shared" si="118"/>
        <v>-0.28340837999999979</v>
      </c>
      <c r="CD56" s="22">
        <f t="shared" si="119"/>
        <v>-1.4558710000000419E-2</v>
      </c>
    </row>
    <row r="57" spans="1:82" x14ac:dyDescent="0.25">
      <c r="A57" s="38"/>
      <c r="B57" s="5">
        <v>5</v>
      </c>
      <c r="C57" s="18">
        <v>25</v>
      </c>
      <c r="E57" s="19">
        <v>82.331729999999993</v>
      </c>
      <c r="F57" s="20">
        <v>80.741870000000006</v>
      </c>
      <c r="G57" s="20">
        <v>82.609610000000004</v>
      </c>
      <c r="H57" s="21">
        <v>82.32038</v>
      </c>
      <c r="I57" s="5">
        <f t="shared" si="88"/>
        <v>0.19897660000000883</v>
      </c>
      <c r="J57" s="5">
        <f t="shared" si="89"/>
        <v>-0.55942340000000002</v>
      </c>
      <c r="K57" s="5">
        <f t="shared" si="90"/>
        <v>6.9270000000187792E-3</v>
      </c>
      <c r="L57" s="22">
        <f t="shared" si="91"/>
        <v>-0.26808000000001186</v>
      </c>
      <c r="M57" s="5"/>
      <c r="N57" s="5"/>
      <c r="O57" s="19">
        <v>72.657399999999996</v>
      </c>
      <c r="P57" s="20">
        <v>73.474689999999995</v>
      </c>
      <c r="Q57" s="20">
        <v>70.460729999999998</v>
      </c>
      <c r="R57" s="21">
        <v>70.565539999999999</v>
      </c>
      <c r="S57" s="5">
        <f t="shared" si="92"/>
        <v>1.4285499999999729E-2</v>
      </c>
      <c r="T57" s="5">
        <f t="shared" si="93"/>
        <v>3.3710000000013451E-3</v>
      </c>
      <c r="U57" s="5">
        <f t="shared" si="94"/>
        <v>-2.6292324000000065</v>
      </c>
      <c r="V57" s="22">
        <f t="shared" si="95"/>
        <v>-1.8467801000000037</v>
      </c>
      <c r="W57" s="5"/>
      <c r="X57" s="5"/>
      <c r="Y57" s="19">
        <v>11.7556095</v>
      </c>
      <c r="Z57" s="20">
        <v>9.5015009999999993</v>
      </c>
      <c r="AA57" s="20">
        <v>10.944827</v>
      </c>
      <c r="AB57" s="21">
        <v>11.055042</v>
      </c>
      <c r="AC57" s="5">
        <f t="shared" si="96"/>
        <v>-1.2829506500000001</v>
      </c>
      <c r="AD57" s="5">
        <f t="shared" si="97"/>
        <v>-2.2635110999999988</v>
      </c>
      <c r="AE57" s="5">
        <f t="shared" si="98"/>
        <v>2.4376900000000035E-2</v>
      </c>
      <c r="AF57" s="22">
        <f t="shared" si="99"/>
        <v>0.30734620000000135</v>
      </c>
      <c r="AG57" s="5"/>
      <c r="AH57" s="5"/>
      <c r="AI57" s="19">
        <v>5.5324530000000003</v>
      </c>
      <c r="AJ57" s="20">
        <v>6.7237400000000003</v>
      </c>
      <c r="AK57" s="20">
        <v>5.4340525</v>
      </c>
      <c r="AL57" s="21">
        <v>5.4678849999999999</v>
      </c>
      <c r="AM57" s="5">
        <f t="shared" si="100"/>
        <v>0.15168174000000079</v>
      </c>
      <c r="AN57" s="5">
        <f t="shared" si="101"/>
        <v>-0.18469671000000076</v>
      </c>
      <c r="AO57" s="5">
        <f t="shared" si="102"/>
        <v>0.3665575100000007</v>
      </c>
      <c r="AP57" s="22">
        <f t="shared" si="103"/>
        <v>0.75890278999999961</v>
      </c>
      <c r="AR57" s="5"/>
      <c r="AS57" s="19">
        <v>11.107018999999999</v>
      </c>
      <c r="AT57" s="20">
        <v>11.019690499999999</v>
      </c>
      <c r="AU57" s="20">
        <v>12.019365000000001</v>
      </c>
      <c r="AV57" s="21">
        <v>12.0980425</v>
      </c>
      <c r="AW57" s="5">
        <f t="shared" si="104"/>
        <v>2.3967500000008357E-3</v>
      </c>
      <c r="AX57" s="5">
        <f t="shared" si="105"/>
        <v>1.0903262500000004</v>
      </c>
      <c r="AY57" s="5">
        <f t="shared" si="106"/>
        <v>1.3041491000000001</v>
      </c>
      <c r="AZ57" s="22">
        <f t="shared" si="107"/>
        <v>0.46380284999999866</v>
      </c>
      <c r="BB57" s="5"/>
      <c r="BC57" s="19">
        <v>4.0426289999999998</v>
      </c>
      <c r="BD57" s="20">
        <v>1.7762207000000001</v>
      </c>
      <c r="BE57" s="20">
        <v>2.4883286999999998</v>
      </c>
      <c r="BF57" s="21">
        <v>2.3619108</v>
      </c>
      <c r="BG57" s="5">
        <f t="shared" si="108"/>
        <v>0.38153648000000029</v>
      </c>
      <c r="BH57" s="5">
        <f t="shared" si="109"/>
        <v>-0.10068867999999997</v>
      </c>
      <c r="BI57" s="5">
        <f t="shared" si="110"/>
        <v>-0.1734521</v>
      </c>
      <c r="BJ57" s="22">
        <f t="shared" si="111"/>
        <v>2.7666509999999978E-2</v>
      </c>
      <c r="BL57" s="5"/>
      <c r="BM57" s="19">
        <v>2.6917813000000002</v>
      </c>
      <c r="BN57" s="20">
        <v>5.2457384999999999</v>
      </c>
      <c r="BO57" s="20">
        <v>2.4419879999999998</v>
      </c>
      <c r="BP57" s="21">
        <v>2.6989752999999999</v>
      </c>
      <c r="BQ57" s="5">
        <f t="shared" si="112"/>
        <v>-1.7815025400000004</v>
      </c>
      <c r="BR57" s="5">
        <f t="shared" si="113"/>
        <v>0.43569826999999961</v>
      </c>
      <c r="BS57" s="5">
        <f t="shared" si="114"/>
        <v>-0.20888490000000015</v>
      </c>
      <c r="BT57" s="22">
        <f t="shared" si="115"/>
        <v>-5.5394030000000427E-2</v>
      </c>
      <c r="BV57" s="5"/>
      <c r="BW57" s="19">
        <v>1.6339731</v>
      </c>
      <c r="BX57" s="20">
        <v>1.3076015999999999</v>
      </c>
      <c r="BY57" s="20">
        <v>2.2656727000000001</v>
      </c>
      <c r="BZ57" s="21">
        <v>2.12615</v>
      </c>
      <c r="CA57" s="5">
        <f t="shared" si="116"/>
        <v>-3.5047170000000127E-2</v>
      </c>
      <c r="CB57" s="5">
        <f t="shared" si="117"/>
        <v>-5.2405389999999885E-2</v>
      </c>
      <c r="CC57" s="5">
        <f t="shared" si="118"/>
        <v>0.71727982000000035</v>
      </c>
      <c r="CD57" s="22">
        <f t="shared" si="119"/>
        <v>0.44892688999999963</v>
      </c>
    </row>
    <row r="58" spans="1:82" x14ac:dyDescent="0.25">
      <c r="A58" s="38"/>
      <c r="B58" s="5">
        <v>6</v>
      </c>
      <c r="C58" s="18">
        <v>30</v>
      </c>
      <c r="E58" s="19">
        <v>81.989050000000006</v>
      </c>
      <c r="F58" s="20">
        <v>81.687354999999997</v>
      </c>
      <c r="G58" s="20">
        <v>81.958150000000003</v>
      </c>
      <c r="H58" s="21">
        <v>82.793769999999995</v>
      </c>
      <c r="I58" s="5">
        <f t="shared" si="88"/>
        <v>-0.14370339999997839</v>
      </c>
      <c r="J58" s="5">
        <f t="shared" si="89"/>
        <v>0.38606159999999079</v>
      </c>
      <c r="K58" s="5">
        <f t="shared" si="90"/>
        <v>-0.64453299999998137</v>
      </c>
      <c r="L58" s="22">
        <f t="shared" si="91"/>
        <v>0.20530999999998301</v>
      </c>
      <c r="M58" s="5"/>
      <c r="N58" s="5"/>
      <c r="O58" s="19">
        <v>72.212519999999998</v>
      </c>
      <c r="P58" s="20">
        <v>73.286649999999995</v>
      </c>
      <c r="Q58" s="20">
        <v>73.496970000000005</v>
      </c>
      <c r="R58" s="21">
        <v>73.785300000000007</v>
      </c>
      <c r="S58" s="5">
        <f t="shared" si="92"/>
        <v>-0.43059449999999799</v>
      </c>
      <c r="T58" s="5">
        <f t="shared" si="93"/>
        <v>-0.18466899999999953</v>
      </c>
      <c r="U58" s="5">
        <f t="shared" si="94"/>
        <v>0.40700760000000002</v>
      </c>
      <c r="V58" s="22">
        <f t="shared" si="95"/>
        <v>1.3729799000000042</v>
      </c>
      <c r="W58" s="5"/>
      <c r="X58" s="5"/>
      <c r="Y58" s="19">
        <v>11.653319</v>
      </c>
      <c r="Z58" s="20">
        <v>8.7857149999999997</v>
      </c>
      <c r="AA58" s="20">
        <v>10.704827999999999</v>
      </c>
      <c r="AB58" s="21">
        <v>10.703556000000001</v>
      </c>
      <c r="AC58" s="5">
        <f t="shared" si="96"/>
        <v>-1.3852411500000006</v>
      </c>
      <c r="AD58" s="5">
        <f t="shared" si="97"/>
        <v>-2.9792970999999984</v>
      </c>
      <c r="AE58" s="5">
        <f t="shared" si="98"/>
        <v>-0.21562210000000093</v>
      </c>
      <c r="AF58" s="22">
        <f t="shared" si="99"/>
        <v>-4.4139799999998175E-2</v>
      </c>
      <c r="AG58" s="5"/>
      <c r="AH58" s="5"/>
      <c r="AI58" s="19">
        <v>4.9304747999999998</v>
      </c>
      <c r="AJ58" s="20">
        <v>6.4130089999999997</v>
      </c>
      <c r="AK58" s="20">
        <v>4.5832014000000001</v>
      </c>
      <c r="AL58" s="21">
        <v>4.4060926</v>
      </c>
      <c r="AM58" s="5">
        <f t="shared" si="100"/>
        <v>-0.45029645999999968</v>
      </c>
      <c r="AN58" s="5">
        <f t="shared" si="101"/>
        <v>-0.4954277100000013</v>
      </c>
      <c r="AO58" s="5">
        <f t="shared" si="102"/>
        <v>-0.48429358999999916</v>
      </c>
      <c r="AP58" s="22">
        <f t="shared" si="103"/>
        <v>-0.30288961000000025</v>
      </c>
      <c r="AR58" s="5"/>
      <c r="AS58" s="19">
        <v>11.313457</v>
      </c>
      <c r="AT58" s="20">
        <v>9.915635</v>
      </c>
      <c r="AU58" s="20">
        <v>9.8017570000000003</v>
      </c>
      <c r="AV58" s="21">
        <v>11.291831</v>
      </c>
      <c r="AW58" s="5">
        <f t="shared" si="104"/>
        <v>0.20883475000000118</v>
      </c>
      <c r="AX58" s="5">
        <f t="shared" si="105"/>
        <v>-1.3729249999999027E-2</v>
      </c>
      <c r="AY58" s="5">
        <f t="shared" si="106"/>
        <v>-0.91345890000000018</v>
      </c>
      <c r="AZ58" s="22">
        <f t="shared" si="107"/>
        <v>-0.3424086500000012</v>
      </c>
      <c r="BB58" s="5"/>
      <c r="BC58" s="19">
        <v>3.0423892000000001</v>
      </c>
      <c r="BD58" s="20">
        <v>1.7012744</v>
      </c>
      <c r="BE58" s="20">
        <v>2.1790302000000001</v>
      </c>
      <c r="BF58" s="21">
        <v>2.1848195000000001</v>
      </c>
      <c r="BG58" s="5">
        <f t="shared" si="108"/>
        <v>-0.61870331999999939</v>
      </c>
      <c r="BH58" s="5">
        <f t="shared" si="109"/>
        <v>-0.17563498000000011</v>
      </c>
      <c r="BI58" s="5">
        <f t="shared" si="110"/>
        <v>-0.4827505999999997</v>
      </c>
      <c r="BJ58" s="22">
        <f t="shared" si="111"/>
        <v>-0.14942478999999986</v>
      </c>
      <c r="BL58" s="5"/>
      <c r="BM58" s="19">
        <v>3.3335845000000002</v>
      </c>
      <c r="BN58" s="20">
        <v>3.9959547999999998</v>
      </c>
      <c r="BO58" s="20">
        <v>2.8371521999999998</v>
      </c>
      <c r="BP58" s="21">
        <v>2.8895227999999999</v>
      </c>
      <c r="BQ58" s="5">
        <f t="shared" si="112"/>
        <v>-1.1396993400000004</v>
      </c>
      <c r="BR58" s="5">
        <f t="shared" si="113"/>
        <v>-0.81408543000000044</v>
      </c>
      <c r="BS58" s="5">
        <f t="shared" si="114"/>
        <v>0.18627929999999981</v>
      </c>
      <c r="BT58" s="22">
        <f t="shared" si="115"/>
        <v>0.13515346999999966</v>
      </c>
      <c r="BV58" s="5"/>
      <c r="BW58" s="19">
        <v>1.3116953</v>
      </c>
      <c r="BX58" s="20">
        <v>1.2003436000000001</v>
      </c>
      <c r="BY58" s="20">
        <v>1.2585275</v>
      </c>
      <c r="BZ58" s="21">
        <v>1.2832878000000001</v>
      </c>
      <c r="CA58" s="5">
        <f t="shared" si="116"/>
        <v>-0.35732497000000008</v>
      </c>
      <c r="CB58" s="5">
        <f t="shared" si="117"/>
        <v>-0.15966338999999974</v>
      </c>
      <c r="CC58" s="5">
        <f t="shared" si="118"/>
        <v>-0.28986537999999973</v>
      </c>
      <c r="CD58" s="22">
        <f t="shared" si="119"/>
        <v>-0.39393531000000026</v>
      </c>
    </row>
    <row r="59" spans="1:82" x14ac:dyDescent="0.25">
      <c r="A59" s="38"/>
      <c r="B59" s="5">
        <v>7</v>
      </c>
      <c r="C59" s="18">
        <v>35</v>
      </c>
      <c r="E59" s="19">
        <v>81.567689999999999</v>
      </c>
      <c r="F59" s="20">
        <v>81.506065000000007</v>
      </c>
      <c r="G59" s="20">
        <v>82.003919999999994</v>
      </c>
      <c r="H59" s="21">
        <v>81.72824</v>
      </c>
      <c r="I59" s="5">
        <f t="shared" si="88"/>
        <v>-0.56506339999998545</v>
      </c>
      <c r="J59" s="5">
        <f t="shared" si="89"/>
        <v>0.20477160000000083</v>
      </c>
      <c r="K59" s="5">
        <f t="shared" si="90"/>
        <v>-0.59876299999999105</v>
      </c>
      <c r="L59" s="22">
        <f t="shared" si="91"/>
        <v>-0.86022000000001242</v>
      </c>
      <c r="M59" s="5"/>
      <c r="N59" s="5"/>
      <c r="O59" s="19">
        <v>72.38458</v>
      </c>
      <c r="P59" s="20">
        <v>73.386740000000003</v>
      </c>
      <c r="Q59" s="20">
        <v>72.315939999999998</v>
      </c>
      <c r="R59" s="21">
        <v>73.150739999999999</v>
      </c>
      <c r="S59" s="5">
        <f t="shared" si="92"/>
        <v>-0.25853449999999611</v>
      </c>
      <c r="T59" s="5">
        <f t="shared" si="93"/>
        <v>-8.4578999999990856E-2</v>
      </c>
      <c r="U59" s="5">
        <f t="shared" si="94"/>
        <v>-0.77402240000000688</v>
      </c>
      <c r="V59" s="22">
        <f t="shared" si="95"/>
        <v>0.73841989999999669</v>
      </c>
      <c r="W59" s="5"/>
      <c r="X59" s="5"/>
      <c r="Y59" s="19">
        <v>10.050325000000001</v>
      </c>
      <c r="Z59" s="20">
        <v>15.422670999999999</v>
      </c>
      <c r="AA59" s="20">
        <v>9.1006509999999992</v>
      </c>
      <c r="AB59" s="21">
        <v>9.3317809999999994</v>
      </c>
      <c r="AC59" s="5">
        <f t="shared" si="96"/>
        <v>-2.9882351499999995</v>
      </c>
      <c r="AD59" s="5">
        <f t="shared" si="97"/>
        <v>3.6576589000000013</v>
      </c>
      <c r="AE59" s="5">
        <f t="shared" si="98"/>
        <v>-1.8197991000000009</v>
      </c>
      <c r="AF59" s="22">
        <f t="shared" si="99"/>
        <v>-1.4159147999999995</v>
      </c>
      <c r="AG59" s="5"/>
      <c r="AH59" s="5"/>
      <c r="AI59" s="19">
        <v>6.5514559999999999</v>
      </c>
      <c r="AJ59" s="20">
        <v>7.2313365999999997</v>
      </c>
      <c r="AK59" s="20">
        <v>5.5431660000000003</v>
      </c>
      <c r="AL59" s="21">
        <v>5.4238080000000002</v>
      </c>
      <c r="AM59" s="5">
        <f t="shared" si="100"/>
        <v>1.1706847400000004</v>
      </c>
      <c r="AN59" s="5">
        <f t="shared" si="101"/>
        <v>0.32289988999999863</v>
      </c>
      <c r="AO59" s="5">
        <f t="shared" si="102"/>
        <v>0.475671010000001</v>
      </c>
      <c r="AP59" s="22">
        <f t="shared" si="103"/>
        <v>0.71482578999999991</v>
      </c>
      <c r="AR59" s="5"/>
      <c r="AS59" s="19">
        <v>9.0078309999999995</v>
      </c>
      <c r="AT59" s="20">
        <v>10.063895</v>
      </c>
      <c r="AU59" s="20">
        <v>9.8790980000000008</v>
      </c>
      <c r="AV59" s="21">
        <v>9.800459</v>
      </c>
      <c r="AW59" s="5">
        <f t="shared" si="104"/>
        <v>-2.096791249999999</v>
      </c>
      <c r="AX59" s="5">
        <f t="shared" si="105"/>
        <v>0.13453075000000148</v>
      </c>
      <c r="AY59" s="5">
        <f t="shared" si="106"/>
        <v>-0.83611789999999964</v>
      </c>
      <c r="AZ59" s="22">
        <f t="shared" si="107"/>
        <v>-1.8337806500000013</v>
      </c>
      <c r="BB59" s="5"/>
      <c r="BC59" s="19">
        <v>1.7500290999999999</v>
      </c>
      <c r="BD59" s="20">
        <v>1.9434872000000001</v>
      </c>
      <c r="BE59" s="20">
        <v>1.7340443999999999</v>
      </c>
      <c r="BF59" s="21">
        <v>1.8167340000000001</v>
      </c>
      <c r="BG59" s="5">
        <f t="shared" si="108"/>
        <v>-1.9110634199999996</v>
      </c>
      <c r="BH59" s="5">
        <f t="shared" si="109"/>
        <v>6.657782000000001E-2</v>
      </c>
      <c r="BI59" s="5">
        <f t="shared" si="110"/>
        <v>-0.92773639999999991</v>
      </c>
      <c r="BJ59" s="22">
        <f t="shared" si="111"/>
        <v>-0.51751028999999993</v>
      </c>
      <c r="BL59" s="5"/>
      <c r="BM59" s="19">
        <v>3.8106935000000002</v>
      </c>
      <c r="BN59" s="20">
        <v>9.3089479999999991</v>
      </c>
      <c r="BO59" s="20">
        <v>3.3709989</v>
      </c>
      <c r="BP59" s="21">
        <v>3.2256002000000001</v>
      </c>
      <c r="BQ59" s="5">
        <f t="shared" si="112"/>
        <v>-0.66259034000000039</v>
      </c>
      <c r="BR59" s="5">
        <f t="shared" si="113"/>
        <v>4.4989077699999989</v>
      </c>
      <c r="BS59" s="5">
        <f t="shared" si="114"/>
        <v>0.72012600000000004</v>
      </c>
      <c r="BT59" s="22">
        <f t="shared" si="115"/>
        <v>0.47123086999999986</v>
      </c>
      <c r="BV59" s="5"/>
      <c r="BW59" s="19">
        <v>1.2796297000000001</v>
      </c>
      <c r="BX59" s="20">
        <v>1.4622339</v>
      </c>
      <c r="BY59" s="20">
        <v>1.2654737</v>
      </c>
      <c r="BZ59" s="21">
        <v>1.2705295000000001</v>
      </c>
      <c r="CA59" s="5">
        <f t="shared" si="116"/>
        <v>-0.38939056999999999</v>
      </c>
      <c r="CB59" s="5">
        <f t="shared" si="117"/>
        <v>0.10222691000000017</v>
      </c>
      <c r="CC59" s="5">
        <f t="shared" si="118"/>
        <v>-0.28291917999999971</v>
      </c>
      <c r="CD59" s="22">
        <f t="shared" si="119"/>
        <v>-0.40669361000000026</v>
      </c>
    </row>
    <row r="60" spans="1:82" x14ac:dyDescent="0.25">
      <c r="A60" s="38"/>
      <c r="B60" s="5">
        <v>8</v>
      </c>
      <c r="C60" s="18">
        <v>40</v>
      </c>
      <c r="E60" s="19">
        <v>81.807649999999995</v>
      </c>
      <c r="F60" s="20">
        <v>80.90361</v>
      </c>
      <c r="G60" s="20">
        <v>82.582359999999994</v>
      </c>
      <c r="H60" s="21">
        <v>82.473140000000001</v>
      </c>
      <c r="I60" s="5">
        <f t="shared" si="88"/>
        <v>-0.32510339999998905</v>
      </c>
      <c r="J60" s="5">
        <f t="shared" si="89"/>
        <v>-0.39768340000000535</v>
      </c>
      <c r="K60" s="5">
        <f t="shared" si="90"/>
        <v>-2.0322999999990543E-2</v>
      </c>
      <c r="L60" s="22">
        <f t="shared" si="91"/>
        <v>-0.11532000000001119</v>
      </c>
      <c r="M60" s="5"/>
      <c r="N60" s="5"/>
      <c r="O60" s="19">
        <v>72.554429999999996</v>
      </c>
      <c r="P60" s="20">
        <v>73.290390000000002</v>
      </c>
      <c r="Q60" s="20">
        <v>74.261449999999996</v>
      </c>
      <c r="R60" s="21">
        <v>72.080520000000007</v>
      </c>
      <c r="S60" s="5">
        <f t="shared" si="92"/>
        <v>-8.8684499999999389E-2</v>
      </c>
      <c r="T60" s="5">
        <f t="shared" si="93"/>
        <v>-0.1809289999999919</v>
      </c>
      <c r="U60" s="5">
        <f t="shared" si="94"/>
        <v>1.1714875999999919</v>
      </c>
      <c r="V60" s="22">
        <f t="shared" si="95"/>
        <v>-0.33180009999999527</v>
      </c>
      <c r="W60" s="5"/>
      <c r="X60" s="5"/>
      <c r="Y60" s="19">
        <v>14.597457</v>
      </c>
      <c r="Z60" s="20">
        <v>16.150407999999999</v>
      </c>
      <c r="AA60" s="20">
        <v>11.383068</v>
      </c>
      <c r="AB60" s="21">
        <v>11.52698</v>
      </c>
      <c r="AC60" s="5">
        <f t="shared" si="96"/>
        <v>1.55889685</v>
      </c>
      <c r="AD60" s="5">
        <f t="shared" si="97"/>
        <v>4.3853959000000007</v>
      </c>
      <c r="AE60" s="5">
        <f t="shared" si="98"/>
        <v>0.46261789999999969</v>
      </c>
      <c r="AF60" s="22">
        <f t="shared" si="99"/>
        <v>0.77928420000000109</v>
      </c>
      <c r="AG60" s="5"/>
      <c r="AH60" s="5"/>
      <c r="AI60" s="19">
        <v>5.5405410000000002</v>
      </c>
      <c r="AJ60" s="20">
        <v>7.1004269999999998</v>
      </c>
      <c r="AK60" s="20">
        <v>4.8860754999999996</v>
      </c>
      <c r="AL60" s="21">
        <v>4.8136562999999999</v>
      </c>
      <c r="AM60" s="5">
        <f t="shared" si="100"/>
        <v>0.15976974000000066</v>
      </c>
      <c r="AN60" s="5">
        <f t="shared" si="101"/>
        <v>0.19199028999999879</v>
      </c>
      <c r="AO60" s="5">
        <f t="shared" si="102"/>
        <v>-0.18141948999999968</v>
      </c>
      <c r="AP60" s="22">
        <f t="shared" si="103"/>
        <v>0.10467408999999961</v>
      </c>
      <c r="AR60" s="5"/>
      <c r="AS60" s="19">
        <v>11.113664999999999</v>
      </c>
      <c r="AT60" s="20">
        <v>10.101578999999999</v>
      </c>
      <c r="AU60" s="20">
        <v>11.154356</v>
      </c>
      <c r="AV60" s="21">
        <v>12.210972999999999</v>
      </c>
      <c r="AW60" s="5">
        <f t="shared" si="104"/>
        <v>9.0427500000007655E-3</v>
      </c>
      <c r="AX60" s="5">
        <f t="shared" si="105"/>
        <v>0.17221475000000019</v>
      </c>
      <c r="AY60" s="5">
        <f t="shared" si="106"/>
        <v>0.43914009999999948</v>
      </c>
      <c r="AZ60" s="22">
        <f t="shared" si="107"/>
        <v>0.57673334999999781</v>
      </c>
      <c r="BB60" s="5"/>
      <c r="BC60" s="19">
        <v>3.9427935999999999</v>
      </c>
      <c r="BD60" s="20">
        <v>2.0353227</v>
      </c>
      <c r="BE60" s="20">
        <v>3.1744490000000001</v>
      </c>
      <c r="BF60" s="21">
        <v>3.2069969999999999</v>
      </c>
      <c r="BG60" s="5">
        <f t="shared" si="108"/>
        <v>0.28170108000000038</v>
      </c>
      <c r="BH60" s="5">
        <f t="shared" si="109"/>
        <v>0.15841331999999997</v>
      </c>
      <c r="BI60" s="5">
        <f t="shared" si="110"/>
        <v>0.51266820000000024</v>
      </c>
      <c r="BJ60" s="22">
        <f t="shared" si="111"/>
        <v>0.87275270999999988</v>
      </c>
      <c r="BL60" s="5"/>
      <c r="BM60" s="19">
        <v>5.7063280000000001</v>
      </c>
      <c r="BN60" s="20">
        <v>5.5147686</v>
      </c>
      <c r="BO60" s="20">
        <v>2.5699350000000001</v>
      </c>
      <c r="BP60" s="21">
        <v>2.4089803999999999</v>
      </c>
      <c r="BQ60" s="5">
        <f t="shared" si="112"/>
        <v>1.2330441599999995</v>
      </c>
      <c r="BR60" s="5">
        <f t="shared" si="113"/>
        <v>0.70472836999999977</v>
      </c>
      <c r="BS60" s="5">
        <f t="shared" si="114"/>
        <v>-8.0937899999999896E-2</v>
      </c>
      <c r="BT60" s="22">
        <f t="shared" si="115"/>
        <v>-0.34538893000000037</v>
      </c>
      <c r="BV60" s="5"/>
      <c r="BW60" s="19">
        <v>2.1167676000000002</v>
      </c>
      <c r="BX60" s="20">
        <v>1.5833794999999999</v>
      </c>
      <c r="BY60" s="20">
        <v>1.4985824000000001</v>
      </c>
      <c r="BZ60" s="21">
        <v>1.5623552999999999</v>
      </c>
      <c r="CA60" s="5">
        <f t="shared" si="116"/>
        <v>0.44774733000000011</v>
      </c>
      <c r="CB60" s="5">
        <f t="shared" si="117"/>
        <v>0.22337251000000014</v>
      </c>
      <c r="CC60" s="5">
        <f t="shared" si="118"/>
        <v>-4.9810479999999657E-2</v>
      </c>
      <c r="CD60" s="22">
        <f t="shared" si="119"/>
        <v>-0.11486781000000046</v>
      </c>
    </row>
    <row r="61" spans="1:82" x14ac:dyDescent="0.25">
      <c r="A61" s="38"/>
      <c r="B61" s="5">
        <v>9</v>
      </c>
      <c r="C61" s="18">
        <v>45</v>
      </c>
      <c r="E61" s="19">
        <v>82.774060000000006</v>
      </c>
      <c r="F61" s="20">
        <v>80.814644000000001</v>
      </c>
      <c r="G61" s="20">
        <v>82.681610000000006</v>
      </c>
      <c r="H61" s="21">
        <v>82.347260000000006</v>
      </c>
      <c r="I61" s="5">
        <f t="shared" si="88"/>
        <v>0.64130660000002138</v>
      </c>
      <c r="J61" s="5">
        <f t="shared" si="89"/>
        <v>-0.48664940000000456</v>
      </c>
      <c r="K61" s="5">
        <f t="shared" si="90"/>
        <v>7.8927000000021508E-2</v>
      </c>
      <c r="L61" s="22">
        <f t="shared" si="91"/>
        <v>-0.2412000000000063</v>
      </c>
      <c r="M61" s="5"/>
      <c r="N61" s="5"/>
      <c r="O61" s="19">
        <v>71.977969999999999</v>
      </c>
      <c r="P61" s="20">
        <v>72.476550000000003</v>
      </c>
      <c r="Q61" s="20">
        <v>72.625900000000001</v>
      </c>
      <c r="R61" s="21">
        <v>71.900954999999996</v>
      </c>
      <c r="S61" s="5">
        <f t="shared" si="92"/>
        <v>-0.6651444999999967</v>
      </c>
      <c r="T61" s="5">
        <f t="shared" si="93"/>
        <v>-0.99476899999999091</v>
      </c>
      <c r="U61" s="5">
        <f t="shared" si="94"/>
        <v>-0.46406240000000309</v>
      </c>
      <c r="V61" s="22">
        <f t="shared" si="95"/>
        <v>-0.51136510000000612</v>
      </c>
      <c r="W61" s="5"/>
      <c r="X61" s="5"/>
      <c r="Y61" s="19">
        <v>17.013905000000001</v>
      </c>
      <c r="Z61" s="20">
        <v>14.759835000000001</v>
      </c>
      <c r="AA61" s="20">
        <v>10.949615</v>
      </c>
      <c r="AB61" s="21">
        <v>10.944675999999999</v>
      </c>
      <c r="AC61" s="5">
        <f t="shared" si="96"/>
        <v>3.9753448500000008</v>
      </c>
      <c r="AD61" s="5">
        <f t="shared" si="97"/>
        <v>2.9948229000000026</v>
      </c>
      <c r="AE61" s="5">
        <f t="shared" si="98"/>
        <v>2.9164899999999605E-2</v>
      </c>
      <c r="AF61" s="22">
        <f t="shared" si="99"/>
        <v>0.19698020000000049</v>
      </c>
      <c r="AG61" s="5"/>
      <c r="AH61" s="5"/>
      <c r="AI61" s="19">
        <v>4.8383149999999997</v>
      </c>
      <c r="AJ61" s="20">
        <v>6.9932137000000001</v>
      </c>
      <c r="AK61" s="20">
        <v>4.7604885000000001</v>
      </c>
      <c r="AL61" s="21">
        <v>4.6745048000000002</v>
      </c>
      <c r="AM61" s="5">
        <f t="shared" si="100"/>
        <v>-0.5424562599999998</v>
      </c>
      <c r="AN61" s="5">
        <f t="shared" si="101"/>
        <v>8.4776989999999053E-2</v>
      </c>
      <c r="AO61" s="5">
        <f t="shared" si="102"/>
        <v>-0.30700648999999913</v>
      </c>
      <c r="AP61" s="22">
        <f t="shared" si="103"/>
        <v>-3.4477410000000042E-2</v>
      </c>
      <c r="AR61" s="5"/>
      <c r="AS61" s="19">
        <v>11.578322999999999</v>
      </c>
      <c r="AT61" s="20">
        <v>9.9567239999999995</v>
      </c>
      <c r="AU61" s="20">
        <v>12.250059</v>
      </c>
      <c r="AV61" s="21">
        <v>12.245692</v>
      </c>
      <c r="AW61" s="5">
        <f t="shared" si="104"/>
        <v>0.47370075000000078</v>
      </c>
      <c r="AX61" s="5">
        <f t="shared" si="105"/>
        <v>2.735975000000046E-2</v>
      </c>
      <c r="AY61" s="5">
        <f t="shared" si="106"/>
        <v>1.5348430999999998</v>
      </c>
      <c r="AZ61" s="22">
        <f t="shared" si="107"/>
        <v>0.61145234999999865</v>
      </c>
      <c r="BB61" s="5"/>
      <c r="BC61" s="19">
        <v>4.1047589999999996</v>
      </c>
      <c r="BD61" s="20">
        <v>2.589143</v>
      </c>
      <c r="BE61" s="20">
        <v>2.3001420000000001</v>
      </c>
      <c r="BF61" s="21">
        <v>2.2940418999999999</v>
      </c>
      <c r="BG61" s="5">
        <f t="shared" si="108"/>
        <v>0.44366648000000009</v>
      </c>
      <c r="BH61" s="5">
        <f t="shared" si="109"/>
        <v>0.7122336199999999</v>
      </c>
      <c r="BI61" s="5">
        <f t="shared" si="110"/>
        <v>-0.3616387999999997</v>
      </c>
      <c r="BJ61" s="22">
        <f t="shared" si="111"/>
        <v>-4.0202390000000143E-2</v>
      </c>
      <c r="BL61" s="5"/>
      <c r="BM61" s="19">
        <v>7.1560550000000003</v>
      </c>
      <c r="BN61" s="20">
        <v>4.59802</v>
      </c>
      <c r="BO61" s="20">
        <v>2.4550296999999999</v>
      </c>
      <c r="BP61" s="21">
        <v>2.6075005999999998</v>
      </c>
      <c r="BQ61" s="5">
        <f t="shared" si="112"/>
        <v>2.6827711599999997</v>
      </c>
      <c r="BR61" s="5">
        <f t="shared" si="113"/>
        <v>-0.21202023000000025</v>
      </c>
      <c r="BS61" s="5">
        <f t="shared" si="114"/>
        <v>-0.19584320000000011</v>
      </c>
      <c r="BT61" s="22">
        <f t="shared" si="115"/>
        <v>-0.14686873000000045</v>
      </c>
      <c r="BV61" s="5"/>
      <c r="BW61" s="19">
        <v>2.2406874000000001</v>
      </c>
      <c r="BX61" s="20">
        <v>1.4952916999999999</v>
      </c>
      <c r="BY61" s="20">
        <v>2.2327417999999999</v>
      </c>
      <c r="BZ61" s="21">
        <v>2.1094172000000002</v>
      </c>
      <c r="CA61" s="5">
        <f t="shared" si="116"/>
        <v>0.57166713000000002</v>
      </c>
      <c r="CB61" s="5">
        <f t="shared" si="117"/>
        <v>0.13528471000000009</v>
      </c>
      <c r="CC61" s="5">
        <f t="shared" si="118"/>
        <v>0.68434892000000014</v>
      </c>
      <c r="CD61" s="22">
        <f t="shared" si="119"/>
        <v>0.43219408999999986</v>
      </c>
    </row>
    <row r="62" spans="1:82" x14ac:dyDescent="0.25">
      <c r="A62" s="39"/>
      <c r="B62" s="23">
        <v>10</v>
      </c>
      <c r="C62" s="24">
        <v>50</v>
      </c>
      <c r="E62" s="25">
        <v>81.801659999999998</v>
      </c>
      <c r="F62" s="26">
        <v>81.376975999999999</v>
      </c>
      <c r="G62" s="26">
        <v>82.854256000000007</v>
      </c>
      <c r="H62" s="27">
        <v>83.134529999999998</v>
      </c>
      <c r="I62" s="23">
        <f t="shared" si="88"/>
        <v>-0.3310933999999861</v>
      </c>
      <c r="J62" s="23">
        <f t="shared" si="89"/>
        <v>7.5682599999993272E-2</v>
      </c>
      <c r="K62" s="23">
        <f t="shared" si="90"/>
        <v>0.25157300000002181</v>
      </c>
      <c r="L62" s="28">
        <f t="shared" si="91"/>
        <v>0.54606999999998607</v>
      </c>
      <c r="M62" s="5"/>
      <c r="N62" s="5"/>
      <c r="O62" s="25">
        <v>72.853499999999997</v>
      </c>
      <c r="P62" s="26">
        <v>74.099556000000007</v>
      </c>
      <c r="Q62" s="26">
        <v>73.554855000000003</v>
      </c>
      <c r="R62" s="27">
        <v>71.487120000000004</v>
      </c>
      <c r="S62" s="23">
        <f t="shared" si="92"/>
        <v>0.210385500000001</v>
      </c>
      <c r="T62" s="23">
        <f t="shared" si="93"/>
        <v>0.62823700000001281</v>
      </c>
      <c r="U62" s="23">
        <f t="shared" si="94"/>
        <v>0.46489259999999888</v>
      </c>
      <c r="V62" s="28">
        <f t="shared" si="95"/>
        <v>-0.92520009999999786</v>
      </c>
      <c r="W62" s="5"/>
      <c r="X62" s="5"/>
      <c r="Y62" s="25">
        <v>14.640093</v>
      </c>
      <c r="Z62" s="26">
        <v>15.245843000000001</v>
      </c>
      <c r="AA62" s="26">
        <v>11.482734000000001</v>
      </c>
      <c r="AB62" s="27">
        <v>10.747139000000001</v>
      </c>
      <c r="AC62" s="23">
        <f t="shared" si="96"/>
        <v>1.6015328499999999</v>
      </c>
      <c r="AD62" s="23">
        <f t="shared" si="97"/>
        <v>3.4808309000000026</v>
      </c>
      <c r="AE62" s="23">
        <f t="shared" si="98"/>
        <v>0.56228390000000061</v>
      </c>
      <c r="AF62" s="28">
        <f t="shared" si="99"/>
        <v>-5.5679999999824759E-4</v>
      </c>
      <c r="AG62" s="5"/>
      <c r="AH62" s="5"/>
      <c r="AI62" s="25">
        <v>5.6266439999999998</v>
      </c>
      <c r="AJ62" s="26">
        <v>7.1872816000000004</v>
      </c>
      <c r="AK62" s="26">
        <v>5.1006090000000004</v>
      </c>
      <c r="AL62" s="27">
        <v>4.4182024000000002</v>
      </c>
      <c r="AM62" s="23">
        <f t="shared" si="100"/>
        <v>0.24587274000000026</v>
      </c>
      <c r="AN62" s="23">
        <f t="shared" si="101"/>
        <v>0.27884488999999935</v>
      </c>
      <c r="AO62" s="23">
        <f t="shared" si="102"/>
        <v>3.3114010000001137E-2</v>
      </c>
      <c r="AP62" s="28">
        <f t="shared" si="103"/>
        <v>-0.29077981000000008</v>
      </c>
      <c r="AR62" s="5"/>
      <c r="AS62" s="25">
        <v>11.351874</v>
      </c>
      <c r="AT62" s="26">
        <v>10.058249</v>
      </c>
      <c r="AU62" s="26">
        <v>11.343203000000001</v>
      </c>
      <c r="AV62" s="27">
        <v>12.187509</v>
      </c>
      <c r="AW62" s="23">
        <f t="shared" si="104"/>
        <v>0.24725175000000199</v>
      </c>
      <c r="AX62" s="23">
        <f t="shared" si="105"/>
        <v>0.12888475000000099</v>
      </c>
      <c r="AY62" s="23">
        <f t="shared" si="106"/>
        <v>0.62798710000000035</v>
      </c>
      <c r="AZ62" s="28">
        <f t="shared" si="107"/>
        <v>0.55326934999999899</v>
      </c>
      <c r="BB62" s="5"/>
      <c r="BC62" s="25">
        <v>3.9171054000000001</v>
      </c>
      <c r="BD62" s="26">
        <v>1.7867257999999999</v>
      </c>
      <c r="BE62" s="26">
        <v>3.1631445999999999</v>
      </c>
      <c r="BF62" s="27">
        <v>2.4007673</v>
      </c>
      <c r="BG62" s="23">
        <f t="shared" si="108"/>
        <v>0.25601288000000055</v>
      </c>
      <c r="BH62" s="23">
        <f t="shared" si="109"/>
        <v>-9.0183580000000152E-2</v>
      </c>
      <c r="BI62" s="23">
        <f t="shared" si="110"/>
        <v>0.50136380000000003</v>
      </c>
      <c r="BJ62" s="28">
        <f t="shared" si="111"/>
        <v>6.6523010000000049E-2</v>
      </c>
      <c r="BL62" s="5"/>
      <c r="BM62" s="25">
        <v>5.5597190000000003</v>
      </c>
      <c r="BN62" s="26">
        <v>4.6845702999999999</v>
      </c>
      <c r="BO62" s="26">
        <v>2.5033251999999999</v>
      </c>
      <c r="BP62" s="27">
        <v>2.7077200000000001</v>
      </c>
      <c r="BQ62" s="23">
        <f t="shared" si="112"/>
        <v>1.0864351599999997</v>
      </c>
      <c r="BR62" s="23">
        <f t="shared" si="113"/>
        <v>-0.1254699300000004</v>
      </c>
      <c r="BS62" s="23">
        <f t="shared" si="114"/>
        <v>-0.14754770000000006</v>
      </c>
      <c r="BT62" s="28">
        <f t="shared" si="115"/>
        <v>-4.6649330000000155E-2</v>
      </c>
      <c r="BV62" s="5"/>
      <c r="BW62" s="25">
        <v>1.8622363</v>
      </c>
      <c r="BX62" s="26">
        <v>1.5206675999999999</v>
      </c>
      <c r="BY62" s="26">
        <v>1.4650810999999999</v>
      </c>
      <c r="BZ62" s="27">
        <v>1.7036169999999999</v>
      </c>
      <c r="CA62" s="23">
        <f t="shared" si="116"/>
        <v>0.19321602999999987</v>
      </c>
      <c r="CB62" s="23">
        <f t="shared" si="117"/>
        <v>0.16066061000000009</v>
      </c>
      <c r="CC62" s="23">
        <f t="shared" si="118"/>
        <v>-8.3311779999999835E-2</v>
      </c>
      <c r="CD62" s="28">
        <f t="shared" si="119"/>
        <v>2.6393889999999587E-2</v>
      </c>
    </row>
  </sheetData>
  <mergeCells count="32"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  <mergeCell ref="BW11:BZ11"/>
    <mergeCell ref="AM11:AP11"/>
    <mergeCell ref="A23:A32"/>
    <mergeCell ref="S11:V11"/>
    <mergeCell ref="Y11:AB11"/>
    <mergeCell ref="BM1:BT1"/>
    <mergeCell ref="AW11:AZ11"/>
    <mergeCell ref="C11:C12"/>
    <mergeCell ref="Y1:AF1"/>
    <mergeCell ref="I11:L11"/>
    <mergeCell ref="BC11:BF11"/>
    <mergeCell ref="BM11:BP11"/>
    <mergeCell ref="AI1:AP1"/>
    <mergeCell ref="AS1:AZ1"/>
    <mergeCell ref="AC11:AF11"/>
    <mergeCell ref="E1:L1"/>
    <mergeCell ref="O1:V1"/>
    <mergeCell ref="BQ11:BT11"/>
    <mergeCell ref="A53:A62"/>
    <mergeCell ref="A43:A52"/>
    <mergeCell ref="O11:R11"/>
    <mergeCell ref="B11:B12"/>
    <mergeCell ref="A13:A22"/>
  </mergeCells>
  <conditionalFormatting sqref="E8:H8 Y8:AB8 AI8:AL8 AS8:AV8 BC8:BF8 BM8:BP8 BW8:BZ8">
    <cfRule type="cellIs" dxfId="1" priority="2" operator="greaterThan">
      <formula>$C$9</formula>
    </cfRule>
  </conditionalFormatting>
  <conditionalFormatting sqref="O8:R8">
    <cfRule type="cellIs" dxfId="0" priority="1" operator="greaterThan"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Temperature Variation</vt:lpstr>
      <vt:lpstr>Repeatability1</vt:lpstr>
      <vt:lpstr>Repeatability2b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Cacciatore</dc:creator>
  <cp:lastModifiedBy>Alessandro Cacciatore</cp:lastModifiedBy>
  <dcterms:created xsi:type="dcterms:W3CDTF">2015-06-05T18:19:34Z</dcterms:created>
  <dcterms:modified xsi:type="dcterms:W3CDTF">2026-05-08T08:07:49Z</dcterms:modified>
</cp:coreProperties>
</file>