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ss\Desktop\ricerca\deep-nir\data\raw\Grain\08_CornGrain\"/>
    </mc:Choice>
  </mc:AlternateContent>
  <xr:revisionPtr revIDLastSave="0" documentId="8_{0BEFFD01-697F-4882-9117-E8AB48622008}" xr6:coauthVersionLast="47" xr6:coauthVersionMax="47" xr10:uidLastSave="{00000000-0000-0000-0000-000000000000}"/>
  <bookViews>
    <workbookView xWindow="3975" yWindow="2340" windowWidth="21600" windowHeight="11835" xr2:uid="{62E45E6C-2A3E-45B3-B2FC-6E1D1AC3FF0B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X36" i="1" l="1"/>
  <c r="BW36" i="1"/>
  <c r="BQ36" i="1"/>
  <c r="BP36" i="1"/>
  <c r="BG36" i="1"/>
  <c r="AN36" i="1"/>
  <c r="AM36" i="1"/>
  <c r="AG36" i="1"/>
  <c r="AF36" i="1"/>
  <c r="W36" i="1"/>
  <c r="BX35" i="1"/>
  <c r="BW35" i="1"/>
  <c r="BQ35" i="1"/>
  <c r="BP35" i="1"/>
  <c r="BG35" i="1"/>
  <c r="AN35" i="1"/>
  <c r="AM35" i="1"/>
  <c r="AG35" i="1"/>
  <c r="AF35" i="1"/>
  <c r="W35" i="1"/>
  <c r="BX34" i="1"/>
  <c r="BW34" i="1"/>
  <c r="BQ34" i="1"/>
  <c r="BP34" i="1"/>
  <c r="BG34" i="1"/>
  <c r="AN34" i="1"/>
  <c r="AM34" i="1"/>
  <c r="AG34" i="1"/>
  <c r="AF34" i="1"/>
  <c r="W34" i="1"/>
  <c r="BX33" i="1"/>
  <c r="BW33" i="1"/>
  <c r="BQ33" i="1"/>
  <c r="BP33" i="1"/>
  <c r="BG33" i="1"/>
  <c r="AN33" i="1"/>
  <c r="AM33" i="1"/>
  <c r="AG33" i="1"/>
  <c r="AF33" i="1"/>
  <c r="W33" i="1"/>
  <c r="BX32" i="1"/>
  <c r="BW32" i="1"/>
  <c r="BQ32" i="1"/>
  <c r="BP32" i="1"/>
  <c r="BG32" i="1"/>
  <c r="AN32" i="1"/>
  <c r="AM32" i="1"/>
  <c r="AG32" i="1"/>
  <c r="AF32" i="1"/>
  <c r="W32" i="1"/>
  <c r="BX31" i="1"/>
  <c r="BW31" i="1"/>
  <c r="BQ31" i="1"/>
  <c r="BP31" i="1"/>
  <c r="BG31" i="1"/>
  <c r="AN31" i="1"/>
  <c r="AM31" i="1"/>
  <c r="AG31" i="1"/>
  <c r="AF31" i="1"/>
  <c r="W31" i="1"/>
  <c r="BX30" i="1"/>
  <c r="BW30" i="1"/>
  <c r="BQ30" i="1"/>
  <c r="BP30" i="1"/>
  <c r="BG30" i="1"/>
  <c r="AN30" i="1"/>
  <c r="AM30" i="1"/>
  <c r="AG30" i="1"/>
  <c r="AF30" i="1"/>
  <c r="W30" i="1"/>
  <c r="E30" i="1"/>
  <c r="BM3" i="1" s="1"/>
  <c r="D30" i="1"/>
  <c r="BL3" i="1" s="1"/>
  <c r="C30" i="1"/>
  <c r="BT3" i="1" s="1"/>
  <c r="B30" i="1"/>
  <c r="BS3" i="1" s="1"/>
  <c r="BZ28" i="1"/>
  <c r="BY28" i="1"/>
  <c r="BX28" i="1"/>
  <c r="BW28" i="1"/>
  <c r="BQ28" i="1"/>
  <c r="BP28" i="1"/>
  <c r="BO28" i="1"/>
  <c r="BN28" i="1"/>
  <c r="BH28" i="1"/>
  <c r="BG28" i="1"/>
  <c r="BF28" i="1"/>
  <c r="BE28" i="1"/>
  <c r="AY28" i="1"/>
  <c r="AX28" i="1"/>
  <c r="AW28" i="1"/>
  <c r="AV28" i="1"/>
  <c r="AP28" i="1"/>
  <c r="AO28" i="1"/>
  <c r="AN28" i="1"/>
  <c r="AM28" i="1"/>
  <c r="AG28" i="1"/>
  <c r="AF28" i="1"/>
  <c r="AE28" i="1"/>
  <c r="AD28" i="1"/>
  <c r="X28" i="1"/>
  <c r="W28" i="1"/>
  <c r="V28" i="1"/>
  <c r="U28" i="1"/>
  <c r="O28" i="1"/>
  <c r="N28" i="1"/>
  <c r="M28" i="1"/>
  <c r="L28" i="1"/>
  <c r="BZ27" i="1"/>
  <c r="BY27" i="1"/>
  <c r="BX27" i="1"/>
  <c r="BW27" i="1"/>
  <c r="BQ27" i="1"/>
  <c r="BP27" i="1"/>
  <c r="BO27" i="1"/>
  <c r="BN27" i="1"/>
  <c r="BH27" i="1"/>
  <c r="BG27" i="1"/>
  <c r="BF27" i="1"/>
  <c r="BE27" i="1"/>
  <c r="AY27" i="1"/>
  <c r="AX27" i="1"/>
  <c r="AW27" i="1"/>
  <c r="AV27" i="1"/>
  <c r="AP27" i="1"/>
  <c r="AO27" i="1"/>
  <c r="AN27" i="1"/>
  <c r="AM27" i="1"/>
  <c r="AG27" i="1"/>
  <c r="AF27" i="1"/>
  <c r="AE27" i="1"/>
  <c r="AD27" i="1"/>
  <c r="X27" i="1"/>
  <c r="W27" i="1"/>
  <c r="V27" i="1"/>
  <c r="U27" i="1"/>
  <c r="O27" i="1"/>
  <c r="N27" i="1"/>
  <c r="M27" i="1"/>
  <c r="L27" i="1"/>
  <c r="BZ26" i="1"/>
  <c r="BY26" i="1"/>
  <c r="BX26" i="1"/>
  <c r="BW26" i="1"/>
  <c r="BQ26" i="1"/>
  <c r="BP26" i="1"/>
  <c r="BO26" i="1"/>
  <c r="BN26" i="1"/>
  <c r="BH26" i="1"/>
  <c r="BG26" i="1"/>
  <c r="BF26" i="1"/>
  <c r="BE26" i="1"/>
  <c r="AY26" i="1"/>
  <c r="AX26" i="1"/>
  <c r="AW26" i="1"/>
  <c r="AV26" i="1"/>
  <c r="AP26" i="1"/>
  <c r="AO26" i="1"/>
  <c r="AN26" i="1"/>
  <c r="AM26" i="1"/>
  <c r="AG26" i="1"/>
  <c r="AF26" i="1"/>
  <c r="AE26" i="1"/>
  <c r="AD26" i="1"/>
  <c r="X26" i="1"/>
  <c r="W26" i="1"/>
  <c r="V26" i="1"/>
  <c r="U26" i="1"/>
  <c r="O26" i="1"/>
  <c r="N26" i="1"/>
  <c r="M26" i="1"/>
  <c r="L26" i="1"/>
  <c r="BZ25" i="1"/>
  <c r="BY25" i="1"/>
  <c r="BX25" i="1"/>
  <c r="BW25" i="1"/>
  <c r="BQ25" i="1"/>
  <c r="BP25" i="1"/>
  <c r="BO25" i="1"/>
  <c r="BN25" i="1"/>
  <c r="BH25" i="1"/>
  <c r="BG25" i="1"/>
  <c r="BF25" i="1"/>
  <c r="BE25" i="1"/>
  <c r="AY25" i="1"/>
  <c r="AX25" i="1"/>
  <c r="AW25" i="1"/>
  <c r="AV25" i="1"/>
  <c r="AP25" i="1"/>
  <c r="AO25" i="1"/>
  <c r="AN25" i="1"/>
  <c r="AM25" i="1"/>
  <c r="AG25" i="1"/>
  <c r="AF25" i="1"/>
  <c r="AE25" i="1"/>
  <c r="AD25" i="1"/>
  <c r="X25" i="1"/>
  <c r="W25" i="1"/>
  <c r="V25" i="1"/>
  <c r="U25" i="1"/>
  <c r="O25" i="1"/>
  <c r="N25" i="1"/>
  <c r="M25" i="1"/>
  <c r="L25" i="1"/>
  <c r="BZ24" i="1"/>
  <c r="BY24" i="1"/>
  <c r="BX24" i="1"/>
  <c r="BW24" i="1"/>
  <c r="BQ24" i="1"/>
  <c r="BP24" i="1"/>
  <c r="BO24" i="1"/>
  <c r="BN24" i="1"/>
  <c r="BH24" i="1"/>
  <c r="BG24" i="1"/>
  <c r="BF24" i="1"/>
  <c r="BE24" i="1"/>
  <c r="AY24" i="1"/>
  <c r="AX24" i="1"/>
  <c r="AW24" i="1"/>
  <c r="AV24" i="1"/>
  <c r="AP24" i="1"/>
  <c r="AO24" i="1"/>
  <c r="AN24" i="1"/>
  <c r="AM24" i="1"/>
  <c r="AG24" i="1"/>
  <c r="AF24" i="1"/>
  <c r="AE24" i="1"/>
  <c r="AD24" i="1"/>
  <c r="X24" i="1"/>
  <c r="W24" i="1"/>
  <c r="V24" i="1"/>
  <c r="U24" i="1"/>
  <c r="O24" i="1"/>
  <c r="N24" i="1"/>
  <c r="M24" i="1"/>
  <c r="L24" i="1"/>
  <c r="BZ23" i="1"/>
  <c r="BY23" i="1"/>
  <c r="BX23" i="1"/>
  <c r="BW23" i="1"/>
  <c r="BQ23" i="1"/>
  <c r="BP23" i="1"/>
  <c r="BO23" i="1"/>
  <c r="BN23" i="1"/>
  <c r="BH23" i="1"/>
  <c r="BG23" i="1"/>
  <c r="BF23" i="1"/>
  <c r="BE23" i="1"/>
  <c r="AY23" i="1"/>
  <c r="AX23" i="1"/>
  <c r="AW23" i="1"/>
  <c r="AV23" i="1"/>
  <c r="AP23" i="1"/>
  <c r="AO23" i="1"/>
  <c r="AN23" i="1"/>
  <c r="AM23" i="1"/>
  <c r="AG23" i="1"/>
  <c r="AF23" i="1"/>
  <c r="AE23" i="1"/>
  <c r="AD23" i="1"/>
  <c r="X23" i="1"/>
  <c r="W23" i="1"/>
  <c r="V23" i="1"/>
  <c r="U23" i="1"/>
  <c r="O23" i="1"/>
  <c r="N23" i="1"/>
  <c r="M23" i="1"/>
  <c r="L23" i="1"/>
  <c r="BZ22" i="1"/>
  <c r="BY22" i="1"/>
  <c r="BX22" i="1"/>
  <c r="BW22" i="1"/>
  <c r="BQ22" i="1"/>
  <c r="BP22" i="1"/>
  <c r="BO22" i="1"/>
  <c r="BN22" i="1"/>
  <c r="BH22" i="1"/>
  <c r="BG22" i="1"/>
  <c r="BF22" i="1"/>
  <c r="BE22" i="1"/>
  <c r="AY22" i="1"/>
  <c r="AX22" i="1"/>
  <c r="AW22" i="1"/>
  <c r="AV22" i="1"/>
  <c r="AP22" i="1"/>
  <c r="AO22" i="1"/>
  <c r="AN22" i="1"/>
  <c r="AM22" i="1"/>
  <c r="AG22" i="1"/>
  <c r="AF22" i="1"/>
  <c r="AE22" i="1"/>
  <c r="AD22" i="1"/>
  <c r="X22" i="1"/>
  <c r="W22" i="1"/>
  <c r="V22" i="1"/>
  <c r="U22" i="1"/>
  <c r="O22" i="1"/>
  <c r="N22" i="1"/>
  <c r="M22" i="1"/>
  <c r="L22" i="1"/>
  <c r="BZ21" i="1"/>
  <c r="BY21" i="1"/>
  <c r="BX21" i="1"/>
  <c r="BW21" i="1"/>
  <c r="BQ21" i="1"/>
  <c r="BP21" i="1"/>
  <c r="BO21" i="1"/>
  <c r="BN21" i="1"/>
  <c r="BH21" i="1"/>
  <c r="BG21" i="1"/>
  <c r="BF21" i="1"/>
  <c r="BE21" i="1"/>
  <c r="AY21" i="1"/>
  <c r="AX21" i="1"/>
  <c r="AW21" i="1"/>
  <c r="AV21" i="1"/>
  <c r="AP21" i="1"/>
  <c r="AO21" i="1"/>
  <c r="AN21" i="1"/>
  <c r="AM21" i="1"/>
  <c r="AG21" i="1"/>
  <c r="AF21" i="1"/>
  <c r="AE21" i="1"/>
  <c r="AD21" i="1"/>
  <c r="X21" i="1"/>
  <c r="W21" i="1"/>
  <c r="V21" i="1"/>
  <c r="U21" i="1"/>
  <c r="O21" i="1"/>
  <c r="N21" i="1"/>
  <c r="M21" i="1"/>
  <c r="L21" i="1"/>
  <c r="BZ20" i="1"/>
  <c r="BY20" i="1"/>
  <c r="BX20" i="1"/>
  <c r="BW20" i="1"/>
  <c r="BQ20" i="1"/>
  <c r="BP20" i="1"/>
  <c r="BO20" i="1"/>
  <c r="BN20" i="1"/>
  <c r="BH20" i="1"/>
  <c r="BG20" i="1"/>
  <c r="BF20" i="1"/>
  <c r="BE20" i="1"/>
  <c r="AY20" i="1"/>
  <c r="AX20" i="1"/>
  <c r="AW20" i="1"/>
  <c r="AV20" i="1"/>
  <c r="AP20" i="1"/>
  <c r="AO20" i="1"/>
  <c r="AN20" i="1"/>
  <c r="AM20" i="1"/>
  <c r="AG20" i="1"/>
  <c r="AF20" i="1"/>
  <c r="AE20" i="1"/>
  <c r="AD20" i="1"/>
  <c r="X20" i="1"/>
  <c r="W20" i="1"/>
  <c r="V20" i="1"/>
  <c r="U20" i="1"/>
  <c r="O20" i="1"/>
  <c r="N20" i="1"/>
  <c r="M20" i="1"/>
  <c r="L20" i="1"/>
  <c r="BZ19" i="1"/>
  <c r="BY19" i="1"/>
  <c r="BX19" i="1"/>
  <c r="BW19" i="1"/>
  <c r="BQ19" i="1"/>
  <c r="BP19" i="1"/>
  <c r="BO19" i="1"/>
  <c r="BN19" i="1"/>
  <c r="BH19" i="1"/>
  <c r="BG19" i="1"/>
  <c r="BF19" i="1"/>
  <c r="BE19" i="1"/>
  <c r="AY19" i="1"/>
  <c r="AX19" i="1"/>
  <c r="AW19" i="1"/>
  <c r="AV19" i="1"/>
  <c r="AP19" i="1"/>
  <c r="AO19" i="1"/>
  <c r="AN19" i="1"/>
  <c r="AM19" i="1"/>
  <c r="AG19" i="1"/>
  <c r="AF19" i="1"/>
  <c r="AE19" i="1"/>
  <c r="AD19" i="1"/>
  <c r="X19" i="1"/>
  <c r="W19" i="1"/>
  <c r="V19" i="1"/>
  <c r="U19" i="1"/>
  <c r="O19" i="1"/>
  <c r="N19" i="1"/>
  <c r="M19" i="1"/>
  <c r="L19" i="1"/>
  <c r="BZ18" i="1"/>
  <c r="BY18" i="1"/>
  <c r="BX18" i="1"/>
  <c r="BW18" i="1"/>
  <c r="BQ18" i="1"/>
  <c r="BP18" i="1"/>
  <c r="BO18" i="1"/>
  <c r="BN18" i="1"/>
  <c r="BH18" i="1"/>
  <c r="BG18" i="1"/>
  <c r="BF18" i="1"/>
  <c r="BE18" i="1"/>
  <c r="AY18" i="1"/>
  <c r="AX18" i="1"/>
  <c r="AW18" i="1"/>
  <c r="AV18" i="1"/>
  <c r="AP18" i="1"/>
  <c r="AO18" i="1"/>
  <c r="AN18" i="1"/>
  <c r="AM18" i="1"/>
  <c r="AG18" i="1"/>
  <c r="AF18" i="1"/>
  <c r="AE18" i="1"/>
  <c r="AD18" i="1"/>
  <c r="X18" i="1"/>
  <c r="W18" i="1"/>
  <c r="V18" i="1"/>
  <c r="U18" i="1"/>
  <c r="O18" i="1"/>
  <c r="N18" i="1"/>
  <c r="M18" i="1"/>
  <c r="L18" i="1"/>
  <c r="BZ17" i="1"/>
  <c r="BY17" i="1"/>
  <c r="BX17" i="1"/>
  <c r="BW17" i="1"/>
  <c r="BQ17" i="1"/>
  <c r="BP17" i="1"/>
  <c r="BO17" i="1"/>
  <c r="BN17" i="1"/>
  <c r="BH17" i="1"/>
  <c r="BG17" i="1"/>
  <c r="BF17" i="1"/>
  <c r="BE17" i="1"/>
  <c r="AY17" i="1"/>
  <c r="AX17" i="1"/>
  <c r="AW17" i="1"/>
  <c r="AV17" i="1"/>
  <c r="AP17" i="1"/>
  <c r="AO17" i="1"/>
  <c r="AN17" i="1"/>
  <c r="AM17" i="1"/>
  <c r="AG17" i="1"/>
  <c r="AF17" i="1"/>
  <c r="AE17" i="1"/>
  <c r="AD17" i="1"/>
  <c r="X17" i="1"/>
  <c r="W17" i="1"/>
  <c r="V17" i="1"/>
  <c r="U17" i="1"/>
  <c r="O17" i="1"/>
  <c r="N17" i="1"/>
  <c r="M17" i="1"/>
  <c r="L17" i="1"/>
  <c r="BZ16" i="1"/>
  <c r="BY16" i="1"/>
  <c r="BX16" i="1"/>
  <c r="BW16" i="1"/>
  <c r="BQ16" i="1"/>
  <c r="BP16" i="1"/>
  <c r="BO16" i="1"/>
  <c r="BN16" i="1"/>
  <c r="BH16" i="1"/>
  <c r="BG16" i="1"/>
  <c r="BF16" i="1"/>
  <c r="BE16" i="1"/>
  <c r="AY16" i="1"/>
  <c r="AX16" i="1"/>
  <c r="AW16" i="1"/>
  <c r="AV16" i="1"/>
  <c r="AP16" i="1"/>
  <c r="AO16" i="1"/>
  <c r="AN16" i="1"/>
  <c r="AM16" i="1"/>
  <c r="AG16" i="1"/>
  <c r="AF16" i="1"/>
  <c r="AE16" i="1"/>
  <c r="AD16" i="1"/>
  <c r="X16" i="1"/>
  <c r="W16" i="1"/>
  <c r="V16" i="1"/>
  <c r="U16" i="1"/>
  <c r="O16" i="1"/>
  <c r="N16" i="1"/>
  <c r="M16" i="1"/>
  <c r="L16" i="1"/>
  <c r="BZ15" i="1"/>
  <c r="BY15" i="1"/>
  <c r="BX15" i="1"/>
  <c r="BW15" i="1"/>
  <c r="BQ15" i="1"/>
  <c r="BP15" i="1"/>
  <c r="BO15" i="1"/>
  <c r="BN15" i="1"/>
  <c r="BH15" i="1"/>
  <c r="BG15" i="1"/>
  <c r="BF15" i="1"/>
  <c r="BE15" i="1"/>
  <c r="AY15" i="1"/>
  <c r="AX15" i="1"/>
  <c r="AW15" i="1"/>
  <c r="AV15" i="1"/>
  <c r="AP15" i="1"/>
  <c r="AO15" i="1"/>
  <c r="AN15" i="1"/>
  <c r="AM15" i="1"/>
  <c r="AG15" i="1"/>
  <c r="AF15" i="1"/>
  <c r="AE15" i="1"/>
  <c r="AD15" i="1"/>
  <c r="X15" i="1"/>
  <c r="W15" i="1"/>
  <c r="V15" i="1"/>
  <c r="U15" i="1"/>
  <c r="O15" i="1"/>
  <c r="N15" i="1"/>
  <c r="M15" i="1"/>
  <c r="L15" i="1"/>
  <c r="BZ14" i="1"/>
  <c r="BZ36" i="1" s="1"/>
  <c r="BY14" i="1"/>
  <c r="BY36" i="1" s="1"/>
  <c r="BX14" i="1"/>
  <c r="BW14" i="1"/>
  <c r="BQ14" i="1"/>
  <c r="BP14" i="1"/>
  <c r="BO14" i="1"/>
  <c r="BO36" i="1" s="1"/>
  <c r="BN14" i="1"/>
  <c r="BN36" i="1" s="1"/>
  <c r="BH14" i="1"/>
  <c r="BH36" i="1" s="1"/>
  <c r="BG14" i="1"/>
  <c r="BF14" i="1"/>
  <c r="BF36" i="1" s="1"/>
  <c r="BE14" i="1"/>
  <c r="BE36" i="1" s="1"/>
  <c r="AY14" i="1"/>
  <c r="AY36" i="1" s="1"/>
  <c r="AX14" i="1"/>
  <c r="AX36" i="1" s="1"/>
  <c r="AW14" i="1"/>
  <c r="AW36" i="1" s="1"/>
  <c r="AV14" i="1"/>
  <c r="AV36" i="1" s="1"/>
  <c r="AP14" i="1"/>
  <c r="AP36" i="1" s="1"/>
  <c r="AO14" i="1"/>
  <c r="AO36" i="1" s="1"/>
  <c r="AN14" i="1"/>
  <c r="AM14" i="1"/>
  <c r="AG14" i="1"/>
  <c r="AF14" i="1"/>
  <c r="AE14" i="1"/>
  <c r="AE36" i="1" s="1"/>
  <c r="AD14" i="1"/>
  <c r="AD36" i="1" s="1"/>
  <c r="X14" i="1"/>
  <c r="X36" i="1" s="1"/>
  <c r="W14" i="1"/>
  <c r="V14" i="1"/>
  <c r="V36" i="1" s="1"/>
  <c r="U14" i="1"/>
  <c r="U36" i="1" s="1"/>
  <c r="O14" i="1"/>
  <c r="O36" i="1" s="1"/>
  <c r="N14" i="1"/>
  <c r="N36" i="1" s="1"/>
  <c r="M14" i="1"/>
  <c r="M36" i="1" s="1"/>
  <c r="L14" i="1"/>
  <c r="L36" i="1" s="1"/>
  <c r="BZ13" i="1"/>
  <c r="BZ35" i="1" s="1"/>
  <c r="BY13" i="1"/>
  <c r="BY35" i="1" s="1"/>
  <c r="BX13" i="1"/>
  <c r="BW13" i="1"/>
  <c r="BQ13" i="1"/>
  <c r="BP13" i="1"/>
  <c r="BO13" i="1"/>
  <c r="BO35" i="1" s="1"/>
  <c r="BN13" i="1"/>
  <c r="BN35" i="1" s="1"/>
  <c r="BH13" i="1"/>
  <c r="BH35" i="1" s="1"/>
  <c r="BG13" i="1"/>
  <c r="BF13" i="1"/>
  <c r="BF35" i="1" s="1"/>
  <c r="BE13" i="1"/>
  <c r="BE35" i="1" s="1"/>
  <c r="AY13" i="1"/>
  <c r="AY35" i="1" s="1"/>
  <c r="AX13" i="1"/>
  <c r="AX35" i="1" s="1"/>
  <c r="AW13" i="1"/>
  <c r="AW35" i="1" s="1"/>
  <c r="AV13" i="1"/>
  <c r="AV35" i="1" s="1"/>
  <c r="AP13" i="1"/>
  <c r="AP35" i="1" s="1"/>
  <c r="AO13" i="1"/>
  <c r="AO35" i="1" s="1"/>
  <c r="AN13" i="1"/>
  <c r="AM13" i="1"/>
  <c r="AG13" i="1"/>
  <c r="AF13" i="1"/>
  <c r="AE13" i="1"/>
  <c r="AE35" i="1" s="1"/>
  <c r="AD13" i="1"/>
  <c r="AD35" i="1" s="1"/>
  <c r="X13" i="1"/>
  <c r="X35" i="1" s="1"/>
  <c r="W13" i="1"/>
  <c r="V13" i="1"/>
  <c r="V35" i="1" s="1"/>
  <c r="U13" i="1"/>
  <c r="U35" i="1" s="1"/>
  <c r="O13" i="1"/>
  <c r="O35" i="1" s="1"/>
  <c r="N13" i="1"/>
  <c r="N35" i="1" s="1"/>
  <c r="M13" i="1"/>
  <c r="M35" i="1" s="1"/>
  <c r="L13" i="1"/>
  <c r="L35" i="1" s="1"/>
  <c r="BZ12" i="1"/>
  <c r="BZ34" i="1" s="1"/>
  <c r="BY12" i="1"/>
  <c r="BY34" i="1" s="1"/>
  <c r="BX12" i="1"/>
  <c r="BW12" i="1"/>
  <c r="BQ12" i="1"/>
  <c r="BP12" i="1"/>
  <c r="BO12" i="1"/>
  <c r="BO34" i="1" s="1"/>
  <c r="BN12" i="1"/>
  <c r="BN34" i="1" s="1"/>
  <c r="BH12" i="1"/>
  <c r="BH34" i="1" s="1"/>
  <c r="BG12" i="1"/>
  <c r="BF12" i="1"/>
  <c r="BF34" i="1" s="1"/>
  <c r="BE12" i="1"/>
  <c r="BE34" i="1" s="1"/>
  <c r="AY12" i="1"/>
  <c r="AY34" i="1" s="1"/>
  <c r="AX12" i="1"/>
  <c r="AX34" i="1" s="1"/>
  <c r="AW12" i="1"/>
  <c r="AW34" i="1" s="1"/>
  <c r="AV12" i="1"/>
  <c r="AV34" i="1" s="1"/>
  <c r="AP12" i="1"/>
  <c r="AP34" i="1" s="1"/>
  <c r="AO12" i="1"/>
  <c r="AO34" i="1" s="1"/>
  <c r="AN12" i="1"/>
  <c r="AM12" i="1"/>
  <c r="AG12" i="1"/>
  <c r="AF12" i="1"/>
  <c r="AE12" i="1"/>
  <c r="AE34" i="1" s="1"/>
  <c r="AD12" i="1"/>
  <c r="AD34" i="1" s="1"/>
  <c r="X12" i="1"/>
  <c r="X34" i="1" s="1"/>
  <c r="W12" i="1"/>
  <c r="V12" i="1"/>
  <c r="V34" i="1" s="1"/>
  <c r="U12" i="1"/>
  <c r="U34" i="1" s="1"/>
  <c r="O12" i="1"/>
  <c r="O34" i="1" s="1"/>
  <c r="N12" i="1"/>
  <c r="N34" i="1" s="1"/>
  <c r="M12" i="1"/>
  <c r="M34" i="1" s="1"/>
  <c r="L12" i="1"/>
  <c r="L34" i="1" s="1"/>
  <c r="BZ11" i="1"/>
  <c r="BZ33" i="1" s="1"/>
  <c r="BY11" i="1"/>
  <c r="BY33" i="1" s="1"/>
  <c r="BX11" i="1"/>
  <c r="BW11" i="1"/>
  <c r="BQ11" i="1"/>
  <c r="BP11" i="1"/>
  <c r="BO11" i="1"/>
  <c r="BO33" i="1" s="1"/>
  <c r="BN11" i="1"/>
  <c r="BN33" i="1" s="1"/>
  <c r="BH11" i="1"/>
  <c r="BH33" i="1" s="1"/>
  <c r="BG11" i="1"/>
  <c r="BF11" i="1"/>
  <c r="BF33" i="1" s="1"/>
  <c r="BE11" i="1"/>
  <c r="BE33" i="1" s="1"/>
  <c r="AY11" i="1"/>
  <c r="AY33" i="1" s="1"/>
  <c r="AX11" i="1"/>
  <c r="AX33" i="1" s="1"/>
  <c r="AW11" i="1"/>
  <c r="AW33" i="1" s="1"/>
  <c r="AV11" i="1"/>
  <c r="AV33" i="1" s="1"/>
  <c r="AP11" i="1"/>
  <c r="AP33" i="1" s="1"/>
  <c r="AO11" i="1"/>
  <c r="AO33" i="1" s="1"/>
  <c r="AN11" i="1"/>
  <c r="AM11" i="1"/>
  <c r="AG11" i="1"/>
  <c r="AF11" i="1"/>
  <c r="AE11" i="1"/>
  <c r="AE33" i="1" s="1"/>
  <c r="AD11" i="1"/>
  <c r="AD33" i="1" s="1"/>
  <c r="X11" i="1"/>
  <c r="X33" i="1" s="1"/>
  <c r="W11" i="1"/>
  <c r="V11" i="1"/>
  <c r="V33" i="1" s="1"/>
  <c r="U11" i="1"/>
  <c r="U33" i="1" s="1"/>
  <c r="O11" i="1"/>
  <c r="O33" i="1" s="1"/>
  <c r="N11" i="1"/>
  <c r="N33" i="1" s="1"/>
  <c r="M11" i="1"/>
  <c r="M33" i="1" s="1"/>
  <c r="L11" i="1"/>
  <c r="L33" i="1" s="1"/>
  <c r="BZ10" i="1"/>
  <c r="BZ32" i="1" s="1"/>
  <c r="BY10" i="1"/>
  <c r="BY32" i="1" s="1"/>
  <c r="BX10" i="1"/>
  <c r="BW10" i="1"/>
  <c r="BQ10" i="1"/>
  <c r="BP10" i="1"/>
  <c r="BO10" i="1"/>
  <c r="BO32" i="1" s="1"/>
  <c r="BN10" i="1"/>
  <c r="BN32" i="1" s="1"/>
  <c r="BH10" i="1"/>
  <c r="BH32" i="1" s="1"/>
  <c r="BG10" i="1"/>
  <c r="BF10" i="1"/>
  <c r="BF32" i="1" s="1"/>
  <c r="BE10" i="1"/>
  <c r="BE32" i="1" s="1"/>
  <c r="AY10" i="1"/>
  <c r="AY32" i="1" s="1"/>
  <c r="AX10" i="1"/>
  <c r="AX32" i="1" s="1"/>
  <c r="AW10" i="1"/>
  <c r="AW32" i="1" s="1"/>
  <c r="AV10" i="1"/>
  <c r="AV32" i="1" s="1"/>
  <c r="AP10" i="1"/>
  <c r="AP32" i="1" s="1"/>
  <c r="AO10" i="1"/>
  <c r="AO32" i="1" s="1"/>
  <c r="AN10" i="1"/>
  <c r="AM10" i="1"/>
  <c r="AG10" i="1"/>
  <c r="AF10" i="1"/>
  <c r="AE10" i="1"/>
  <c r="AE32" i="1" s="1"/>
  <c r="AD10" i="1"/>
  <c r="AD32" i="1" s="1"/>
  <c r="X10" i="1"/>
  <c r="X32" i="1" s="1"/>
  <c r="W10" i="1"/>
  <c r="V10" i="1"/>
  <c r="V32" i="1" s="1"/>
  <c r="U10" i="1"/>
  <c r="U32" i="1" s="1"/>
  <c r="O10" i="1"/>
  <c r="O32" i="1" s="1"/>
  <c r="N10" i="1"/>
  <c r="N32" i="1" s="1"/>
  <c r="M10" i="1"/>
  <c r="M32" i="1" s="1"/>
  <c r="L10" i="1"/>
  <c r="L32" i="1" s="1"/>
  <c r="BZ9" i="1"/>
  <c r="BZ31" i="1" s="1"/>
  <c r="BY9" i="1"/>
  <c r="BY31" i="1" s="1"/>
  <c r="BX9" i="1"/>
  <c r="BW9" i="1"/>
  <c r="BQ9" i="1"/>
  <c r="BP9" i="1"/>
  <c r="BO9" i="1"/>
  <c r="BO31" i="1" s="1"/>
  <c r="BN9" i="1"/>
  <c r="BN31" i="1" s="1"/>
  <c r="BH9" i="1"/>
  <c r="BH31" i="1" s="1"/>
  <c r="BG9" i="1"/>
  <c r="BF9" i="1"/>
  <c r="BF31" i="1" s="1"/>
  <c r="BE9" i="1"/>
  <c r="BE31" i="1" s="1"/>
  <c r="AY9" i="1"/>
  <c r="AY31" i="1" s="1"/>
  <c r="AX9" i="1"/>
  <c r="AX31" i="1" s="1"/>
  <c r="AW9" i="1"/>
  <c r="AW31" i="1" s="1"/>
  <c r="AV9" i="1"/>
  <c r="AV31" i="1" s="1"/>
  <c r="AP9" i="1"/>
  <c r="AP31" i="1" s="1"/>
  <c r="AO9" i="1"/>
  <c r="AO31" i="1" s="1"/>
  <c r="AN9" i="1"/>
  <c r="AM9" i="1"/>
  <c r="AG9" i="1"/>
  <c r="AF9" i="1"/>
  <c r="AE9" i="1"/>
  <c r="AE31" i="1" s="1"/>
  <c r="AD9" i="1"/>
  <c r="AD31" i="1" s="1"/>
  <c r="X9" i="1"/>
  <c r="X31" i="1" s="1"/>
  <c r="W9" i="1"/>
  <c r="V9" i="1"/>
  <c r="V31" i="1" s="1"/>
  <c r="U9" i="1"/>
  <c r="U31" i="1" s="1"/>
  <c r="O9" i="1"/>
  <c r="O31" i="1" s="1"/>
  <c r="N9" i="1"/>
  <c r="N31" i="1" s="1"/>
  <c r="M9" i="1"/>
  <c r="M31" i="1" s="1"/>
  <c r="L9" i="1"/>
  <c r="L31" i="1" s="1"/>
  <c r="BZ8" i="1"/>
  <c r="BZ30" i="1" s="1"/>
  <c r="BV3" i="1" s="1"/>
  <c r="BY8" i="1"/>
  <c r="BY30" i="1" s="1"/>
  <c r="BU3" i="1" s="1"/>
  <c r="BX8" i="1"/>
  <c r="BW8" i="1"/>
  <c r="BQ8" i="1"/>
  <c r="BP8" i="1"/>
  <c r="BO8" i="1"/>
  <c r="BO30" i="1" s="1"/>
  <c r="BN8" i="1"/>
  <c r="BN30" i="1" s="1"/>
  <c r="BH8" i="1"/>
  <c r="BH30" i="1" s="1"/>
  <c r="BG8" i="1"/>
  <c r="BF8" i="1"/>
  <c r="BF30" i="1" s="1"/>
  <c r="BE8" i="1"/>
  <c r="BE30" i="1" s="1"/>
  <c r="AY8" i="1"/>
  <c r="AY30" i="1" s="1"/>
  <c r="AX8" i="1"/>
  <c r="AX30" i="1" s="1"/>
  <c r="AT3" i="1" s="1"/>
  <c r="AW8" i="1"/>
  <c r="AW30" i="1" s="1"/>
  <c r="AS3" i="1" s="1"/>
  <c r="AV8" i="1"/>
  <c r="AV30" i="1" s="1"/>
  <c r="AR3" i="1" s="1"/>
  <c r="AP8" i="1"/>
  <c r="AP30" i="1" s="1"/>
  <c r="AL3" i="1" s="1"/>
  <c r="AO8" i="1"/>
  <c r="AO30" i="1" s="1"/>
  <c r="AK3" i="1" s="1"/>
  <c r="AN8" i="1"/>
  <c r="AM8" i="1"/>
  <c r="AG8" i="1"/>
  <c r="AF8" i="1"/>
  <c r="AE8" i="1"/>
  <c r="AE30" i="1" s="1"/>
  <c r="AD8" i="1"/>
  <c r="AD30" i="1" s="1"/>
  <c r="X8" i="1"/>
  <c r="X30" i="1" s="1"/>
  <c r="W8" i="1"/>
  <c r="V8" i="1"/>
  <c r="V30" i="1" s="1"/>
  <c r="U8" i="1"/>
  <c r="U30" i="1" s="1"/>
  <c r="O8" i="1"/>
  <c r="O30" i="1" s="1"/>
  <c r="N8" i="1"/>
  <c r="N30" i="1" s="1"/>
  <c r="J3" i="1" s="1"/>
  <c r="M8" i="1"/>
  <c r="M30" i="1" s="1"/>
  <c r="I3" i="1" s="1"/>
  <c r="L8" i="1"/>
  <c r="L30" i="1" s="1"/>
  <c r="H3" i="1" s="1"/>
  <c r="R3" i="1" l="1"/>
  <c r="BB3" i="1"/>
  <c r="S3" i="1"/>
  <c r="BC3" i="1"/>
  <c r="BA3" i="1"/>
  <c r="BJ3" i="1"/>
  <c r="Z3" i="1"/>
  <c r="AA3" i="1"/>
  <c r="BK3" i="1"/>
  <c r="K3" i="1"/>
  <c r="Q3" i="1"/>
  <c r="AB3" i="1"/>
  <c r="AU3" i="1"/>
  <c r="T3" i="1"/>
  <c r="BD3" i="1"/>
  <c r="AC3" i="1"/>
  <c r="AI3" i="1"/>
  <c r="AJ3" i="1"/>
</calcChain>
</file>

<file path=xl/sharedStrings.xml><?xml version="1.0" encoding="utf-8"?>
<sst xmlns="http://schemas.openxmlformats.org/spreadsheetml/2006/main" count="53" uniqueCount="15">
  <si>
    <t>DRY MATTER</t>
  </si>
  <si>
    <t>STARCH DM BASE</t>
  </si>
  <si>
    <t>PROTEIN DM BASE</t>
  </si>
  <si>
    <t>ADF DM BASE</t>
  </si>
  <si>
    <t>NDF DM BASE</t>
  </si>
  <si>
    <t>ASH DM BASE</t>
  </si>
  <si>
    <t>C.FAT DM BASE</t>
  </si>
  <si>
    <t>C.FIBER DM BASE</t>
  </si>
  <si>
    <t>EvoNIR MS</t>
  </si>
  <si>
    <t>MAX accept</t>
  </si>
  <si>
    <t>Sample ID</t>
  </si>
  <si>
    <t>Sample T</t>
  </si>
  <si>
    <t>ID scan</t>
  </si>
  <si>
    <t>New STD V3</t>
  </si>
  <si>
    <t>Residuals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</si>
</sst>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2" fontId="0" fillId="0" borderId="6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0" fontId="1" fillId="4" borderId="0" xfId="0" applyFont="1" applyFill="1"/>
    <xf numFmtId="0" fontId="0" fillId="0" borderId="0" xfId="0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4" fillId="0" borderId="13" xfId="0" applyFont="1" applyBorder="1" applyAlignment="1">
      <alignment horizontal="center"/>
    </xf>
    <xf numFmtId="2" fontId="0" fillId="5" borderId="12" xfId="0" applyNumberFormat="1" applyFill="1" applyBorder="1" applyAlignment="1">
      <alignment horizontal="center"/>
    </xf>
    <xf numFmtId="2" fontId="0" fillId="5" borderId="13" xfId="0" applyNumberFormat="1" applyFill="1" applyBorder="1" applyAlignment="1">
      <alignment horizontal="center"/>
    </xf>
    <xf numFmtId="2" fontId="0" fillId="5" borderId="14" xfId="0" applyNumberFormat="1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0" fillId="5" borderId="4" xfId="0" applyNumberFormat="1" applyFill="1" applyBorder="1" applyAlignment="1">
      <alignment horizontal="center"/>
    </xf>
    <xf numFmtId="2" fontId="0" fillId="5" borderId="0" xfId="0" applyNumberFormat="1" applyFill="1" applyAlignment="1">
      <alignment horizontal="center"/>
    </xf>
    <xf numFmtId="2" fontId="0" fillId="5" borderId="5" xfId="0" applyNumberForma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4" fillId="0" borderId="7" xfId="0" applyFont="1" applyBorder="1" applyAlignment="1">
      <alignment horizontal="center"/>
    </xf>
    <xf numFmtId="2" fontId="0" fillId="5" borderId="6" xfId="0" applyNumberFormat="1" applyFill="1" applyBorder="1" applyAlignment="1">
      <alignment horizontal="center"/>
    </xf>
    <xf numFmtId="2" fontId="0" fillId="5" borderId="7" xfId="0" applyNumberFormat="1" applyFill="1" applyBorder="1" applyAlignment="1">
      <alignment horizontal="center"/>
    </xf>
    <xf numFmtId="2" fontId="0" fillId="5" borderId="8" xfId="0" applyNumberFormat="1" applyFill="1" applyBorder="1" applyAlignment="1">
      <alignment horizontal="center"/>
    </xf>
    <xf numFmtId="0" fontId="0" fillId="0" borderId="8" xfId="0" applyBorder="1" applyAlignment="1">
      <alignment horizontal="center"/>
    </xf>
    <xf numFmtId="164" fontId="0" fillId="0" borderId="0" xfId="0" applyNumberFormat="1"/>
    <xf numFmtId="165" fontId="0" fillId="0" borderId="0" xfId="0" applyNumberFormat="1"/>
  </cellXfs>
  <cellStyles count="1">
    <cellStyle name="Normale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6E93D-8EBA-438E-94B6-F2EF0FA34EB3}">
  <dimension ref="A1:BZ36"/>
  <sheetViews>
    <sheetView tabSelected="1" workbookViewId="0">
      <selection sqref="A1:XFD1048576"/>
    </sheetView>
  </sheetViews>
  <sheetFormatPr defaultRowHeight="15" x14ac:dyDescent="0.25"/>
  <cols>
    <col min="1" max="1" width="10.5703125" bestFit="1" customWidth="1"/>
    <col min="2" max="2" width="9.5703125" bestFit="1" customWidth="1"/>
    <col min="3" max="5" width="9.5703125" customWidth="1"/>
    <col min="8" max="8" width="10.5703125" bestFit="1" customWidth="1"/>
    <col min="9" max="10" width="10.28515625" bestFit="1" customWidth="1"/>
    <col min="11" max="11" width="10.28515625" customWidth="1"/>
    <col min="12" max="12" width="7.28515625" hidden="1" customWidth="1"/>
    <col min="13" max="13" width="7.85546875" hidden="1" customWidth="1"/>
    <col min="14" max="14" width="17.140625" hidden="1" customWidth="1"/>
    <col min="15" max="15" width="24.7109375" hidden="1" customWidth="1"/>
    <col min="17" max="17" width="10.5703125" bestFit="1" customWidth="1"/>
    <col min="18" max="20" width="10.28515625" bestFit="1" customWidth="1"/>
    <col min="21" max="21" width="10.5703125" hidden="1" customWidth="1"/>
    <col min="22" max="24" width="10.28515625" hidden="1" customWidth="1"/>
    <col min="26" max="26" width="10.5703125" bestFit="1" customWidth="1"/>
    <col min="27" max="29" width="10.28515625" bestFit="1" customWidth="1"/>
    <col min="30" max="30" width="10.5703125" hidden="1" customWidth="1"/>
    <col min="31" max="33" width="10.28515625" hidden="1" customWidth="1"/>
    <col min="35" max="35" width="10.5703125" bestFit="1" customWidth="1"/>
    <col min="36" max="38" width="10.28515625" bestFit="1" customWidth="1"/>
    <col min="39" max="39" width="10.5703125" hidden="1" customWidth="1"/>
    <col min="40" max="42" width="10.28515625" hidden="1" customWidth="1"/>
    <col min="44" max="44" width="10.5703125" bestFit="1" customWidth="1"/>
    <col min="45" max="47" width="10.28515625" bestFit="1" customWidth="1"/>
    <col min="48" max="48" width="10.5703125" hidden="1" customWidth="1"/>
    <col min="49" max="51" width="10.28515625" hidden="1" customWidth="1"/>
    <col min="53" max="53" width="10.5703125" bestFit="1" customWidth="1"/>
    <col min="54" max="56" width="10.28515625" bestFit="1" customWidth="1"/>
    <col min="57" max="57" width="10.5703125" hidden="1" customWidth="1"/>
    <col min="58" max="60" width="10.28515625" hidden="1" customWidth="1"/>
    <col min="62" max="62" width="10.5703125" bestFit="1" customWidth="1"/>
    <col min="63" max="65" width="10.28515625" bestFit="1" customWidth="1"/>
    <col min="66" max="66" width="10.5703125" hidden="1" customWidth="1"/>
    <col min="67" max="69" width="10.28515625" hidden="1" customWidth="1"/>
    <col min="71" max="71" width="10.5703125" bestFit="1" customWidth="1"/>
    <col min="72" max="74" width="10.28515625" bestFit="1" customWidth="1"/>
    <col min="75" max="75" width="10.5703125" hidden="1" customWidth="1"/>
    <col min="76" max="78" width="10.28515625" hidden="1" customWidth="1"/>
  </cols>
  <sheetData>
    <row r="1" spans="1:78" ht="21.75" thickBot="1" x14ac:dyDescent="0.4">
      <c r="H1" s="1" t="s">
        <v>0</v>
      </c>
      <c r="I1" s="2"/>
      <c r="J1" s="2"/>
      <c r="K1" s="2"/>
      <c r="L1" s="2"/>
      <c r="M1" s="2"/>
      <c r="N1" s="2"/>
      <c r="O1" s="3"/>
      <c r="Q1" s="1" t="s">
        <v>1</v>
      </c>
      <c r="R1" s="2"/>
      <c r="S1" s="2"/>
      <c r="T1" s="2"/>
      <c r="U1" s="2"/>
      <c r="V1" s="2"/>
      <c r="W1" s="2"/>
      <c r="X1" s="3"/>
      <c r="Z1" s="1" t="s">
        <v>2</v>
      </c>
      <c r="AA1" s="2"/>
      <c r="AB1" s="2"/>
      <c r="AC1" s="2"/>
      <c r="AD1" s="2"/>
      <c r="AE1" s="2"/>
      <c r="AF1" s="2"/>
      <c r="AG1" s="3"/>
      <c r="AI1" s="1" t="s">
        <v>3</v>
      </c>
      <c r="AJ1" s="2"/>
      <c r="AK1" s="2"/>
      <c r="AL1" s="2"/>
      <c r="AM1" s="2"/>
      <c r="AN1" s="2"/>
      <c r="AO1" s="2"/>
      <c r="AP1" s="3"/>
      <c r="AR1" s="1" t="s">
        <v>4</v>
      </c>
      <c r="AS1" s="2"/>
      <c r="AT1" s="2"/>
      <c r="AU1" s="2"/>
      <c r="AV1" s="2"/>
      <c r="AW1" s="2"/>
      <c r="AX1" s="2"/>
      <c r="AY1" s="3"/>
      <c r="BA1" s="1" t="s">
        <v>5</v>
      </c>
      <c r="BB1" s="2"/>
      <c r="BC1" s="2"/>
      <c r="BD1" s="2"/>
      <c r="BE1" s="2"/>
      <c r="BF1" s="2"/>
      <c r="BG1" s="2"/>
      <c r="BH1" s="3"/>
      <c r="BJ1" s="1" t="s">
        <v>6</v>
      </c>
      <c r="BK1" s="2"/>
      <c r="BL1" s="2"/>
      <c r="BM1" s="2"/>
      <c r="BN1" s="2"/>
      <c r="BO1" s="2"/>
      <c r="BP1" s="2"/>
      <c r="BQ1" s="3"/>
      <c r="BS1" s="1" t="s">
        <v>7</v>
      </c>
      <c r="BT1" s="2"/>
      <c r="BU1" s="2"/>
      <c r="BV1" s="2"/>
      <c r="BW1" s="2"/>
      <c r="BX1" s="2"/>
      <c r="BY1" s="2"/>
      <c r="BZ1" s="3"/>
    </row>
    <row r="2" spans="1:78" x14ac:dyDescent="0.25">
      <c r="G2" s="4"/>
      <c r="H2" s="5" t="s">
        <v>8</v>
      </c>
      <c r="I2" s="6">
        <v>249063</v>
      </c>
      <c r="J2" s="6">
        <v>249062</v>
      </c>
      <c r="K2" s="7">
        <v>249061</v>
      </c>
      <c r="Q2" s="5" t="s">
        <v>8</v>
      </c>
      <c r="R2" s="6">
        <v>249063</v>
      </c>
      <c r="S2" s="6">
        <v>249062</v>
      </c>
      <c r="T2" s="7">
        <v>249061</v>
      </c>
      <c r="Z2" s="5" t="s">
        <v>8</v>
      </c>
      <c r="AA2" s="6">
        <v>249063</v>
      </c>
      <c r="AB2" s="6">
        <v>249062</v>
      </c>
      <c r="AC2" s="7">
        <v>249061</v>
      </c>
      <c r="AI2" s="5" t="s">
        <v>8</v>
      </c>
      <c r="AJ2" s="6">
        <v>249063</v>
      </c>
      <c r="AK2" s="6">
        <v>249062</v>
      </c>
      <c r="AL2" s="7">
        <v>249061</v>
      </c>
      <c r="AR2" s="5" t="s">
        <v>8</v>
      </c>
      <c r="AS2" s="6">
        <v>249063</v>
      </c>
      <c r="AT2" s="6">
        <v>249062</v>
      </c>
      <c r="AU2" s="7">
        <v>249061</v>
      </c>
      <c r="BA2" s="5" t="s">
        <v>8</v>
      </c>
      <c r="BB2" s="6">
        <v>249063</v>
      </c>
      <c r="BC2" s="6">
        <v>249062</v>
      </c>
      <c r="BD2" s="7">
        <v>249061</v>
      </c>
      <c r="BJ2" s="5" t="s">
        <v>8</v>
      </c>
      <c r="BK2" s="6">
        <v>249063</v>
      </c>
      <c r="BL2" s="6">
        <v>249062</v>
      </c>
      <c r="BM2" s="7">
        <v>249061</v>
      </c>
      <c r="BS2" s="5" t="s">
        <v>8</v>
      </c>
      <c r="BT2" s="6">
        <v>249063</v>
      </c>
      <c r="BU2" s="6">
        <v>249062</v>
      </c>
      <c r="BV2" s="7">
        <v>249061</v>
      </c>
    </row>
    <row r="3" spans="1:78" x14ac:dyDescent="0.25">
      <c r="G3" s="8"/>
      <c r="H3" s="9">
        <f>(MAX(L30:L36)-MIN(L30:L36))/$B$30</f>
        <v>0.12471826977802983</v>
      </c>
      <c r="I3" s="10">
        <f>(MAX(M30:M36)-MIN(M30:M36))/$C$30</f>
        <v>0.21075027624309425</v>
      </c>
      <c r="J3" s="10">
        <f>(MAX(N30:N36)-MIN(N30:N36))/$D$30</f>
        <v>0.12765157593123364</v>
      </c>
      <c r="K3" s="11">
        <f>(MAX(O30:O36)-MIN(O30:O36))/$E$30</f>
        <v>0.20215233698788201</v>
      </c>
      <c r="Q3" s="9">
        <f>(MAX(U30:U36)-MIN(U30:U36))/$B$30</f>
        <v>0.10993853158793451</v>
      </c>
      <c r="R3" s="10">
        <f>(MAX(V30:V36)-MIN(V30:V36))/$C$30</f>
        <v>0.109771270718234</v>
      </c>
      <c r="S3" s="10">
        <f>(MAX(W30:W36)-MIN(W30:W36))/$D$30</f>
        <v>0.1276985673352421</v>
      </c>
      <c r="T3" s="11">
        <f>(MAX(X30:X36)-MIN(X30:X36))/$E$30</f>
        <v>0.11658280438545808</v>
      </c>
      <c r="Z3" s="9">
        <f>(MAX(AD30:AD36)-MIN(AD30:AD36))/$B$30</f>
        <v>7.8605577689242825E-2</v>
      </c>
      <c r="AA3" s="10">
        <f>(MAX(AE30:AE36)-MIN(AE30:AE36))/$C$30</f>
        <v>5.1479558011049906E-2</v>
      </c>
      <c r="AB3" s="10">
        <f>(MAX(AF30:AF36)-MIN(AF30:AF36))/$D$30</f>
        <v>6.0704871060172146E-2</v>
      </c>
      <c r="AC3" s="11">
        <f>(MAX(AG30:AG36)-MIN(AG30:AG36))/$E$30</f>
        <v>4.1221004039238472E-2</v>
      </c>
      <c r="AI3" s="9" t="e">
        <f>(MAX(AM30:AM36)-MIN(AM30:AM36))/$B$30</f>
        <v>#DIV/0!</v>
      </c>
      <c r="AJ3" s="10" t="e">
        <f>(MAX(AN30:AN36)-MIN(AN30:AN36))/$C$30</f>
        <v>#DIV/0!</v>
      </c>
      <c r="AK3" s="10" t="e">
        <f>(MAX(AO30:AO36)-MIN(AO30:AO36))/$D$30</f>
        <v>#DIV/0!</v>
      </c>
      <c r="AL3" s="11" t="e">
        <f>(MAX(AP30:AP36)-MIN(AP30:AP36))/$E$30</f>
        <v>#DIV/0!</v>
      </c>
      <c r="AR3" s="9">
        <f>(MAX(AV30:AV36)-MIN(AV30:AV36))/$B$30</f>
        <v>0.1887125782583948</v>
      </c>
      <c r="AS3" s="10">
        <f>(MAX(AW30:AW36)-MIN(AW30:AW36))/$C$30</f>
        <v>0.16134585635359108</v>
      </c>
      <c r="AT3" s="10">
        <f>(MAX(AX30:AX36)-MIN(AX30:AX36))/$D$30</f>
        <v>0.15759885386819503</v>
      </c>
      <c r="AU3" s="11">
        <f>(MAX(AY30:AY36)-MIN(AY30:AY36))/$E$30</f>
        <v>0.15513675706866686</v>
      </c>
      <c r="BA3" s="9">
        <f>(MAX(BE30:BE36)-MIN(BE30:BE36))/$B$30</f>
        <v>3.9763232783153107E-2</v>
      </c>
      <c r="BB3" s="10">
        <f>(MAX(BF30:BF36)-MIN(BF30:BF36))/$C$30</f>
        <v>3.2011049723756908E-2</v>
      </c>
      <c r="BC3" s="10">
        <f>(MAX(BG30:BG36)-MIN(BG30:BG36))/$D$30</f>
        <v>4.0890544412607428E-2</v>
      </c>
      <c r="BD3" s="11">
        <f>(MAX(BH30:BH36)-MIN(BH30:BH36))/$E$30</f>
        <v>2.8162723600692434E-2</v>
      </c>
      <c r="BJ3" s="9">
        <f>(MAX(BN30:BN36)-MIN(BN30:BN36))/$B$30</f>
        <v>0.10651337507114403</v>
      </c>
      <c r="BK3" s="10">
        <f>(MAX(BO30:BO36)-MIN(BO30:BO36))/$C$30</f>
        <v>7.6403314917127083E-2</v>
      </c>
      <c r="BL3" s="10">
        <f>(MAX(BP30:BP36)-MIN(BP30:BP36))/$D$30</f>
        <v>9.0146704871060176E-2</v>
      </c>
      <c r="BM3" s="11">
        <f>(MAX(BQ30:BQ36)-MIN(BQ30:BQ36))/$E$30</f>
        <v>9.3741488747836096E-2</v>
      </c>
      <c r="BS3" s="9">
        <f>(MAX(BW30:BW36)-MIN(BW30:BW36))/$B$30</f>
        <v>9.256232214001138E-2</v>
      </c>
      <c r="BT3" s="10">
        <f>(MAX(BX30:BX36)-MIN(BX30:BX36))/$C$30</f>
        <v>7.3695027624309392E-2</v>
      </c>
      <c r="BU3" s="10">
        <f>(MAX(BY30:BY36)-MIN(BY30:BY36))/$D$30</f>
        <v>8.2491690544412605E-2</v>
      </c>
      <c r="BV3" s="11">
        <f>(MAX(BZ30:BZ36)-MIN(BZ30:BZ36))/$E$30</f>
        <v>6.588459319099825E-2</v>
      </c>
    </row>
    <row r="4" spans="1:78" x14ac:dyDescent="0.25">
      <c r="E4" s="12" t="s">
        <v>9</v>
      </c>
      <c r="F4" s="12">
        <v>0.3</v>
      </c>
      <c r="G4" s="8"/>
    </row>
    <row r="6" spans="1:78" x14ac:dyDescent="0.25">
      <c r="A6" s="13" t="s">
        <v>10</v>
      </c>
      <c r="B6" s="13" t="s">
        <v>11</v>
      </c>
      <c r="C6" s="13"/>
      <c r="D6" s="13"/>
      <c r="E6" s="13"/>
      <c r="F6" s="14" t="s">
        <v>12</v>
      </c>
      <c r="H6" s="15" t="s">
        <v>13</v>
      </c>
      <c r="I6" s="16"/>
      <c r="J6" s="16"/>
      <c r="K6" s="17"/>
      <c r="L6" s="18" t="s">
        <v>14</v>
      </c>
      <c r="M6" s="18"/>
      <c r="N6" s="18"/>
      <c r="O6" s="18"/>
      <c r="Q6" s="15" t="s">
        <v>13</v>
      </c>
      <c r="R6" s="16"/>
      <c r="S6" s="16"/>
      <c r="T6" s="17"/>
      <c r="U6" s="18" t="s">
        <v>14</v>
      </c>
      <c r="V6" s="18"/>
      <c r="W6" s="18"/>
      <c r="X6" s="18"/>
      <c r="Z6" s="15" t="s">
        <v>13</v>
      </c>
      <c r="AA6" s="16"/>
      <c r="AB6" s="16"/>
      <c r="AC6" s="17"/>
      <c r="AD6" s="18" t="s">
        <v>14</v>
      </c>
      <c r="AE6" s="18"/>
      <c r="AF6" s="18"/>
      <c r="AG6" s="18"/>
      <c r="AI6" s="15" t="s">
        <v>13</v>
      </c>
      <c r="AJ6" s="16"/>
      <c r="AK6" s="16"/>
      <c r="AL6" s="17"/>
      <c r="AM6" s="18" t="s">
        <v>14</v>
      </c>
      <c r="AN6" s="18"/>
      <c r="AO6" s="18"/>
      <c r="AP6" s="18"/>
      <c r="AR6" s="15" t="s">
        <v>13</v>
      </c>
      <c r="AS6" s="16"/>
      <c r="AT6" s="16"/>
      <c r="AU6" s="17"/>
      <c r="AV6" s="18" t="s">
        <v>14</v>
      </c>
      <c r="AW6" s="18"/>
      <c r="AX6" s="18"/>
      <c r="AY6" s="18"/>
      <c r="BA6" s="15" t="s">
        <v>13</v>
      </c>
      <c r="BB6" s="16"/>
      <c r="BC6" s="16"/>
      <c r="BD6" s="17"/>
      <c r="BE6" s="18" t="s">
        <v>14</v>
      </c>
      <c r="BF6" s="18"/>
      <c r="BG6" s="18"/>
      <c r="BH6" s="18"/>
      <c r="BJ6" s="15" t="s">
        <v>13</v>
      </c>
      <c r="BK6" s="16"/>
      <c r="BL6" s="16"/>
      <c r="BM6" s="17"/>
      <c r="BN6" s="18" t="s">
        <v>14</v>
      </c>
      <c r="BO6" s="18"/>
      <c r="BP6" s="18"/>
      <c r="BQ6" s="18"/>
      <c r="BS6" s="15" t="s">
        <v>13</v>
      </c>
      <c r="BT6" s="16"/>
      <c r="BU6" s="16"/>
      <c r="BV6" s="17"/>
      <c r="BW6" s="18" t="s">
        <v>14</v>
      </c>
      <c r="BX6" s="18"/>
      <c r="BY6" s="18"/>
      <c r="BZ6" s="18"/>
    </row>
    <row r="7" spans="1:78" x14ac:dyDescent="0.25">
      <c r="A7" s="13"/>
      <c r="B7" s="19" t="s">
        <v>8</v>
      </c>
      <c r="C7" s="20">
        <v>249063</v>
      </c>
      <c r="D7" s="20">
        <v>249062</v>
      </c>
      <c r="E7" s="20">
        <v>249061</v>
      </c>
      <c r="F7" s="14"/>
      <c r="H7" s="5" t="s">
        <v>8</v>
      </c>
      <c r="I7" s="6">
        <v>249063</v>
      </c>
      <c r="J7" s="6">
        <v>249062</v>
      </c>
      <c r="K7" s="7">
        <v>249061</v>
      </c>
      <c r="L7" s="5" t="s">
        <v>8</v>
      </c>
      <c r="M7" s="6">
        <v>249063</v>
      </c>
      <c r="N7" s="6">
        <v>249062</v>
      </c>
      <c r="O7" s="7">
        <v>249061</v>
      </c>
      <c r="Q7" s="5" t="s">
        <v>8</v>
      </c>
      <c r="R7" s="6">
        <v>249063</v>
      </c>
      <c r="S7" s="6">
        <v>249062</v>
      </c>
      <c r="T7" s="7">
        <v>249061</v>
      </c>
      <c r="U7" s="5" t="s">
        <v>8</v>
      </c>
      <c r="V7" s="6">
        <v>249063</v>
      </c>
      <c r="W7" s="6">
        <v>249062</v>
      </c>
      <c r="X7" s="7">
        <v>249061</v>
      </c>
      <c r="Z7" s="5" t="s">
        <v>8</v>
      </c>
      <c r="AA7" s="6">
        <v>249063</v>
      </c>
      <c r="AB7" s="6">
        <v>249062</v>
      </c>
      <c r="AC7" s="7">
        <v>249061</v>
      </c>
      <c r="AD7" s="5" t="s">
        <v>8</v>
      </c>
      <c r="AE7" s="6">
        <v>249063</v>
      </c>
      <c r="AF7" s="6">
        <v>249062</v>
      </c>
      <c r="AG7" s="7">
        <v>249061</v>
      </c>
      <c r="AI7" s="5" t="s">
        <v>8</v>
      </c>
      <c r="AJ7" s="6">
        <v>249063</v>
      </c>
      <c r="AK7" s="6">
        <v>249062</v>
      </c>
      <c r="AL7" s="7">
        <v>249061</v>
      </c>
      <c r="AM7" s="5" t="s">
        <v>8</v>
      </c>
      <c r="AN7" s="6">
        <v>249063</v>
      </c>
      <c r="AO7" s="6">
        <v>249062</v>
      </c>
      <c r="AP7" s="7">
        <v>249061</v>
      </c>
      <c r="AR7" s="5" t="s">
        <v>8</v>
      </c>
      <c r="AS7" s="6">
        <v>249063</v>
      </c>
      <c r="AT7" s="6">
        <v>249062</v>
      </c>
      <c r="AU7" s="7">
        <v>249061</v>
      </c>
      <c r="AV7" s="5" t="s">
        <v>8</v>
      </c>
      <c r="AW7" s="6">
        <v>249063</v>
      </c>
      <c r="AX7" s="6">
        <v>249062</v>
      </c>
      <c r="AY7" s="7">
        <v>249061</v>
      </c>
      <c r="BA7" s="5" t="s">
        <v>8</v>
      </c>
      <c r="BB7" s="6">
        <v>249063</v>
      </c>
      <c r="BC7" s="6">
        <v>249062</v>
      </c>
      <c r="BD7" s="7">
        <v>249061</v>
      </c>
      <c r="BE7" s="5" t="s">
        <v>8</v>
      </c>
      <c r="BF7" s="6">
        <v>249063</v>
      </c>
      <c r="BG7" s="6">
        <v>249062</v>
      </c>
      <c r="BH7" s="7">
        <v>249061</v>
      </c>
      <c r="BJ7" s="5" t="s">
        <v>8</v>
      </c>
      <c r="BK7" s="6">
        <v>249063</v>
      </c>
      <c r="BL7" s="6">
        <v>249062</v>
      </c>
      <c r="BM7" s="7">
        <v>249061</v>
      </c>
      <c r="BN7" s="5" t="s">
        <v>8</v>
      </c>
      <c r="BO7" s="6">
        <v>249063</v>
      </c>
      <c r="BP7" s="6">
        <v>249062</v>
      </c>
      <c r="BQ7" s="7">
        <v>249061</v>
      </c>
      <c r="BS7" s="5" t="s">
        <v>8</v>
      </c>
      <c r="BT7" s="6">
        <v>249063</v>
      </c>
      <c r="BU7" s="6">
        <v>249062</v>
      </c>
      <c r="BV7" s="7">
        <v>249061</v>
      </c>
      <c r="BW7" s="5" t="s">
        <v>8</v>
      </c>
      <c r="BX7" s="6">
        <v>249063</v>
      </c>
      <c r="BY7" s="6">
        <v>249062</v>
      </c>
      <c r="BZ7" s="7">
        <v>249061</v>
      </c>
    </row>
    <row r="8" spans="1:78" x14ac:dyDescent="0.25">
      <c r="A8" s="21">
        <v>1</v>
      </c>
      <c r="B8" s="22">
        <v>55.6</v>
      </c>
      <c r="C8" s="22">
        <v>57.35</v>
      </c>
      <c r="D8" s="22">
        <v>55.5</v>
      </c>
      <c r="E8" s="22">
        <v>55.4</v>
      </c>
      <c r="F8" s="23">
        <v>1</v>
      </c>
      <c r="H8" s="24">
        <v>89.169449999999998</v>
      </c>
      <c r="I8" s="25">
        <v>88.691919999999996</v>
      </c>
      <c r="J8" s="25">
        <v>89.298140000000004</v>
      </c>
      <c r="K8" s="26">
        <v>89.481390000000005</v>
      </c>
      <c r="L8" s="22">
        <f t="shared" ref="L8:O14" si="0">IF(OR(H8="",H8="NaN"),"",H8-AVERAGE(H$8:H$14))</f>
        <v>0.11427142857142769</v>
      </c>
      <c r="M8" s="22">
        <f t="shared" si="0"/>
        <v>-1.2857142863254012E-5</v>
      </c>
      <c r="N8" s="22">
        <f t="shared" si="0"/>
        <v>4.8859999999990578E-2</v>
      </c>
      <c r="O8" s="27">
        <f t="shared" si="0"/>
        <v>-5.7048571428580885E-2</v>
      </c>
      <c r="P8" s="8"/>
      <c r="Q8" s="24">
        <v>72.045770000000005</v>
      </c>
      <c r="R8" s="25">
        <v>72.121619999999993</v>
      </c>
      <c r="S8" s="25">
        <v>72.221490000000003</v>
      </c>
      <c r="T8" s="26">
        <v>72.062520000000006</v>
      </c>
      <c r="U8" s="22">
        <f t="shared" ref="U8:X14" si="1">IF(OR(Q8="",Q8="NaN"),"",Q8-AVERAGE(Q$8:Q$14))</f>
        <v>-0.19723428571428769</v>
      </c>
      <c r="V8" s="22">
        <f t="shared" si="1"/>
        <v>-0.21746285714287694</v>
      </c>
      <c r="W8" s="22">
        <f t="shared" si="1"/>
        <v>-0.32929857142856633</v>
      </c>
      <c r="X8" s="27">
        <f t="shared" si="1"/>
        <v>-0.28713714285713365</v>
      </c>
      <c r="Y8" s="8"/>
      <c r="Z8" s="24">
        <v>8.7504500000000007</v>
      </c>
      <c r="AA8" s="25">
        <v>9.2154799999999994</v>
      </c>
      <c r="AB8" s="25">
        <v>9.3101500000000001</v>
      </c>
      <c r="AC8" s="26">
        <v>9.4114199999999997</v>
      </c>
      <c r="AD8" s="22">
        <f t="shared" ref="AD8:AG14" si="2">IF(OR(Z8="",Z8="NaN"),"",Z8-AVERAGE(Z$8:Z$14))</f>
        <v>0.19272285714285786</v>
      </c>
      <c r="AE8" s="22">
        <f t="shared" si="2"/>
        <v>0.10269428571428385</v>
      </c>
      <c r="AF8" s="22">
        <f t="shared" si="2"/>
        <v>0.12159999999999904</v>
      </c>
      <c r="AG8" s="27">
        <f t="shared" si="2"/>
        <v>4.233285714285806E-2</v>
      </c>
      <c r="AH8" s="8"/>
      <c r="AI8" s="24"/>
      <c r="AJ8" s="25"/>
      <c r="AK8" s="25"/>
      <c r="AL8" s="26"/>
      <c r="AM8" s="22" t="str">
        <f t="shared" ref="AM8:AP14" si="3">IF(OR(AI8="",AI8="NaN"),"",AI8-AVERAGE(AI$8:AI$14))</f>
        <v/>
      </c>
      <c r="AN8" s="22" t="str">
        <f t="shared" si="3"/>
        <v/>
      </c>
      <c r="AO8" s="22" t="str">
        <f t="shared" si="3"/>
        <v/>
      </c>
      <c r="AP8" s="27" t="str">
        <f t="shared" si="3"/>
        <v/>
      </c>
      <c r="AR8" s="24">
        <v>11.99869</v>
      </c>
      <c r="AS8" s="25">
        <v>12.00925</v>
      </c>
      <c r="AT8" s="25">
        <v>12.076790000000001</v>
      </c>
      <c r="AU8" s="26">
        <v>11.95565</v>
      </c>
      <c r="AV8" s="22">
        <f t="shared" ref="AV8:AY14" si="4">IF(OR(AR8="",AR8="NaN"),"",AR8-AVERAGE(AR$8:AR$14))</f>
        <v>0.45890857142857122</v>
      </c>
      <c r="AW8" s="22">
        <f t="shared" si="4"/>
        <v>0.41100285714285789</v>
      </c>
      <c r="AX8" s="22">
        <f t="shared" si="4"/>
        <v>0.38806428571428775</v>
      </c>
      <c r="AY8" s="27">
        <f t="shared" si="4"/>
        <v>0.37749571428571294</v>
      </c>
      <c r="BA8" s="24">
        <v>1.5357700000000001</v>
      </c>
      <c r="BB8" s="25">
        <v>1.5863499999999999</v>
      </c>
      <c r="BC8" s="25">
        <v>1.5895699999999999</v>
      </c>
      <c r="BD8" s="26">
        <v>1.5541199999999999</v>
      </c>
      <c r="BE8" s="22">
        <f t="shared" ref="BE8:BH14" si="5">IF(OR(BA8="",BA8="NaN"),"",BA8-AVERAGE(BA$8:BA$14))</f>
        <v>1.1628571428571544E-2</v>
      </c>
      <c r="BF8" s="22">
        <f t="shared" si="5"/>
        <v>3.9519999999999778E-2</v>
      </c>
      <c r="BG8" s="22">
        <f t="shared" si="5"/>
        <v>3.0402857142857176E-2</v>
      </c>
      <c r="BH8" s="27">
        <f t="shared" si="5"/>
        <v>2.1724285714285863E-2</v>
      </c>
      <c r="BJ8" s="24">
        <v>3.7395499999999999</v>
      </c>
      <c r="BK8" s="25">
        <v>3.48889</v>
      </c>
      <c r="BL8" s="25">
        <v>3.5905300000000002</v>
      </c>
      <c r="BM8" s="26">
        <v>3.68771</v>
      </c>
      <c r="BN8" s="22">
        <f t="shared" ref="BN8:BQ14" si="6">IF(OR(BJ8="",BJ8="NaN"),"",BJ8-AVERAGE(BJ$8:BJ$14))</f>
        <v>-0.20756571428571435</v>
      </c>
      <c r="BO8" s="22">
        <f t="shared" si="6"/>
        <v>-0.1637371428571428</v>
      </c>
      <c r="BP8" s="22">
        <f t="shared" si="6"/>
        <v>-0.15783571428571408</v>
      </c>
      <c r="BQ8" s="27">
        <f t="shared" si="6"/>
        <v>-0.1425114285714284</v>
      </c>
      <c r="BS8" s="24">
        <v>0.93703999999999998</v>
      </c>
      <c r="BT8" s="25">
        <v>1.30772</v>
      </c>
      <c r="BU8" s="25">
        <v>0.98355000000000004</v>
      </c>
      <c r="BV8" s="26">
        <v>0.95859000000000005</v>
      </c>
      <c r="BW8" s="22">
        <f t="shared" ref="BW8:BZ14" si="7">IF(OR(BS8="",BS8="NaN"),"",BS8-AVERAGE(BS$8:BS$14))</f>
        <v>-0.20681285714285724</v>
      </c>
      <c r="BX8" s="22">
        <f t="shared" si="7"/>
        <v>-0.21961714285714273</v>
      </c>
      <c r="BY8" s="22">
        <f t="shared" si="7"/>
        <v>-0.13401285714285704</v>
      </c>
      <c r="BZ8" s="27">
        <f t="shared" si="7"/>
        <v>-6.2291428571428442E-2</v>
      </c>
    </row>
    <row r="9" spans="1:78" x14ac:dyDescent="0.25">
      <c r="A9" s="28"/>
      <c r="B9" s="8">
        <v>46.3</v>
      </c>
      <c r="C9" s="8">
        <v>46.55</v>
      </c>
      <c r="D9" s="8">
        <v>45.7</v>
      </c>
      <c r="E9" s="8">
        <v>45.2</v>
      </c>
      <c r="F9" s="29">
        <v>6</v>
      </c>
      <c r="H9" s="30">
        <v>89.02234</v>
      </c>
      <c r="I9" s="31">
        <v>88.516149999999996</v>
      </c>
      <c r="J9" s="31">
        <v>89.201939999999993</v>
      </c>
      <c r="K9" s="32">
        <v>89.394829999999999</v>
      </c>
      <c r="L9" s="8">
        <f t="shared" si="0"/>
        <v>-3.2838571428570162E-2</v>
      </c>
      <c r="M9" s="8">
        <f t="shared" si="0"/>
        <v>-0.17578285714286324</v>
      </c>
      <c r="N9" s="8">
        <f t="shared" si="0"/>
        <v>-4.73400000000197E-2</v>
      </c>
      <c r="O9" s="33">
        <f t="shared" si="0"/>
        <v>-0.14360857142858663</v>
      </c>
      <c r="P9" s="8"/>
      <c r="Q9" s="30">
        <v>72.433130000000006</v>
      </c>
      <c r="R9" s="31">
        <v>72.539940000000001</v>
      </c>
      <c r="S9" s="31">
        <v>72.646259999999998</v>
      </c>
      <c r="T9" s="32">
        <v>72.462379999999996</v>
      </c>
      <c r="U9" s="8">
        <f t="shared" si="1"/>
        <v>0.19012571428571334</v>
      </c>
      <c r="V9" s="8">
        <f t="shared" si="1"/>
        <v>0.20085714285713152</v>
      </c>
      <c r="W9" s="8">
        <f t="shared" si="1"/>
        <v>9.5471428571428874E-2</v>
      </c>
      <c r="X9" s="33">
        <f t="shared" si="1"/>
        <v>0.11272285714285601</v>
      </c>
      <c r="Y9" s="8"/>
      <c r="Z9" s="30">
        <v>8.6601099999999995</v>
      </c>
      <c r="AA9" s="31">
        <v>9.2688699999999997</v>
      </c>
      <c r="AB9" s="31">
        <v>9.3425700000000003</v>
      </c>
      <c r="AC9" s="32">
        <v>9.4747699999999995</v>
      </c>
      <c r="AD9" s="8">
        <f t="shared" si="2"/>
        <v>0.10238285714285666</v>
      </c>
      <c r="AE9" s="8">
        <f t="shared" si="2"/>
        <v>0.15608428571428412</v>
      </c>
      <c r="AF9" s="8">
        <f t="shared" si="2"/>
        <v>0.15401999999999916</v>
      </c>
      <c r="AG9" s="33">
        <f t="shared" si="2"/>
        <v>0.10568285714285786</v>
      </c>
      <c r="AH9" s="8"/>
      <c r="AI9" s="30"/>
      <c r="AJ9" s="31"/>
      <c r="AK9" s="31"/>
      <c r="AL9" s="32"/>
      <c r="AM9" s="8" t="str">
        <f t="shared" si="3"/>
        <v/>
      </c>
      <c r="AN9" s="8" t="str">
        <f t="shared" si="3"/>
        <v/>
      </c>
      <c r="AO9" s="8" t="str">
        <f t="shared" si="3"/>
        <v/>
      </c>
      <c r="AP9" s="33" t="str">
        <f t="shared" si="3"/>
        <v/>
      </c>
      <c r="AR9" s="30">
        <v>11.71529</v>
      </c>
      <c r="AS9" s="31">
        <v>11.767060000000001</v>
      </c>
      <c r="AT9" s="31">
        <v>11.8546</v>
      </c>
      <c r="AU9" s="32">
        <v>11.699350000000001</v>
      </c>
      <c r="AV9" s="8">
        <f t="shared" si="4"/>
        <v>0.1755085714285709</v>
      </c>
      <c r="AW9" s="8">
        <f t="shared" si="4"/>
        <v>0.16881285714285887</v>
      </c>
      <c r="AX9" s="8">
        <f t="shared" si="4"/>
        <v>0.16587428571428653</v>
      </c>
      <c r="AY9" s="33">
        <f t="shared" si="4"/>
        <v>0.12119571428571341</v>
      </c>
      <c r="BA9" s="30">
        <v>1.5199</v>
      </c>
      <c r="BB9" s="31">
        <v>1.5617300000000001</v>
      </c>
      <c r="BC9" s="31">
        <v>1.58822</v>
      </c>
      <c r="BD9" s="32">
        <v>1.4843999999999999</v>
      </c>
      <c r="BE9" s="8">
        <f t="shared" si="5"/>
        <v>-4.2414285714285072E-3</v>
      </c>
      <c r="BF9" s="8">
        <f t="shared" si="5"/>
        <v>1.4899999999999913E-2</v>
      </c>
      <c r="BG9" s="8">
        <f t="shared" si="5"/>
        <v>2.9052857142857214E-2</v>
      </c>
      <c r="BH9" s="33">
        <f t="shared" si="5"/>
        <v>-4.7995714285714142E-2</v>
      </c>
      <c r="BJ9" s="30">
        <v>3.90591</v>
      </c>
      <c r="BK9" s="31">
        <v>3.6180099999999999</v>
      </c>
      <c r="BL9" s="31">
        <v>3.7126600000000001</v>
      </c>
      <c r="BM9" s="32">
        <v>3.8182900000000002</v>
      </c>
      <c r="BN9" s="8">
        <f t="shared" si="6"/>
        <v>-4.120571428571429E-2</v>
      </c>
      <c r="BO9" s="8">
        <f t="shared" si="6"/>
        <v>-3.4617142857142902E-2</v>
      </c>
      <c r="BP9" s="8">
        <f t="shared" si="6"/>
        <v>-3.570571428571423E-2</v>
      </c>
      <c r="BQ9" s="33">
        <f t="shared" si="6"/>
        <v>-1.193142857142826E-2</v>
      </c>
      <c r="BS9" s="30">
        <v>0.97579000000000005</v>
      </c>
      <c r="BT9" s="31">
        <v>1.3915599999999999</v>
      </c>
      <c r="BU9" s="31">
        <v>1.0056700000000001</v>
      </c>
      <c r="BV9" s="32">
        <v>0.94462999999999997</v>
      </c>
      <c r="BW9" s="8">
        <f t="shared" si="7"/>
        <v>-0.16806285714285718</v>
      </c>
      <c r="BX9" s="8">
        <f t="shared" si="7"/>
        <v>-0.13577714285714282</v>
      </c>
      <c r="BY9" s="8">
        <f t="shared" si="7"/>
        <v>-0.11189285714285702</v>
      </c>
      <c r="BZ9" s="33">
        <f t="shared" si="7"/>
        <v>-7.6251428571428526E-2</v>
      </c>
    </row>
    <row r="10" spans="1:78" x14ac:dyDescent="0.25">
      <c r="A10" s="28"/>
      <c r="B10" s="8">
        <v>39.4</v>
      </c>
      <c r="C10" s="8">
        <v>39.299999999999997</v>
      </c>
      <c r="D10" s="8">
        <v>39.349999999999994</v>
      </c>
      <c r="E10" s="8">
        <v>39.299999999999997</v>
      </c>
      <c r="F10" s="29">
        <v>11</v>
      </c>
      <c r="H10" s="30">
        <v>89.004760000000005</v>
      </c>
      <c r="I10" s="31">
        <v>88.485339999999994</v>
      </c>
      <c r="J10" s="31">
        <v>89.169610000000006</v>
      </c>
      <c r="K10" s="32">
        <v>89.430480000000003</v>
      </c>
      <c r="L10" s="8">
        <f t="shared" si="0"/>
        <v>-5.0418571428565429E-2</v>
      </c>
      <c r="M10" s="8">
        <f t="shared" si="0"/>
        <v>-0.20659285714286568</v>
      </c>
      <c r="N10" s="8">
        <f t="shared" si="0"/>
        <v>-7.9670000000007235E-2</v>
      </c>
      <c r="O10" s="33">
        <f t="shared" si="0"/>
        <v>-0.10795857142858267</v>
      </c>
      <c r="P10" s="8"/>
      <c r="Q10" s="30">
        <v>72.448779999999999</v>
      </c>
      <c r="R10" s="31">
        <v>72.557140000000004</v>
      </c>
      <c r="S10" s="31">
        <v>72.693340000000006</v>
      </c>
      <c r="T10" s="32">
        <v>72.489580000000004</v>
      </c>
      <c r="U10" s="8">
        <f t="shared" si="1"/>
        <v>0.20577571428570707</v>
      </c>
      <c r="V10" s="8">
        <f t="shared" si="1"/>
        <v>0.21805714285713407</v>
      </c>
      <c r="W10" s="8">
        <f t="shared" si="1"/>
        <v>0.1425514285714371</v>
      </c>
      <c r="X10" s="33">
        <f t="shared" si="1"/>
        <v>0.13992285714286368</v>
      </c>
      <c r="Y10" s="8"/>
      <c r="Z10" s="30">
        <v>8.6090400000000002</v>
      </c>
      <c r="AA10" s="31">
        <v>9.2303700000000006</v>
      </c>
      <c r="AB10" s="31">
        <v>9.3196300000000001</v>
      </c>
      <c r="AC10" s="32">
        <v>9.4544700000000006</v>
      </c>
      <c r="AD10" s="8">
        <f t="shared" si="2"/>
        <v>5.1312857142857382E-2</v>
      </c>
      <c r="AE10" s="8">
        <f t="shared" si="2"/>
        <v>0.11758428571428503</v>
      </c>
      <c r="AF10" s="8">
        <f t="shared" si="2"/>
        <v>0.13107999999999898</v>
      </c>
      <c r="AG10" s="33">
        <f t="shared" si="2"/>
        <v>8.5382857142858981E-2</v>
      </c>
      <c r="AH10" s="8"/>
      <c r="AI10" s="30"/>
      <c r="AJ10" s="31"/>
      <c r="AK10" s="31"/>
      <c r="AL10" s="32"/>
      <c r="AM10" s="8" t="str">
        <f t="shared" si="3"/>
        <v/>
      </c>
      <c r="AN10" s="8" t="str">
        <f t="shared" si="3"/>
        <v/>
      </c>
      <c r="AO10" s="8" t="str">
        <f t="shared" si="3"/>
        <v/>
      </c>
      <c r="AP10" s="33" t="str">
        <f t="shared" si="3"/>
        <v/>
      </c>
      <c r="AR10" s="30">
        <v>11.640829999999999</v>
      </c>
      <c r="AS10" s="31">
        <v>11.70173</v>
      </c>
      <c r="AT10" s="31">
        <v>11.78328</v>
      </c>
      <c r="AU10" s="32">
        <v>11.6495</v>
      </c>
      <c r="AV10" s="8">
        <f t="shared" si="4"/>
        <v>0.10104857142857071</v>
      </c>
      <c r="AW10" s="8">
        <f t="shared" si="4"/>
        <v>0.10348285714285765</v>
      </c>
      <c r="AX10" s="8">
        <f t="shared" si="4"/>
        <v>9.4554285714286479E-2</v>
      </c>
      <c r="AY10" s="33">
        <f t="shared" si="4"/>
        <v>7.1345714285712347E-2</v>
      </c>
      <c r="BA10" s="30">
        <v>1.5088900000000001</v>
      </c>
      <c r="BB10" s="31">
        <v>1.52763</v>
      </c>
      <c r="BC10" s="31">
        <v>1.5564499999999999</v>
      </c>
      <c r="BD10" s="32">
        <v>1.47594</v>
      </c>
      <c r="BE10" s="8">
        <f t="shared" si="5"/>
        <v>-1.5251428571428471E-2</v>
      </c>
      <c r="BF10" s="8">
        <f t="shared" si="5"/>
        <v>-1.9200000000000106E-2</v>
      </c>
      <c r="BG10" s="8">
        <f t="shared" si="5"/>
        <v>-2.7171428571428624E-3</v>
      </c>
      <c r="BH10" s="33">
        <f t="shared" si="5"/>
        <v>-5.6455714285714054E-2</v>
      </c>
      <c r="BJ10" s="30">
        <v>3.9457200000000001</v>
      </c>
      <c r="BK10" s="31">
        <v>3.6539000000000001</v>
      </c>
      <c r="BL10" s="31">
        <v>3.7359800000000001</v>
      </c>
      <c r="BM10" s="32">
        <v>3.84396</v>
      </c>
      <c r="BN10" s="8">
        <f t="shared" si="6"/>
        <v>-1.3957142857141669E-3</v>
      </c>
      <c r="BO10" s="8">
        <f t="shared" si="6"/>
        <v>1.2728571428572977E-3</v>
      </c>
      <c r="BP10" s="8">
        <f t="shared" si="6"/>
        <v>-1.2385714285714222E-2</v>
      </c>
      <c r="BQ10" s="33">
        <f t="shared" si="6"/>
        <v>1.37385714285716E-2</v>
      </c>
      <c r="BS10" s="30">
        <v>1.0137</v>
      </c>
      <c r="BT10" s="31">
        <v>1.4381999999999999</v>
      </c>
      <c r="BU10" s="31">
        <v>1.01553</v>
      </c>
      <c r="BV10" s="32">
        <v>0.95437000000000005</v>
      </c>
      <c r="BW10" s="8">
        <f t="shared" si="7"/>
        <v>-0.13015285714285718</v>
      </c>
      <c r="BX10" s="8">
        <f t="shared" si="7"/>
        <v>-8.9137142857142804E-2</v>
      </c>
      <c r="BY10" s="8">
        <f t="shared" si="7"/>
        <v>-0.10203285714285704</v>
      </c>
      <c r="BZ10" s="33">
        <f t="shared" si="7"/>
        <v>-6.6511428571428444E-2</v>
      </c>
    </row>
    <row r="11" spans="1:78" x14ac:dyDescent="0.25">
      <c r="A11" s="28"/>
      <c r="B11" s="8">
        <v>31.15</v>
      </c>
      <c r="C11" s="8">
        <v>31.6</v>
      </c>
      <c r="D11" s="8">
        <v>30.95</v>
      </c>
      <c r="E11" s="8">
        <v>30.5</v>
      </c>
      <c r="F11" s="29">
        <v>16</v>
      </c>
      <c r="H11" s="30">
        <v>89.026200000000003</v>
      </c>
      <c r="I11" s="31">
        <v>88.516660000000002</v>
      </c>
      <c r="J11" s="31">
        <v>89.207130000000006</v>
      </c>
      <c r="K11" s="32">
        <v>89.505210000000005</v>
      </c>
      <c r="L11" s="8">
        <f t="shared" si="0"/>
        <v>-2.8978571428567079E-2</v>
      </c>
      <c r="M11" s="8">
        <f t="shared" si="0"/>
        <v>-0.17527285714285767</v>
      </c>
      <c r="N11" s="8">
        <f t="shared" si="0"/>
        <v>-4.2150000000006571E-2</v>
      </c>
      <c r="O11" s="33">
        <f t="shared" si="0"/>
        <v>-3.3228571428580267E-2</v>
      </c>
      <c r="P11" s="8"/>
      <c r="Q11" s="30">
        <v>72.430000000000007</v>
      </c>
      <c r="R11" s="31">
        <v>72.537000000000006</v>
      </c>
      <c r="S11" s="31">
        <v>72.721059999999994</v>
      </c>
      <c r="T11" s="32">
        <v>72.521420000000006</v>
      </c>
      <c r="U11" s="8">
        <f t="shared" si="1"/>
        <v>0.1869957142857146</v>
      </c>
      <c r="V11" s="8">
        <f t="shared" si="1"/>
        <v>0.19791714285713624</v>
      </c>
      <c r="W11" s="8">
        <f t="shared" si="1"/>
        <v>0.17027142857142508</v>
      </c>
      <c r="X11" s="33">
        <f t="shared" si="1"/>
        <v>0.17176285714286621</v>
      </c>
      <c r="Y11" s="8"/>
      <c r="Z11" s="30">
        <v>8.5351300000000005</v>
      </c>
      <c r="AA11" s="31">
        <v>9.1087699999999998</v>
      </c>
      <c r="AB11" s="31">
        <v>9.2366100000000007</v>
      </c>
      <c r="AC11" s="32">
        <v>9.3928200000000004</v>
      </c>
      <c r="AD11" s="8">
        <f t="shared" si="2"/>
        <v>-2.2597142857142316E-2</v>
      </c>
      <c r="AE11" s="8">
        <f t="shared" si="2"/>
        <v>-4.0157142857157879E-3</v>
      </c>
      <c r="AF11" s="8">
        <f t="shared" si="2"/>
        <v>4.8059999999999548E-2</v>
      </c>
      <c r="AG11" s="33">
        <f t="shared" si="2"/>
        <v>2.3732857142858776E-2</v>
      </c>
      <c r="AH11" s="8"/>
      <c r="AI11" s="30"/>
      <c r="AJ11" s="31"/>
      <c r="AK11" s="31"/>
      <c r="AL11" s="32"/>
      <c r="AM11" s="8" t="str">
        <f t="shared" si="3"/>
        <v/>
      </c>
      <c r="AN11" s="8" t="str">
        <f t="shared" si="3"/>
        <v/>
      </c>
      <c r="AO11" s="8" t="str">
        <f t="shared" si="3"/>
        <v/>
      </c>
      <c r="AP11" s="33" t="str">
        <f t="shared" si="3"/>
        <v/>
      </c>
      <c r="AR11" s="30">
        <v>11.50691</v>
      </c>
      <c r="AS11" s="31">
        <v>11.55954</v>
      </c>
      <c r="AT11" s="31">
        <v>11.68366</v>
      </c>
      <c r="AU11" s="32">
        <v>11.555099999999999</v>
      </c>
      <c r="AV11" s="8">
        <f t="shared" si="4"/>
        <v>-3.2871428571429107E-2</v>
      </c>
      <c r="AW11" s="8">
        <f t="shared" si="4"/>
        <v>-3.8707142857141719E-2</v>
      </c>
      <c r="AX11" s="8">
        <f t="shared" si="4"/>
        <v>-5.0657142857133408E-3</v>
      </c>
      <c r="AY11" s="33">
        <f t="shared" si="4"/>
        <v>-2.3054285714287914E-2</v>
      </c>
      <c r="BA11" s="30">
        <v>1.5222100000000001</v>
      </c>
      <c r="BB11" s="31">
        <v>1.5108900000000001</v>
      </c>
      <c r="BC11" s="31">
        <v>1.5379</v>
      </c>
      <c r="BD11" s="32">
        <v>1.51033</v>
      </c>
      <c r="BE11" s="8">
        <f t="shared" si="5"/>
        <v>-1.9314285714284729E-3</v>
      </c>
      <c r="BF11" s="8">
        <f t="shared" si="5"/>
        <v>-3.5940000000000083E-2</v>
      </c>
      <c r="BG11" s="8">
        <f t="shared" si="5"/>
        <v>-2.1267142857142707E-2</v>
      </c>
      <c r="BH11" s="33">
        <f t="shared" si="5"/>
        <v>-2.2065714285714133E-2</v>
      </c>
      <c r="BJ11" s="30">
        <v>3.9809800000000002</v>
      </c>
      <c r="BK11" s="31">
        <v>3.6920099999999998</v>
      </c>
      <c r="BL11" s="31">
        <v>3.7711100000000002</v>
      </c>
      <c r="BM11" s="32">
        <v>3.8566099999999999</v>
      </c>
      <c r="BN11" s="8">
        <f t="shared" si="6"/>
        <v>3.3864285714285902E-2</v>
      </c>
      <c r="BO11" s="8">
        <f t="shared" si="6"/>
        <v>3.9382857142856942E-2</v>
      </c>
      <c r="BP11" s="8">
        <f t="shared" si="6"/>
        <v>2.2744285714285883E-2</v>
      </c>
      <c r="BQ11" s="33">
        <f t="shared" si="6"/>
        <v>2.6388571428571428E-2</v>
      </c>
      <c r="BS11" s="30">
        <v>1.09979</v>
      </c>
      <c r="BT11" s="31">
        <v>1.50766</v>
      </c>
      <c r="BU11" s="31">
        <v>1.06152</v>
      </c>
      <c r="BV11" s="32">
        <v>0.98014999999999997</v>
      </c>
      <c r="BW11" s="8">
        <f t="shared" si="7"/>
        <v>-4.4062857142857181E-2</v>
      </c>
      <c r="BX11" s="8">
        <f t="shared" si="7"/>
        <v>-1.9677142857142726E-2</v>
      </c>
      <c r="BY11" s="8">
        <f t="shared" si="7"/>
        <v>-5.6042857142857061E-2</v>
      </c>
      <c r="BZ11" s="33">
        <f t="shared" si="7"/>
        <v>-4.073142857142853E-2</v>
      </c>
    </row>
    <row r="12" spans="1:78" x14ac:dyDescent="0.25">
      <c r="A12" s="28"/>
      <c r="B12" s="8">
        <v>24.2</v>
      </c>
      <c r="C12" s="8">
        <v>24.2</v>
      </c>
      <c r="D12" s="8">
        <v>24.1</v>
      </c>
      <c r="E12" s="8">
        <v>24</v>
      </c>
      <c r="F12" s="29">
        <v>21</v>
      </c>
      <c r="H12" s="30">
        <v>89.007959999999997</v>
      </c>
      <c r="I12" s="31">
        <v>88.754620000000003</v>
      </c>
      <c r="J12" s="31">
        <v>89.312020000000004</v>
      </c>
      <c r="K12" s="32">
        <v>89.607969999999995</v>
      </c>
      <c r="L12" s="8">
        <f t="shared" si="0"/>
        <v>-4.7218571428572886E-2</v>
      </c>
      <c r="M12" s="8">
        <f t="shared" si="0"/>
        <v>6.2687142857143385E-2</v>
      </c>
      <c r="N12" s="8">
        <f t="shared" si="0"/>
        <v>6.2739999999990914E-2</v>
      </c>
      <c r="O12" s="33">
        <f t="shared" si="0"/>
        <v>6.9531428571409037E-2</v>
      </c>
      <c r="P12" s="8"/>
      <c r="Q12" s="30">
        <v>72.333269999999999</v>
      </c>
      <c r="R12" s="31">
        <v>72.412480000000002</v>
      </c>
      <c r="S12" s="31">
        <v>72.696060000000003</v>
      </c>
      <c r="T12" s="32">
        <v>72.442409999999995</v>
      </c>
      <c r="U12" s="8">
        <f t="shared" si="1"/>
        <v>9.0265714285706622E-2</v>
      </c>
      <c r="V12" s="8">
        <f t="shared" si="1"/>
        <v>7.339714285713228E-2</v>
      </c>
      <c r="W12" s="8">
        <f t="shared" si="1"/>
        <v>0.1452714285714336</v>
      </c>
      <c r="X12" s="33">
        <f t="shared" si="1"/>
        <v>9.2752857142855305E-2</v>
      </c>
      <c r="Y12" s="8"/>
      <c r="Z12" s="30">
        <v>8.4626099999999997</v>
      </c>
      <c r="AA12" s="31">
        <v>9.0516699999999997</v>
      </c>
      <c r="AB12" s="31">
        <v>9.0732800000000005</v>
      </c>
      <c r="AC12" s="32">
        <v>9.3480399999999992</v>
      </c>
      <c r="AD12" s="8">
        <f t="shared" si="2"/>
        <v>-9.5117142857143122E-2</v>
      </c>
      <c r="AE12" s="8">
        <f t="shared" si="2"/>
        <v>-6.1115714285715939E-2</v>
      </c>
      <c r="AF12" s="8">
        <f t="shared" si="2"/>
        <v>-0.11527000000000065</v>
      </c>
      <c r="AG12" s="33">
        <f t="shared" si="2"/>
        <v>-2.1047142857142376E-2</v>
      </c>
      <c r="AH12" s="8"/>
      <c r="AI12" s="30"/>
      <c r="AJ12" s="31"/>
      <c r="AK12" s="31"/>
      <c r="AL12" s="32"/>
      <c r="AM12" s="8" t="str">
        <f t="shared" si="3"/>
        <v/>
      </c>
      <c r="AN12" s="8" t="str">
        <f t="shared" si="3"/>
        <v/>
      </c>
      <c r="AO12" s="8" t="str">
        <f t="shared" si="3"/>
        <v/>
      </c>
      <c r="AP12" s="33" t="str">
        <f t="shared" si="3"/>
        <v/>
      </c>
      <c r="AR12" s="30">
        <v>11.391</v>
      </c>
      <c r="AS12" s="31">
        <v>11.47368</v>
      </c>
      <c r="AT12" s="31">
        <v>11.53735</v>
      </c>
      <c r="AU12" s="32">
        <v>11.48141</v>
      </c>
      <c r="AV12" s="8">
        <f t="shared" si="4"/>
        <v>-0.14878142857142862</v>
      </c>
      <c r="AW12" s="8">
        <f t="shared" si="4"/>
        <v>-0.12456714285714199</v>
      </c>
      <c r="AX12" s="8">
        <f t="shared" si="4"/>
        <v>-0.15137571428571306</v>
      </c>
      <c r="AY12" s="33">
        <f t="shared" si="4"/>
        <v>-9.6744285714287059E-2</v>
      </c>
      <c r="BA12" s="30">
        <v>1.5364199999999999</v>
      </c>
      <c r="BB12" s="31">
        <v>1.53278</v>
      </c>
      <c r="BC12" s="31">
        <v>1.5355300000000001</v>
      </c>
      <c r="BD12" s="32">
        <v>1.5417700000000001</v>
      </c>
      <c r="BE12" s="8">
        <f t="shared" si="5"/>
        <v>1.2278571428571361E-2</v>
      </c>
      <c r="BF12" s="8">
        <f t="shared" si="5"/>
        <v>-1.4050000000000118E-2</v>
      </c>
      <c r="BG12" s="8">
        <f t="shared" si="5"/>
        <v>-2.363714285714269E-2</v>
      </c>
      <c r="BH12" s="33">
        <f t="shared" si="5"/>
        <v>9.3742857142860014E-3</v>
      </c>
      <c r="BJ12" s="30">
        <v>4.0095099999999997</v>
      </c>
      <c r="BK12" s="31">
        <v>3.6989200000000002</v>
      </c>
      <c r="BL12" s="31">
        <v>3.8085200000000001</v>
      </c>
      <c r="BM12" s="32">
        <v>3.8678599999999999</v>
      </c>
      <c r="BN12" s="8">
        <f t="shared" si="6"/>
        <v>6.2394285714285402E-2</v>
      </c>
      <c r="BO12" s="8">
        <f t="shared" si="6"/>
        <v>4.6292857142857358E-2</v>
      </c>
      <c r="BP12" s="8">
        <f t="shared" si="6"/>
        <v>6.0154285714285827E-2</v>
      </c>
      <c r="BQ12" s="33">
        <f t="shared" si="6"/>
        <v>3.763857142857141E-2</v>
      </c>
      <c r="BS12" s="30">
        <v>1.1970700000000001</v>
      </c>
      <c r="BT12" s="31">
        <v>1.5954200000000001</v>
      </c>
      <c r="BU12" s="31">
        <v>1.1328400000000001</v>
      </c>
      <c r="BV12" s="32">
        <v>1.0208600000000001</v>
      </c>
      <c r="BW12" s="8">
        <f t="shared" si="7"/>
        <v>5.3217142857142852E-2</v>
      </c>
      <c r="BX12" s="8">
        <f t="shared" si="7"/>
        <v>6.8082857142857334E-2</v>
      </c>
      <c r="BY12" s="8">
        <f t="shared" si="7"/>
        <v>1.5277142857142989E-2</v>
      </c>
      <c r="BZ12" s="33">
        <f t="shared" si="7"/>
        <v>-2.1428571428394605E-5</v>
      </c>
    </row>
    <row r="13" spans="1:78" x14ac:dyDescent="0.25">
      <c r="A13" s="28"/>
      <c r="B13" s="8">
        <v>19.7</v>
      </c>
      <c r="C13" s="8">
        <v>19.75</v>
      </c>
      <c r="D13" s="8">
        <v>19.55</v>
      </c>
      <c r="E13" s="8">
        <v>19.5</v>
      </c>
      <c r="F13" s="29">
        <v>26</v>
      </c>
      <c r="H13" s="30">
        <v>89.050830000000005</v>
      </c>
      <c r="I13" s="31">
        <v>88.851590000000002</v>
      </c>
      <c r="J13" s="31">
        <v>89.301220000000001</v>
      </c>
      <c r="K13" s="32">
        <v>89.61591</v>
      </c>
      <c r="L13" s="8">
        <f t="shared" si="0"/>
        <v>-4.3485714285651511E-3</v>
      </c>
      <c r="M13" s="8">
        <f t="shared" si="0"/>
        <v>0.15965714285714228</v>
      </c>
      <c r="N13" s="8">
        <f t="shared" si="0"/>
        <v>5.1939999999987663E-2</v>
      </c>
      <c r="O13" s="33">
        <f t="shared" si="0"/>
        <v>7.7471428571413981E-2</v>
      </c>
      <c r="P13" s="8"/>
      <c r="Q13" s="30">
        <v>72.126140000000007</v>
      </c>
      <c r="R13" s="31">
        <v>72.2286</v>
      </c>
      <c r="S13" s="31">
        <v>72.539850000000001</v>
      </c>
      <c r="T13" s="32">
        <v>72.313540000000003</v>
      </c>
      <c r="U13" s="8">
        <f t="shared" si="1"/>
        <v>-0.11686428571428564</v>
      </c>
      <c r="V13" s="8">
        <f t="shared" si="1"/>
        <v>-0.11048285714286976</v>
      </c>
      <c r="W13" s="8">
        <f t="shared" si="1"/>
        <v>-1.0938571428567911E-2</v>
      </c>
      <c r="X13" s="33">
        <f t="shared" si="1"/>
        <v>-3.6117142857136741E-2</v>
      </c>
      <c r="Y13" s="8"/>
      <c r="Z13" s="30">
        <v>8.4650599999999994</v>
      </c>
      <c r="AA13" s="31">
        <v>8.9826099999999993</v>
      </c>
      <c r="AB13" s="31">
        <v>9.0691199999999998</v>
      </c>
      <c r="AC13" s="32">
        <v>9.3035999999999994</v>
      </c>
      <c r="AD13" s="8">
        <f t="shared" si="2"/>
        <v>-9.2667142857143503E-2</v>
      </c>
      <c r="AE13" s="8">
        <f t="shared" si="2"/>
        <v>-0.13017571428571628</v>
      </c>
      <c r="AF13" s="8">
        <f t="shared" si="2"/>
        <v>-0.11943000000000126</v>
      </c>
      <c r="AG13" s="33">
        <f t="shared" si="2"/>
        <v>-6.5487142857142189E-2</v>
      </c>
      <c r="AH13" s="8"/>
      <c r="AI13" s="30"/>
      <c r="AJ13" s="31"/>
      <c r="AK13" s="31"/>
      <c r="AL13" s="32"/>
      <c r="AM13" s="8" t="str">
        <f t="shared" si="3"/>
        <v/>
      </c>
      <c r="AN13" s="8" t="str">
        <f t="shared" si="3"/>
        <v/>
      </c>
      <c r="AO13" s="8" t="str">
        <f t="shared" si="3"/>
        <v/>
      </c>
      <c r="AP13" s="33" t="str">
        <f t="shared" si="3"/>
        <v/>
      </c>
      <c r="AR13" s="30">
        <v>11.31889</v>
      </c>
      <c r="AS13" s="31">
        <v>11.39372</v>
      </c>
      <c r="AT13" s="31">
        <v>11.505850000000001</v>
      </c>
      <c r="AU13" s="32">
        <v>11.41428</v>
      </c>
      <c r="AV13" s="8">
        <f t="shared" si="4"/>
        <v>-0.22089142857142896</v>
      </c>
      <c r="AW13" s="8">
        <f t="shared" si="4"/>
        <v>-0.2045271428571418</v>
      </c>
      <c r="AX13" s="8">
        <f t="shared" si="4"/>
        <v>-0.18287571428571248</v>
      </c>
      <c r="AY13" s="33">
        <f t="shared" si="4"/>
        <v>-0.16387428571428764</v>
      </c>
      <c r="BA13" s="30">
        <v>1.5413399999999999</v>
      </c>
      <c r="BB13" s="31">
        <v>1.55111</v>
      </c>
      <c r="BC13" s="31">
        <v>1.5541100000000001</v>
      </c>
      <c r="BD13" s="32">
        <v>1.5712699999999999</v>
      </c>
      <c r="BE13" s="8">
        <f t="shared" si="5"/>
        <v>1.7198571428571396E-2</v>
      </c>
      <c r="BF13" s="8">
        <f t="shared" si="5"/>
        <v>4.2799999999998395E-3</v>
      </c>
      <c r="BG13" s="8">
        <f t="shared" si="5"/>
        <v>-5.0571428571426491E-3</v>
      </c>
      <c r="BH13" s="33">
        <f t="shared" si="5"/>
        <v>3.8874285714285861E-2</v>
      </c>
      <c r="BJ13" s="30">
        <v>4.0303599999999999</v>
      </c>
      <c r="BK13" s="31">
        <v>3.6999900000000001</v>
      </c>
      <c r="BL13" s="31">
        <v>3.8090899999999999</v>
      </c>
      <c r="BM13" s="32">
        <v>3.8802400000000001</v>
      </c>
      <c r="BN13" s="8">
        <f t="shared" si="6"/>
        <v>8.324428571428566E-2</v>
      </c>
      <c r="BO13" s="8">
        <f t="shared" si="6"/>
        <v>4.7362857142857262E-2</v>
      </c>
      <c r="BP13" s="8">
        <f t="shared" si="6"/>
        <v>6.0724285714285564E-2</v>
      </c>
      <c r="BQ13" s="33">
        <f t="shared" si="6"/>
        <v>5.001857142857169E-2</v>
      </c>
      <c r="BS13" s="30">
        <v>1.3236399999999999</v>
      </c>
      <c r="BT13" s="31">
        <v>1.6912</v>
      </c>
      <c r="BU13" s="31">
        <v>1.2616799999999999</v>
      </c>
      <c r="BV13" s="32">
        <v>1.10273</v>
      </c>
      <c r="BW13" s="8">
        <f t="shared" si="7"/>
        <v>0.1797871428571427</v>
      </c>
      <c r="BX13" s="8">
        <f t="shared" si="7"/>
        <v>0.16386285714285731</v>
      </c>
      <c r="BY13" s="8">
        <f t="shared" si="7"/>
        <v>0.14411714285714283</v>
      </c>
      <c r="BZ13" s="33">
        <f t="shared" si="7"/>
        <v>8.1848571428571493E-2</v>
      </c>
    </row>
    <row r="14" spans="1:78" x14ac:dyDescent="0.25">
      <c r="A14" s="28"/>
      <c r="B14" s="8">
        <v>11.6</v>
      </c>
      <c r="C14" s="8">
        <v>11.5</v>
      </c>
      <c r="D14" s="8">
        <v>11.850000000000001</v>
      </c>
      <c r="E14" s="8">
        <v>11.9</v>
      </c>
      <c r="F14" s="29">
        <v>31</v>
      </c>
      <c r="H14" s="30">
        <v>89.104709999999997</v>
      </c>
      <c r="I14" s="31">
        <v>89.027249999999995</v>
      </c>
      <c r="J14" s="31">
        <v>89.254900000000006</v>
      </c>
      <c r="K14" s="32">
        <v>89.733279999999993</v>
      </c>
      <c r="L14" s="8">
        <f t="shared" si="0"/>
        <v>4.9531428571427227E-2</v>
      </c>
      <c r="M14" s="8">
        <f t="shared" si="0"/>
        <v>0.33531714285713576</v>
      </c>
      <c r="N14" s="8">
        <f t="shared" si="0"/>
        <v>5.619999999993297E-3</v>
      </c>
      <c r="O14" s="33">
        <f t="shared" si="0"/>
        <v>0.19484142857140796</v>
      </c>
      <c r="P14" s="8"/>
      <c r="Q14" s="30">
        <v>71.883939999999996</v>
      </c>
      <c r="R14" s="31">
        <v>71.976799999999997</v>
      </c>
      <c r="S14" s="31">
        <v>72.337459999999993</v>
      </c>
      <c r="T14" s="32">
        <v>72.155749999999998</v>
      </c>
      <c r="U14" s="8">
        <f t="shared" si="1"/>
        <v>-0.35906428571429672</v>
      </c>
      <c r="V14" s="8">
        <f t="shared" si="1"/>
        <v>-0.36228285714287267</v>
      </c>
      <c r="W14" s="8">
        <f t="shared" si="1"/>
        <v>-0.2133285714285762</v>
      </c>
      <c r="X14" s="33">
        <f t="shared" si="1"/>
        <v>-0.19390714285714239</v>
      </c>
      <c r="Y14" s="8"/>
      <c r="Z14" s="30">
        <v>8.4216899999999999</v>
      </c>
      <c r="AA14" s="31">
        <v>8.9317299999999999</v>
      </c>
      <c r="AB14" s="31">
        <v>8.9684899999999992</v>
      </c>
      <c r="AC14" s="32">
        <v>9.1984899999999996</v>
      </c>
      <c r="AD14" s="8">
        <f t="shared" si="2"/>
        <v>-0.13603714285714297</v>
      </c>
      <c r="AE14" s="8">
        <f t="shared" si="2"/>
        <v>-0.18105571428571565</v>
      </c>
      <c r="AF14" s="8">
        <f t="shared" si="2"/>
        <v>-0.22006000000000192</v>
      </c>
      <c r="AG14" s="33">
        <f t="shared" si="2"/>
        <v>-0.170597142857142</v>
      </c>
      <c r="AH14" s="8"/>
      <c r="AI14" s="30"/>
      <c r="AJ14" s="31"/>
      <c r="AK14" s="31"/>
      <c r="AL14" s="32"/>
      <c r="AM14" s="8" t="str">
        <f t="shared" si="3"/>
        <v/>
      </c>
      <c r="AN14" s="8" t="str">
        <f t="shared" si="3"/>
        <v/>
      </c>
      <c r="AO14" s="8" t="str">
        <f t="shared" si="3"/>
        <v/>
      </c>
      <c r="AP14" s="33" t="str">
        <f t="shared" si="3"/>
        <v/>
      </c>
      <c r="AR14" s="30">
        <v>11.206860000000001</v>
      </c>
      <c r="AS14" s="31">
        <v>11.28275</v>
      </c>
      <c r="AT14" s="31">
        <v>11.37955</v>
      </c>
      <c r="AU14" s="32">
        <v>11.291790000000001</v>
      </c>
      <c r="AV14" s="8">
        <f t="shared" si="4"/>
        <v>-0.33292142857142792</v>
      </c>
      <c r="AW14" s="8">
        <f t="shared" si="4"/>
        <v>-0.31549714285714181</v>
      </c>
      <c r="AX14" s="8">
        <f t="shared" si="4"/>
        <v>-0.309175714285713</v>
      </c>
      <c r="AY14" s="33">
        <f t="shared" si="4"/>
        <v>-0.28636428571428674</v>
      </c>
      <c r="BA14" s="30">
        <v>1.5044599999999999</v>
      </c>
      <c r="BB14" s="31">
        <v>1.55732</v>
      </c>
      <c r="BC14" s="31">
        <v>1.5523899999999999</v>
      </c>
      <c r="BD14" s="32">
        <v>1.58894</v>
      </c>
      <c r="BE14" s="8">
        <f t="shared" si="5"/>
        <v>-1.9681428571428627E-2</v>
      </c>
      <c r="BF14" s="8">
        <f t="shared" si="5"/>
        <v>1.0489999999999888E-2</v>
      </c>
      <c r="BG14" s="8">
        <f t="shared" si="5"/>
        <v>-6.7771428571428149E-3</v>
      </c>
      <c r="BH14" s="33">
        <f t="shared" si="5"/>
        <v>5.6544285714285936E-2</v>
      </c>
      <c r="BJ14" s="30">
        <v>4.0177800000000001</v>
      </c>
      <c r="BK14" s="31">
        <v>3.7166700000000001</v>
      </c>
      <c r="BL14" s="31">
        <v>3.81067</v>
      </c>
      <c r="BM14" s="32">
        <v>3.8568799999999999</v>
      </c>
      <c r="BN14" s="8">
        <f t="shared" si="6"/>
        <v>7.0664285714285846E-2</v>
      </c>
      <c r="BO14" s="8">
        <f t="shared" si="6"/>
        <v>6.404285714285729E-2</v>
      </c>
      <c r="BP14" s="8">
        <f t="shared" si="6"/>
        <v>6.2304285714285701E-2</v>
      </c>
      <c r="BQ14" s="33">
        <f t="shared" si="6"/>
        <v>2.665857142857142E-2</v>
      </c>
      <c r="BS14" s="30">
        <v>1.45994</v>
      </c>
      <c r="BT14" s="31">
        <v>1.7596000000000001</v>
      </c>
      <c r="BU14" s="31">
        <v>1.36215</v>
      </c>
      <c r="BV14" s="32">
        <v>1.1848399999999999</v>
      </c>
      <c r="BW14" s="8">
        <f t="shared" si="7"/>
        <v>0.31608714285714279</v>
      </c>
      <c r="BX14" s="8">
        <f t="shared" si="7"/>
        <v>0.23226285714285733</v>
      </c>
      <c r="BY14" s="8">
        <f t="shared" si="7"/>
        <v>0.24458714285714289</v>
      </c>
      <c r="BZ14" s="33">
        <f t="shared" si="7"/>
        <v>0.1639585714285714</v>
      </c>
    </row>
    <row r="15" spans="1:78" x14ac:dyDescent="0.25">
      <c r="A15" s="21">
        <v>2</v>
      </c>
      <c r="B15" s="22">
        <v>56.25</v>
      </c>
      <c r="C15" s="22">
        <v>57.05</v>
      </c>
      <c r="D15" s="22">
        <v>56.1</v>
      </c>
      <c r="E15" s="22">
        <v>56</v>
      </c>
      <c r="F15" s="23">
        <v>2</v>
      </c>
      <c r="H15" s="24">
        <v>85.117059999999995</v>
      </c>
      <c r="I15" s="25">
        <v>84.237030000000004</v>
      </c>
      <c r="J15" s="25">
        <v>85.209549999999993</v>
      </c>
      <c r="K15" s="26">
        <v>85.313980000000001</v>
      </c>
      <c r="L15" s="22">
        <f t="shared" ref="L15:O21" si="8">IF(OR(H15="",H15="NaN"),"",H15-AVERAGE(H$15:H$21))</f>
        <v>-0.11200857142857501</v>
      </c>
      <c r="M15" s="22">
        <f t="shared" si="8"/>
        <v>-0.29795714285715746</v>
      </c>
      <c r="N15" s="22">
        <f t="shared" si="8"/>
        <v>-0.16627285714287154</v>
      </c>
      <c r="O15" s="27">
        <f t="shared" si="8"/>
        <v>-0.23085857142858401</v>
      </c>
      <c r="P15" s="8"/>
      <c r="Q15" s="24">
        <v>71.380399999999995</v>
      </c>
      <c r="R15" s="25">
        <v>71.550219999999996</v>
      </c>
      <c r="S15" s="25">
        <v>71.605230000000006</v>
      </c>
      <c r="T15" s="26">
        <v>71.646050000000002</v>
      </c>
      <c r="U15" s="22">
        <f t="shared" ref="U15:X21" si="9">IF(OR(Q15="",Q15="NaN"),"",Q15-AVERAGE(Q$15:Q$21))</f>
        <v>-0.43011428571429633</v>
      </c>
      <c r="V15" s="22">
        <f t="shared" si="9"/>
        <v>-0.39330714285715374</v>
      </c>
      <c r="W15" s="22">
        <f t="shared" si="9"/>
        <v>-0.44226285714285041</v>
      </c>
      <c r="X15" s="27">
        <f t="shared" si="9"/>
        <v>-0.37706571428572033</v>
      </c>
      <c r="Y15" s="8"/>
      <c r="Z15" s="24">
        <v>8.9200599999999994</v>
      </c>
      <c r="AA15" s="25">
        <v>9.11557</v>
      </c>
      <c r="AB15" s="25">
        <v>9.2406699999999997</v>
      </c>
      <c r="AC15" s="26">
        <v>9.1795799999999996</v>
      </c>
      <c r="AD15" s="22">
        <f t="shared" ref="AD15:AG21" si="10">IF(OR(Z15="",Z15="NaN"),"",Z15-AVERAGE(Z$15:Z$21))</f>
        <v>1.8801428571428858E-2</v>
      </c>
      <c r="AE15" s="22">
        <f t="shared" si="10"/>
        <v>-0.1754742857142837</v>
      </c>
      <c r="AF15" s="22">
        <f t="shared" si="10"/>
        <v>-0.16502714285714148</v>
      </c>
      <c r="AG15" s="27">
        <f t="shared" si="10"/>
        <v>-0.26578999999999908</v>
      </c>
      <c r="AH15" s="8"/>
      <c r="AI15" s="24"/>
      <c r="AJ15" s="25"/>
      <c r="AK15" s="25"/>
      <c r="AL15" s="26"/>
      <c r="AM15" s="22" t="str">
        <f t="shared" ref="AM15:AP21" si="11">IF(OR(AI15="",AI15="NaN"),"",AI15-AVERAGE(AI$15:AI$21))</f>
        <v/>
      </c>
      <c r="AN15" s="22" t="str">
        <f t="shared" si="11"/>
        <v/>
      </c>
      <c r="AO15" s="22" t="str">
        <f t="shared" si="11"/>
        <v/>
      </c>
      <c r="AP15" s="27" t="str">
        <f t="shared" si="11"/>
        <v/>
      </c>
      <c r="AR15" s="24">
        <v>11.68431</v>
      </c>
      <c r="AS15" s="25">
        <v>11.600759999999999</v>
      </c>
      <c r="AT15" s="25">
        <v>11.66093</v>
      </c>
      <c r="AU15" s="26">
        <v>11.586349999999999</v>
      </c>
      <c r="AV15" s="22">
        <f t="shared" ref="AV15:AY21" si="12">IF(OR(AR15="",AR15="NaN"),"",AR15-AVERAGE(AR$15:AR$21))</f>
        <v>0.39876285714285764</v>
      </c>
      <c r="AW15" s="22">
        <f t="shared" si="12"/>
        <v>0.35117571428571281</v>
      </c>
      <c r="AX15" s="22">
        <f t="shared" si="12"/>
        <v>0.28407571428571465</v>
      </c>
      <c r="AY15" s="27">
        <f t="shared" si="12"/>
        <v>0.3080642857142859</v>
      </c>
      <c r="BA15" s="24">
        <v>1.6161000000000001</v>
      </c>
      <c r="BB15" s="25">
        <v>1.62581</v>
      </c>
      <c r="BC15" s="25">
        <v>1.62151</v>
      </c>
      <c r="BD15" s="26">
        <v>1.6339999999999999</v>
      </c>
      <c r="BE15" s="22">
        <f t="shared" ref="BE15:BH21" si="13">IF(OR(BA15="",BA15="NaN"),"",BA15-AVERAGE(BA$15:BA$21))</f>
        <v>0.11360999999999999</v>
      </c>
      <c r="BF15" s="22">
        <f t="shared" si="13"/>
        <v>2.949999999999986E-2</v>
      </c>
      <c r="BG15" s="22">
        <f t="shared" si="13"/>
        <v>5.0699999999999967E-2</v>
      </c>
      <c r="BH15" s="27">
        <f t="shared" si="13"/>
        <v>6.3092857142857062E-2</v>
      </c>
      <c r="BJ15" s="24">
        <v>3.3978700000000002</v>
      </c>
      <c r="BK15" s="25">
        <v>3.29129</v>
      </c>
      <c r="BL15" s="25">
        <v>3.30253</v>
      </c>
      <c r="BM15" s="26">
        <v>3.33725</v>
      </c>
      <c r="BN15" s="22">
        <f t="shared" ref="BN15:BQ21" si="14">IF(OR(BJ15="",BJ15="NaN"),"",BJ15-AVERAGE(BJ$15:BJ$21))</f>
        <v>-0.26554285714285664</v>
      </c>
      <c r="BO15" s="22">
        <f t="shared" si="14"/>
        <v>-0.17808000000000002</v>
      </c>
      <c r="BP15" s="22">
        <f t="shared" si="14"/>
        <v>-0.2286628571428575</v>
      </c>
      <c r="BQ15" s="27">
        <f t="shared" si="14"/>
        <v>-0.26961714285714278</v>
      </c>
      <c r="BS15" s="24">
        <v>1.66239</v>
      </c>
      <c r="BT15" s="25">
        <v>1.9515899999999999</v>
      </c>
      <c r="BU15" s="25">
        <v>1.5043200000000001</v>
      </c>
      <c r="BV15" s="26">
        <v>1.2824599999999999</v>
      </c>
      <c r="BW15" s="22">
        <f t="shared" ref="BW15:BZ21" si="15">IF(OR(BS15="",BS15="NaN"),"",BS15-AVERAGE(BS$15:BS$21))</f>
        <v>0.41387285714285715</v>
      </c>
      <c r="BX15" s="22">
        <f t="shared" si="15"/>
        <v>0.27247285714285718</v>
      </c>
      <c r="BY15" s="22">
        <f t="shared" si="15"/>
        <v>0.30075857142857165</v>
      </c>
      <c r="BZ15" s="27">
        <f t="shared" si="15"/>
        <v>0.2311442857142858</v>
      </c>
    </row>
    <row r="16" spans="1:78" x14ac:dyDescent="0.25">
      <c r="A16" s="28"/>
      <c r="B16" s="8">
        <v>49.5</v>
      </c>
      <c r="C16" s="8">
        <v>49.4</v>
      </c>
      <c r="D16" s="8">
        <v>49.45</v>
      </c>
      <c r="E16" s="8">
        <v>49.150000000000006</v>
      </c>
      <c r="F16" s="29">
        <v>7</v>
      </c>
      <c r="H16" s="30">
        <v>84.724450000000004</v>
      </c>
      <c r="I16" s="31">
        <v>83.936509999999998</v>
      </c>
      <c r="J16" s="31">
        <v>84.837059999999994</v>
      </c>
      <c r="K16" s="32">
        <v>84.84796</v>
      </c>
      <c r="L16" s="8">
        <f t="shared" si="8"/>
        <v>-0.50461857142856559</v>
      </c>
      <c r="M16" s="8">
        <f t="shared" si="8"/>
        <v>-0.59847714285716336</v>
      </c>
      <c r="N16" s="8">
        <f t="shared" si="8"/>
        <v>-0.53876285714287064</v>
      </c>
      <c r="O16" s="33">
        <f t="shared" si="8"/>
        <v>-0.69687857142858434</v>
      </c>
      <c r="P16" s="8"/>
      <c r="Q16" s="30">
        <v>71.768190000000004</v>
      </c>
      <c r="R16" s="31">
        <v>72.003389999999996</v>
      </c>
      <c r="S16" s="31">
        <v>72.031120000000001</v>
      </c>
      <c r="T16" s="32">
        <v>71.973420000000004</v>
      </c>
      <c r="U16" s="8">
        <f t="shared" si="9"/>
        <v>-4.2324285714286702E-2</v>
      </c>
      <c r="V16" s="8">
        <f t="shared" si="9"/>
        <v>5.9862857142846337E-2</v>
      </c>
      <c r="W16" s="8">
        <f t="shared" si="9"/>
        <v>-1.6372857142854969E-2</v>
      </c>
      <c r="X16" s="33">
        <f t="shared" si="9"/>
        <v>-4.9695714285718395E-2</v>
      </c>
      <c r="Y16" s="8"/>
      <c r="Z16" s="30">
        <v>9.1059699999999992</v>
      </c>
      <c r="AA16" s="31">
        <v>9.3277400000000004</v>
      </c>
      <c r="AB16" s="31">
        <v>9.4298999999999999</v>
      </c>
      <c r="AC16" s="32">
        <v>9.3408099999999994</v>
      </c>
      <c r="AD16" s="8">
        <f t="shared" si="10"/>
        <v>0.20471142857142866</v>
      </c>
      <c r="AE16" s="8">
        <f t="shared" si="10"/>
        <v>3.6695714285716718E-2</v>
      </c>
      <c r="AF16" s="8">
        <f t="shared" si="10"/>
        <v>2.4202857142858747E-2</v>
      </c>
      <c r="AG16" s="33">
        <f t="shared" si="10"/>
        <v>-0.10455999999999932</v>
      </c>
      <c r="AH16" s="8"/>
      <c r="AI16" s="30"/>
      <c r="AJ16" s="31"/>
      <c r="AK16" s="31"/>
      <c r="AL16" s="32"/>
      <c r="AM16" s="8" t="str">
        <f t="shared" si="11"/>
        <v/>
      </c>
      <c r="AN16" s="8" t="str">
        <f t="shared" si="11"/>
        <v/>
      </c>
      <c r="AO16" s="8" t="str">
        <f t="shared" si="11"/>
        <v/>
      </c>
      <c r="AP16" s="33" t="str">
        <f t="shared" si="11"/>
        <v/>
      </c>
      <c r="AR16" s="30">
        <v>11.68056</v>
      </c>
      <c r="AS16" s="31">
        <v>11.548450000000001</v>
      </c>
      <c r="AT16" s="31">
        <v>11.720800000000001</v>
      </c>
      <c r="AU16" s="32">
        <v>11.61632</v>
      </c>
      <c r="AV16" s="8">
        <f t="shared" si="12"/>
        <v>0.3950128571428575</v>
      </c>
      <c r="AW16" s="8">
        <f t="shared" si="12"/>
        <v>0.29886571428571429</v>
      </c>
      <c r="AX16" s="8">
        <f t="shared" si="12"/>
        <v>0.34394571428571474</v>
      </c>
      <c r="AY16" s="33">
        <f t="shared" si="12"/>
        <v>0.3380342857142864</v>
      </c>
      <c r="BA16" s="30">
        <v>1.6967099999999999</v>
      </c>
      <c r="BB16" s="31">
        <v>1.74498</v>
      </c>
      <c r="BC16" s="31">
        <v>1.7382299999999999</v>
      </c>
      <c r="BD16" s="32">
        <v>1.7303500000000001</v>
      </c>
      <c r="BE16" s="8">
        <f t="shared" si="13"/>
        <v>0.19421999999999984</v>
      </c>
      <c r="BF16" s="8">
        <f t="shared" si="13"/>
        <v>0.14866999999999986</v>
      </c>
      <c r="BG16" s="8">
        <f t="shared" si="13"/>
        <v>0.1674199999999999</v>
      </c>
      <c r="BH16" s="33">
        <f t="shared" si="13"/>
        <v>0.15944285714285722</v>
      </c>
      <c r="BJ16" s="30">
        <v>3.32992</v>
      </c>
      <c r="BK16" s="31">
        <v>3.21814</v>
      </c>
      <c r="BL16" s="31">
        <v>3.2264599999999999</v>
      </c>
      <c r="BM16" s="32">
        <v>3.2823799999999999</v>
      </c>
      <c r="BN16" s="8">
        <f t="shared" si="14"/>
        <v>-0.33349285714285681</v>
      </c>
      <c r="BO16" s="8">
        <f t="shared" si="14"/>
        <v>-0.25123000000000006</v>
      </c>
      <c r="BP16" s="8">
        <f t="shared" si="14"/>
        <v>-0.30473285714285758</v>
      </c>
      <c r="BQ16" s="33">
        <f t="shared" si="14"/>
        <v>-0.32448714285714297</v>
      </c>
      <c r="BS16" s="30">
        <v>1.1466000000000001</v>
      </c>
      <c r="BT16" s="31">
        <v>1.54914</v>
      </c>
      <c r="BU16" s="31">
        <v>1.0250600000000001</v>
      </c>
      <c r="BV16" s="32">
        <v>0.89890999999999999</v>
      </c>
      <c r="BW16" s="8">
        <f t="shared" si="15"/>
        <v>-0.10191714285714282</v>
      </c>
      <c r="BX16" s="8">
        <f t="shared" si="15"/>
        <v>-0.12997714285714279</v>
      </c>
      <c r="BY16" s="8">
        <f t="shared" si="15"/>
        <v>-0.17850142857142837</v>
      </c>
      <c r="BZ16" s="33">
        <f t="shared" si="15"/>
        <v>-0.15240571428571414</v>
      </c>
    </row>
    <row r="17" spans="1:78" x14ac:dyDescent="0.25">
      <c r="A17" s="28"/>
      <c r="B17" s="8">
        <v>42.150000000000006</v>
      </c>
      <c r="C17" s="8">
        <v>42.65</v>
      </c>
      <c r="D17" s="8">
        <v>42.1</v>
      </c>
      <c r="E17" s="8">
        <v>41.95</v>
      </c>
      <c r="F17" s="29">
        <v>12</v>
      </c>
      <c r="H17" s="30">
        <v>84.889510000000001</v>
      </c>
      <c r="I17" s="31">
        <v>84.016350000000003</v>
      </c>
      <c r="J17" s="31">
        <v>84.969489999999993</v>
      </c>
      <c r="K17" s="32">
        <v>85.070959999999999</v>
      </c>
      <c r="L17" s="8">
        <f t="shared" si="8"/>
        <v>-0.33955857142856871</v>
      </c>
      <c r="M17" s="8">
        <f t="shared" si="8"/>
        <v>-0.51863714285715901</v>
      </c>
      <c r="N17" s="8">
        <f t="shared" si="8"/>
        <v>-0.40633285714287126</v>
      </c>
      <c r="O17" s="33">
        <f t="shared" si="8"/>
        <v>-0.47387857142858536</v>
      </c>
      <c r="P17" s="8"/>
      <c r="Q17" s="30">
        <v>71.828140000000005</v>
      </c>
      <c r="R17" s="31">
        <v>72.055809999999994</v>
      </c>
      <c r="S17" s="31">
        <v>72.062470000000005</v>
      </c>
      <c r="T17" s="32">
        <v>72.071730000000002</v>
      </c>
      <c r="U17" s="8">
        <f t="shared" si="9"/>
        <v>1.7625714285713912E-2</v>
      </c>
      <c r="V17" s="8">
        <f t="shared" si="9"/>
        <v>0.11228285714284425</v>
      </c>
      <c r="W17" s="8">
        <f t="shared" si="9"/>
        <v>1.4977142857148351E-2</v>
      </c>
      <c r="X17" s="33">
        <f t="shared" si="9"/>
        <v>4.8614285714279504E-2</v>
      </c>
      <c r="Y17" s="8"/>
      <c r="Z17" s="30">
        <v>9.1227999999999998</v>
      </c>
      <c r="AA17" s="31">
        <v>9.3972200000000008</v>
      </c>
      <c r="AB17" s="31">
        <v>9.5131200000000007</v>
      </c>
      <c r="AC17" s="32">
        <v>9.4937100000000001</v>
      </c>
      <c r="AD17" s="8">
        <f t="shared" si="10"/>
        <v>0.22154142857142922</v>
      </c>
      <c r="AE17" s="8">
        <f t="shared" si="10"/>
        <v>0.10617571428571715</v>
      </c>
      <c r="AF17" s="8">
        <f t="shared" si="10"/>
        <v>0.10742285714285948</v>
      </c>
      <c r="AG17" s="33">
        <f t="shared" si="10"/>
        <v>4.8340000000001382E-2</v>
      </c>
      <c r="AH17" s="8"/>
      <c r="AI17" s="30"/>
      <c r="AJ17" s="31"/>
      <c r="AK17" s="31"/>
      <c r="AL17" s="32"/>
      <c r="AM17" s="8" t="str">
        <f t="shared" si="11"/>
        <v/>
      </c>
      <c r="AN17" s="8" t="str">
        <f t="shared" si="11"/>
        <v/>
      </c>
      <c r="AO17" s="8" t="str">
        <f t="shared" si="11"/>
        <v/>
      </c>
      <c r="AP17" s="33" t="str">
        <f t="shared" si="11"/>
        <v/>
      </c>
      <c r="AR17" s="30">
        <v>11.578110000000001</v>
      </c>
      <c r="AS17" s="31">
        <v>11.486470000000001</v>
      </c>
      <c r="AT17" s="31">
        <v>11.644600000000001</v>
      </c>
      <c r="AU17" s="32">
        <v>11.505789999999999</v>
      </c>
      <c r="AV17" s="8">
        <f t="shared" si="12"/>
        <v>0.29256285714285823</v>
      </c>
      <c r="AW17" s="8">
        <f t="shared" si="12"/>
        <v>0.23688571428571414</v>
      </c>
      <c r="AX17" s="8">
        <f t="shared" si="12"/>
        <v>0.2677457142857147</v>
      </c>
      <c r="AY17" s="33">
        <f t="shared" si="12"/>
        <v>0.22750428571428571</v>
      </c>
      <c r="BA17" s="30">
        <v>1.6427700000000001</v>
      </c>
      <c r="BB17" s="31">
        <v>1.72719</v>
      </c>
      <c r="BC17" s="31">
        <v>1.7270799999999999</v>
      </c>
      <c r="BD17" s="32">
        <v>1.7343299999999999</v>
      </c>
      <c r="BE17" s="8">
        <f t="shared" si="13"/>
        <v>0.14027999999999996</v>
      </c>
      <c r="BF17" s="8">
        <f t="shared" si="13"/>
        <v>0.13087999999999989</v>
      </c>
      <c r="BG17" s="8">
        <f t="shared" si="13"/>
        <v>0.15626999999999991</v>
      </c>
      <c r="BH17" s="33">
        <f t="shared" si="13"/>
        <v>0.16342285714285709</v>
      </c>
      <c r="BJ17" s="30">
        <v>3.3622999999999998</v>
      </c>
      <c r="BK17" s="31">
        <v>3.2277300000000002</v>
      </c>
      <c r="BL17" s="31">
        <v>3.2599</v>
      </c>
      <c r="BM17" s="32">
        <v>3.3146499999999999</v>
      </c>
      <c r="BN17" s="8">
        <f t="shared" si="14"/>
        <v>-0.30111285714285696</v>
      </c>
      <c r="BO17" s="8">
        <f t="shared" si="14"/>
        <v>-0.24163999999999985</v>
      </c>
      <c r="BP17" s="8">
        <f t="shared" si="14"/>
        <v>-0.27129285714285745</v>
      </c>
      <c r="BQ17" s="33">
        <f t="shared" si="14"/>
        <v>-0.29221714285714295</v>
      </c>
      <c r="BS17" s="30">
        <v>0.98867000000000005</v>
      </c>
      <c r="BT17" s="31">
        <v>1.4642200000000001</v>
      </c>
      <c r="BU17" s="31">
        <v>0.97121000000000002</v>
      </c>
      <c r="BV17" s="32">
        <v>0.83152999999999999</v>
      </c>
      <c r="BW17" s="8">
        <f t="shared" si="15"/>
        <v>-0.25984714285714283</v>
      </c>
      <c r="BX17" s="8">
        <f t="shared" si="15"/>
        <v>-0.21489714285714268</v>
      </c>
      <c r="BY17" s="8">
        <f t="shared" si="15"/>
        <v>-0.23235142857142843</v>
      </c>
      <c r="BZ17" s="33">
        <f t="shared" si="15"/>
        <v>-0.21978571428571414</v>
      </c>
    </row>
    <row r="18" spans="1:78" x14ac:dyDescent="0.25">
      <c r="A18" s="28"/>
      <c r="B18" s="8">
        <v>32.650000000000006</v>
      </c>
      <c r="C18" s="8">
        <v>32.9</v>
      </c>
      <c r="D18" s="8">
        <v>32.549999999999997</v>
      </c>
      <c r="E18" s="8">
        <v>32.349999999999994</v>
      </c>
      <c r="F18" s="29">
        <v>17</v>
      </c>
      <c r="H18" s="30">
        <v>85.109480000000005</v>
      </c>
      <c r="I18" s="31">
        <v>84.272890000000004</v>
      </c>
      <c r="J18" s="31">
        <v>85.233329999999995</v>
      </c>
      <c r="K18" s="32">
        <v>85.397099999999995</v>
      </c>
      <c r="L18" s="8">
        <f t="shared" si="8"/>
        <v>-0.11958857142856516</v>
      </c>
      <c r="M18" s="8">
        <f t="shared" si="8"/>
        <v>-0.26209714285715791</v>
      </c>
      <c r="N18" s="8">
        <f t="shared" si="8"/>
        <v>-0.14249285714286941</v>
      </c>
      <c r="O18" s="33">
        <f t="shared" si="8"/>
        <v>-0.14773857142859015</v>
      </c>
      <c r="P18" s="8"/>
      <c r="Q18" s="30">
        <v>71.961979999999997</v>
      </c>
      <c r="R18" s="31">
        <v>72.128270000000001</v>
      </c>
      <c r="S18" s="31">
        <v>72.178380000000004</v>
      </c>
      <c r="T18" s="32">
        <v>72.197339999999997</v>
      </c>
      <c r="U18" s="8">
        <f t="shared" si="9"/>
        <v>0.1514657142857061</v>
      </c>
      <c r="V18" s="8">
        <f t="shared" si="9"/>
        <v>0.18474285714285088</v>
      </c>
      <c r="W18" s="8">
        <f t="shared" si="9"/>
        <v>0.13088714285714786</v>
      </c>
      <c r="X18" s="33">
        <f t="shared" si="9"/>
        <v>0.17422428571427417</v>
      </c>
      <c r="Y18" s="8"/>
      <c r="Z18" s="30">
        <v>8.9884500000000003</v>
      </c>
      <c r="AA18" s="31">
        <v>9.3671600000000002</v>
      </c>
      <c r="AB18" s="31">
        <v>9.4784199999999998</v>
      </c>
      <c r="AC18" s="32">
        <v>9.5107499999999998</v>
      </c>
      <c r="AD18" s="8">
        <f t="shared" si="10"/>
        <v>8.7191428571429697E-2</v>
      </c>
      <c r="AE18" s="8">
        <f t="shared" si="10"/>
        <v>7.6115714285716507E-2</v>
      </c>
      <c r="AF18" s="8">
        <f t="shared" si="10"/>
        <v>7.2722857142858643E-2</v>
      </c>
      <c r="AG18" s="33">
        <f t="shared" si="10"/>
        <v>6.5380000000001104E-2</v>
      </c>
      <c r="AH18" s="8"/>
      <c r="AI18" s="30"/>
      <c r="AJ18" s="31"/>
      <c r="AK18" s="31"/>
      <c r="AL18" s="32"/>
      <c r="AM18" s="8" t="str">
        <f t="shared" si="11"/>
        <v/>
      </c>
      <c r="AN18" s="8" t="str">
        <f t="shared" si="11"/>
        <v/>
      </c>
      <c r="AO18" s="8" t="str">
        <f t="shared" si="11"/>
        <v/>
      </c>
      <c r="AP18" s="33" t="str">
        <f t="shared" si="11"/>
        <v/>
      </c>
      <c r="AR18" s="30">
        <v>11.29213</v>
      </c>
      <c r="AS18" s="31">
        <v>11.268990000000001</v>
      </c>
      <c r="AT18" s="31">
        <v>11.379530000000001</v>
      </c>
      <c r="AU18" s="32">
        <v>11.26652</v>
      </c>
      <c r="AV18" s="8">
        <f t="shared" si="12"/>
        <v>6.5828571428578897E-3</v>
      </c>
      <c r="AW18" s="8">
        <f t="shared" si="12"/>
        <v>1.9405714285714026E-2</v>
      </c>
      <c r="AX18" s="8">
        <f t="shared" si="12"/>
        <v>2.6757142857150029E-3</v>
      </c>
      <c r="AY18" s="33">
        <f t="shared" si="12"/>
        <v>-1.1765714285713713E-2</v>
      </c>
      <c r="BA18" s="30">
        <v>1.5109699999999999</v>
      </c>
      <c r="BB18" s="31">
        <v>1.63517</v>
      </c>
      <c r="BC18" s="31">
        <v>1.6275299999999999</v>
      </c>
      <c r="BD18" s="32">
        <v>1.6476599999999999</v>
      </c>
      <c r="BE18" s="8">
        <f t="shared" si="13"/>
        <v>8.479999999999821E-3</v>
      </c>
      <c r="BF18" s="8">
        <f t="shared" si="13"/>
        <v>3.8859999999999895E-2</v>
      </c>
      <c r="BG18" s="8">
        <f t="shared" si="13"/>
        <v>5.6719999999999882E-2</v>
      </c>
      <c r="BH18" s="33">
        <f t="shared" si="13"/>
        <v>7.6752857142857067E-2</v>
      </c>
      <c r="BJ18" s="30">
        <v>3.5751300000000001</v>
      </c>
      <c r="BK18" s="31">
        <v>3.3934299999999999</v>
      </c>
      <c r="BL18" s="31">
        <v>3.4683999999999999</v>
      </c>
      <c r="BM18" s="32">
        <v>3.5383300000000002</v>
      </c>
      <c r="BN18" s="8">
        <f t="shared" si="14"/>
        <v>-8.8282857142856663E-2</v>
      </c>
      <c r="BO18" s="8">
        <f t="shared" si="14"/>
        <v>-7.5940000000000119E-2</v>
      </c>
      <c r="BP18" s="8">
        <f t="shared" si="14"/>
        <v>-6.2792857142857539E-2</v>
      </c>
      <c r="BQ18" s="33">
        <f t="shared" si="14"/>
        <v>-6.853714285714263E-2</v>
      </c>
      <c r="BS18" s="30">
        <v>1.03396</v>
      </c>
      <c r="BT18" s="31">
        <v>1.5241899999999999</v>
      </c>
      <c r="BU18" s="31">
        <v>1.0497300000000001</v>
      </c>
      <c r="BV18" s="32">
        <v>0.89605999999999997</v>
      </c>
      <c r="BW18" s="8">
        <f t="shared" si="15"/>
        <v>-0.21455714285714289</v>
      </c>
      <c r="BX18" s="8">
        <f t="shared" si="15"/>
        <v>-0.15492714285714282</v>
      </c>
      <c r="BY18" s="8">
        <f t="shared" si="15"/>
        <v>-0.1538314285714284</v>
      </c>
      <c r="BZ18" s="33">
        <f t="shared" si="15"/>
        <v>-0.15525571428571416</v>
      </c>
    </row>
    <row r="19" spans="1:78" x14ac:dyDescent="0.25">
      <c r="A19" s="28"/>
      <c r="B19" s="8">
        <v>24.3</v>
      </c>
      <c r="C19" s="8">
        <v>24.3</v>
      </c>
      <c r="D19" s="8">
        <v>24.3</v>
      </c>
      <c r="E19" s="8">
        <v>24.3</v>
      </c>
      <c r="F19" s="29">
        <v>22</v>
      </c>
      <c r="H19" s="30">
        <v>85.435850000000002</v>
      </c>
      <c r="I19" s="31">
        <v>84.827280000000002</v>
      </c>
      <c r="J19" s="31">
        <v>85.69153</v>
      </c>
      <c r="K19" s="32">
        <v>85.80668</v>
      </c>
      <c r="L19" s="8">
        <f t="shared" si="8"/>
        <v>0.206781428571432</v>
      </c>
      <c r="M19" s="8">
        <f t="shared" si="8"/>
        <v>0.29229285714284003</v>
      </c>
      <c r="N19" s="8">
        <f t="shared" si="8"/>
        <v>0.31570714285713564</v>
      </c>
      <c r="O19" s="33">
        <f t="shared" si="8"/>
        <v>0.26184142857141524</v>
      </c>
      <c r="P19" s="8"/>
      <c r="Q19" s="30">
        <v>72.049250000000001</v>
      </c>
      <c r="R19" s="31">
        <v>72.110339999999994</v>
      </c>
      <c r="S19" s="31">
        <v>72.244829999999993</v>
      </c>
      <c r="T19" s="32">
        <v>72.174549999999996</v>
      </c>
      <c r="U19" s="8">
        <f t="shared" si="9"/>
        <v>0.23873571428570983</v>
      </c>
      <c r="V19" s="8">
        <f t="shared" si="9"/>
        <v>0.166812857142844</v>
      </c>
      <c r="W19" s="8">
        <f t="shared" si="9"/>
        <v>0.19733714285713688</v>
      </c>
      <c r="X19" s="33">
        <f t="shared" si="9"/>
        <v>0.15143428571427364</v>
      </c>
      <c r="Y19" s="8"/>
      <c r="Z19" s="30">
        <v>8.8013700000000004</v>
      </c>
      <c r="AA19" s="31">
        <v>9.3396100000000004</v>
      </c>
      <c r="AB19" s="31">
        <v>9.4481900000000003</v>
      </c>
      <c r="AC19" s="32">
        <v>9.5653199999999998</v>
      </c>
      <c r="AD19" s="8">
        <f t="shared" si="10"/>
        <v>-9.9888571428570216E-2</v>
      </c>
      <c r="AE19" s="8">
        <f t="shared" si="10"/>
        <v>4.8565714285716766E-2</v>
      </c>
      <c r="AF19" s="8">
        <f t="shared" si="10"/>
        <v>4.2492857142859108E-2</v>
      </c>
      <c r="AG19" s="33">
        <f t="shared" si="10"/>
        <v>0.11995000000000111</v>
      </c>
      <c r="AH19" s="8"/>
      <c r="AI19" s="30"/>
      <c r="AJ19" s="31"/>
      <c r="AK19" s="31"/>
      <c r="AL19" s="32"/>
      <c r="AM19" s="8" t="str">
        <f t="shared" si="11"/>
        <v/>
      </c>
      <c r="AN19" s="8" t="str">
        <f t="shared" si="11"/>
        <v/>
      </c>
      <c r="AO19" s="8" t="str">
        <f t="shared" si="11"/>
        <v/>
      </c>
      <c r="AP19" s="33" t="str">
        <f t="shared" si="11"/>
        <v/>
      </c>
      <c r="AR19" s="30">
        <v>11.027939999999999</v>
      </c>
      <c r="AS19" s="31">
        <v>11.036239999999999</v>
      </c>
      <c r="AT19" s="31">
        <v>11.16206</v>
      </c>
      <c r="AU19" s="32">
        <v>11.05822</v>
      </c>
      <c r="AV19" s="8">
        <f t="shared" si="12"/>
        <v>-0.25760714285714315</v>
      </c>
      <c r="AW19" s="8">
        <f t="shared" si="12"/>
        <v>-0.2133442857142871</v>
      </c>
      <c r="AX19" s="8">
        <f t="shared" si="12"/>
        <v>-0.21479428571428549</v>
      </c>
      <c r="AY19" s="33">
        <f t="shared" si="12"/>
        <v>-0.2200657142857132</v>
      </c>
      <c r="BA19" s="30">
        <v>1.33087</v>
      </c>
      <c r="BB19" s="31">
        <v>1.4842299999999999</v>
      </c>
      <c r="BC19" s="31">
        <v>1.44529</v>
      </c>
      <c r="BD19" s="32">
        <v>1.4289499999999999</v>
      </c>
      <c r="BE19" s="8">
        <f t="shared" si="13"/>
        <v>-0.17162000000000011</v>
      </c>
      <c r="BF19" s="8">
        <f t="shared" si="13"/>
        <v>-0.11208000000000018</v>
      </c>
      <c r="BG19" s="8">
        <f t="shared" si="13"/>
        <v>-0.12552000000000008</v>
      </c>
      <c r="BH19" s="33">
        <f t="shared" si="13"/>
        <v>-0.14195714285714289</v>
      </c>
      <c r="BJ19" s="30">
        <v>3.9204500000000002</v>
      </c>
      <c r="BK19" s="31">
        <v>3.67536</v>
      </c>
      <c r="BL19" s="31">
        <v>3.7748499999999998</v>
      </c>
      <c r="BM19" s="32">
        <v>3.8716699999999999</v>
      </c>
      <c r="BN19" s="8">
        <f t="shared" si="14"/>
        <v>0.25703714285714341</v>
      </c>
      <c r="BO19" s="8">
        <f t="shared" si="14"/>
        <v>0.2059899999999999</v>
      </c>
      <c r="BP19" s="8">
        <f t="shared" si="14"/>
        <v>0.24365714285714235</v>
      </c>
      <c r="BQ19" s="33">
        <f t="shared" si="14"/>
        <v>0.26480285714285712</v>
      </c>
      <c r="BS19" s="30">
        <v>1.25935</v>
      </c>
      <c r="BT19" s="31">
        <v>1.71434</v>
      </c>
      <c r="BU19" s="31">
        <v>1.25058</v>
      </c>
      <c r="BV19" s="32">
        <v>1.1515</v>
      </c>
      <c r="BW19" s="8">
        <f t="shared" si="15"/>
        <v>1.0832857142857089E-2</v>
      </c>
      <c r="BX19" s="8">
        <f t="shared" si="15"/>
        <v>3.5222857142857222E-2</v>
      </c>
      <c r="BY19" s="8">
        <f t="shared" si="15"/>
        <v>4.7018571428571576E-2</v>
      </c>
      <c r="BZ19" s="33">
        <f t="shared" si="15"/>
        <v>0.10018428571428584</v>
      </c>
    </row>
    <row r="20" spans="1:78" x14ac:dyDescent="0.25">
      <c r="A20" s="28"/>
      <c r="B20" s="8">
        <v>20.5</v>
      </c>
      <c r="C20" s="8">
        <v>20.75</v>
      </c>
      <c r="D20" s="8">
        <v>20.55</v>
      </c>
      <c r="E20" s="8">
        <v>20.6</v>
      </c>
      <c r="F20" s="29">
        <v>27</v>
      </c>
      <c r="H20" s="30">
        <v>85.589399999999998</v>
      </c>
      <c r="I20" s="31">
        <v>85.122150000000005</v>
      </c>
      <c r="J20" s="31">
        <v>85.791939999999997</v>
      </c>
      <c r="K20" s="32">
        <v>86.116029999999995</v>
      </c>
      <c r="L20" s="8">
        <f t="shared" si="8"/>
        <v>0.36033142857142764</v>
      </c>
      <c r="M20" s="8">
        <f t="shared" si="8"/>
        <v>0.58716285714284311</v>
      </c>
      <c r="N20" s="8">
        <f t="shared" si="8"/>
        <v>0.41611714285713219</v>
      </c>
      <c r="O20" s="33">
        <f t="shared" si="8"/>
        <v>0.57119142857141014</v>
      </c>
      <c r="P20" s="8"/>
      <c r="Q20" s="30">
        <v>71.901219999999995</v>
      </c>
      <c r="R20" s="31">
        <v>71.933530000000005</v>
      </c>
      <c r="S20" s="31">
        <v>72.150210000000001</v>
      </c>
      <c r="T20" s="32">
        <v>72.113919999999993</v>
      </c>
      <c r="U20" s="8">
        <f t="shared" si="9"/>
        <v>9.0705714285704175E-2</v>
      </c>
      <c r="V20" s="8">
        <f t="shared" si="9"/>
        <v>-9.997142857145036E-3</v>
      </c>
      <c r="W20" s="8">
        <f t="shared" si="9"/>
        <v>0.10271714285714495</v>
      </c>
      <c r="X20" s="33">
        <f t="shared" si="9"/>
        <v>9.080428571427035E-2</v>
      </c>
      <c r="Y20" s="8"/>
      <c r="Z20" s="30">
        <v>8.7163199999999996</v>
      </c>
      <c r="AA20" s="31">
        <v>9.26004</v>
      </c>
      <c r="AB20" s="31">
        <v>9.3949700000000007</v>
      </c>
      <c r="AC20" s="32">
        <v>9.50854</v>
      </c>
      <c r="AD20" s="8">
        <f t="shared" si="10"/>
        <v>-0.18493857142857095</v>
      </c>
      <c r="AE20" s="8">
        <f t="shared" si="10"/>
        <v>-3.1004285714283597E-2</v>
      </c>
      <c r="AF20" s="8">
        <f t="shared" si="10"/>
        <v>-1.0727142857140493E-2</v>
      </c>
      <c r="AG20" s="33">
        <f t="shared" si="10"/>
        <v>6.3170000000001281E-2</v>
      </c>
      <c r="AH20" s="8"/>
      <c r="AI20" s="30"/>
      <c r="AJ20" s="31"/>
      <c r="AK20" s="31"/>
      <c r="AL20" s="32"/>
      <c r="AM20" s="8" t="str">
        <f t="shared" si="11"/>
        <v/>
      </c>
      <c r="AN20" s="8" t="str">
        <f t="shared" si="11"/>
        <v/>
      </c>
      <c r="AO20" s="8" t="str">
        <f t="shared" si="11"/>
        <v/>
      </c>
      <c r="AP20" s="33" t="str">
        <f t="shared" si="11"/>
        <v/>
      </c>
      <c r="AR20" s="30">
        <v>10.917479999999999</v>
      </c>
      <c r="AS20" s="31">
        <v>10.9391</v>
      </c>
      <c r="AT20" s="31">
        <v>11.08694</v>
      </c>
      <c r="AU20" s="32">
        <v>11.008850000000001</v>
      </c>
      <c r="AV20" s="8">
        <f t="shared" si="12"/>
        <v>-0.36806714285714293</v>
      </c>
      <c r="AW20" s="8">
        <f t="shared" si="12"/>
        <v>-0.31048428571428666</v>
      </c>
      <c r="AX20" s="8">
        <f t="shared" si="12"/>
        <v>-0.28991428571428557</v>
      </c>
      <c r="AY20" s="33">
        <f t="shared" si="12"/>
        <v>-0.26943571428571289</v>
      </c>
      <c r="BA20" s="30">
        <v>1.3407</v>
      </c>
      <c r="BB20" s="31">
        <v>1.4675499999999999</v>
      </c>
      <c r="BC20" s="31">
        <v>1.41557</v>
      </c>
      <c r="BD20" s="32">
        <v>1.40578</v>
      </c>
      <c r="BE20" s="8">
        <f t="shared" si="13"/>
        <v>-0.1617900000000001</v>
      </c>
      <c r="BF20" s="8">
        <f t="shared" si="13"/>
        <v>-0.12876000000000021</v>
      </c>
      <c r="BG20" s="8">
        <f t="shared" si="13"/>
        <v>-0.15524000000000004</v>
      </c>
      <c r="BH20" s="33">
        <f t="shared" si="13"/>
        <v>-0.16512714285714281</v>
      </c>
      <c r="BJ20" s="30">
        <v>4.0028600000000001</v>
      </c>
      <c r="BK20" s="31">
        <v>3.7246800000000002</v>
      </c>
      <c r="BL20" s="31">
        <v>3.8172899999999998</v>
      </c>
      <c r="BM20" s="32">
        <v>3.9234399999999998</v>
      </c>
      <c r="BN20" s="8">
        <f t="shared" si="14"/>
        <v>0.33944714285714328</v>
      </c>
      <c r="BO20" s="8">
        <f t="shared" si="14"/>
        <v>0.25531000000000015</v>
      </c>
      <c r="BP20" s="8">
        <f t="shared" si="14"/>
        <v>0.28609714285714238</v>
      </c>
      <c r="BQ20" s="33">
        <f t="shared" si="14"/>
        <v>0.31657285714285699</v>
      </c>
      <c r="BS20" s="30">
        <v>1.2930600000000001</v>
      </c>
      <c r="BT20" s="31">
        <v>1.74058</v>
      </c>
      <c r="BU20" s="31">
        <v>1.2797000000000001</v>
      </c>
      <c r="BV20" s="32">
        <v>1.1268</v>
      </c>
      <c r="BW20" s="8">
        <f t="shared" si="15"/>
        <v>4.4542857142857217E-2</v>
      </c>
      <c r="BX20" s="8">
        <f t="shared" si="15"/>
        <v>6.1462857142857263E-2</v>
      </c>
      <c r="BY20" s="8">
        <f t="shared" si="15"/>
        <v>7.6138571428571611E-2</v>
      </c>
      <c r="BZ20" s="33">
        <f t="shared" si="15"/>
        <v>7.5484285714285893E-2</v>
      </c>
    </row>
    <row r="21" spans="1:78" x14ac:dyDescent="0.25">
      <c r="A21" s="28"/>
      <c r="B21" s="8">
        <v>12.4</v>
      </c>
      <c r="C21" s="8">
        <v>12.4</v>
      </c>
      <c r="D21" s="8">
        <v>12.5</v>
      </c>
      <c r="E21" s="8">
        <v>12.850000000000001</v>
      </c>
      <c r="F21" s="29">
        <v>32</v>
      </c>
      <c r="H21" s="30">
        <v>85.737729999999999</v>
      </c>
      <c r="I21" s="31">
        <v>85.332700000000003</v>
      </c>
      <c r="J21" s="31">
        <v>85.897859999999994</v>
      </c>
      <c r="K21" s="32">
        <v>86.261160000000004</v>
      </c>
      <c r="L21" s="8">
        <f t="shared" si="8"/>
        <v>0.50866142857142904</v>
      </c>
      <c r="M21" s="8">
        <f t="shared" si="8"/>
        <v>0.7977128571428409</v>
      </c>
      <c r="N21" s="8">
        <f t="shared" si="8"/>
        <v>0.52203714285712977</v>
      </c>
      <c r="O21" s="33">
        <f t="shared" si="8"/>
        <v>0.71632142857141901</v>
      </c>
      <c r="P21" s="8"/>
      <c r="Q21" s="30">
        <v>71.784419999999997</v>
      </c>
      <c r="R21" s="31">
        <v>71.823130000000006</v>
      </c>
      <c r="S21" s="31">
        <v>72.060209999999998</v>
      </c>
      <c r="T21" s="32">
        <v>71.984800000000007</v>
      </c>
      <c r="U21" s="8">
        <f t="shared" si="9"/>
        <v>-2.6094285714293619E-2</v>
      </c>
      <c r="V21" s="8">
        <f t="shared" si="9"/>
        <v>-0.12039714285714354</v>
      </c>
      <c r="W21" s="8">
        <f t="shared" si="9"/>
        <v>1.2717142857141539E-2</v>
      </c>
      <c r="X21" s="33">
        <f t="shared" si="9"/>
        <v>-3.8315714285715785E-2</v>
      </c>
      <c r="Y21" s="8"/>
      <c r="Z21" s="30">
        <v>8.6538400000000006</v>
      </c>
      <c r="AA21" s="31">
        <v>9.2299699999999998</v>
      </c>
      <c r="AB21" s="31">
        <v>9.3346099999999996</v>
      </c>
      <c r="AC21" s="32">
        <v>9.5188799999999993</v>
      </c>
      <c r="AD21" s="8">
        <f t="shared" si="10"/>
        <v>-0.24741857142856993</v>
      </c>
      <c r="AE21" s="8">
        <f t="shared" si="10"/>
        <v>-6.107428571428386E-2</v>
      </c>
      <c r="AF21" s="8">
        <f t="shared" si="10"/>
        <v>-7.1087142857141572E-2</v>
      </c>
      <c r="AG21" s="33">
        <f t="shared" si="10"/>
        <v>7.351000000000063E-2</v>
      </c>
      <c r="AH21" s="8"/>
      <c r="AI21" s="30"/>
      <c r="AJ21" s="31"/>
      <c r="AK21" s="31"/>
      <c r="AL21" s="32"/>
      <c r="AM21" s="8" t="str">
        <f t="shared" si="11"/>
        <v/>
      </c>
      <c r="AN21" s="8" t="str">
        <f t="shared" si="11"/>
        <v/>
      </c>
      <c r="AO21" s="8" t="str">
        <f t="shared" si="11"/>
        <v/>
      </c>
      <c r="AP21" s="33" t="str">
        <f t="shared" si="11"/>
        <v/>
      </c>
      <c r="AR21" s="30">
        <v>10.818300000000001</v>
      </c>
      <c r="AS21" s="31">
        <v>10.86708</v>
      </c>
      <c r="AT21" s="31">
        <v>10.98312</v>
      </c>
      <c r="AU21" s="32">
        <v>10.905950000000001</v>
      </c>
      <c r="AV21" s="8">
        <f t="shared" si="12"/>
        <v>-0.46724714285714164</v>
      </c>
      <c r="AW21" s="8">
        <f t="shared" si="12"/>
        <v>-0.38250428571428685</v>
      </c>
      <c r="AX21" s="8">
        <f t="shared" si="12"/>
        <v>-0.39373428571428626</v>
      </c>
      <c r="AY21" s="33">
        <f t="shared" si="12"/>
        <v>-0.37233571428571288</v>
      </c>
      <c r="BA21" s="30">
        <v>1.37931</v>
      </c>
      <c r="BB21" s="31">
        <v>1.4892399999999999</v>
      </c>
      <c r="BC21" s="31">
        <v>1.4204600000000001</v>
      </c>
      <c r="BD21" s="32">
        <v>1.4152800000000001</v>
      </c>
      <c r="BE21" s="8">
        <f t="shared" si="13"/>
        <v>-0.12318000000000007</v>
      </c>
      <c r="BF21" s="8">
        <f t="shared" si="13"/>
        <v>-0.10707000000000022</v>
      </c>
      <c r="BG21" s="8">
        <f t="shared" si="13"/>
        <v>-0.15034999999999998</v>
      </c>
      <c r="BH21" s="33">
        <f t="shared" si="13"/>
        <v>-0.15562714285714274</v>
      </c>
      <c r="BJ21" s="30">
        <v>4.0553600000000003</v>
      </c>
      <c r="BK21" s="31">
        <v>3.7549600000000001</v>
      </c>
      <c r="BL21" s="31">
        <v>3.8689200000000001</v>
      </c>
      <c r="BM21" s="32">
        <v>3.9803500000000001</v>
      </c>
      <c r="BN21" s="8">
        <f t="shared" si="14"/>
        <v>0.39194714285714349</v>
      </c>
      <c r="BO21" s="8">
        <f t="shared" si="14"/>
        <v>0.28559000000000001</v>
      </c>
      <c r="BP21" s="8">
        <f t="shared" si="14"/>
        <v>0.33772714285714267</v>
      </c>
      <c r="BQ21" s="33">
        <f t="shared" si="14"/>
        <v>0.37348285714285723</v>
      </c>
      <c r="BS21" s="30">
        <v>1.3555900000000001</v>
      </c>
      <c r="BT21" s="31">
        <v>1.80976</v>
      </c>
      <c r="BU21" s="31">
        <v>1.34433</v>
      </c>
      <c r="BV21" s="32">
        <v>1.17195</v>
      </c>
      <c r="BW21" s="8">
        <f t="shared" si="15"/>
        <v>0.10707285714285719</v>
      </c>
      <c r="BX21" s="8">
        <f t="shared" si="15"/>
        <v>0.13064285714285728</v>
      </c>
      <c r="BY21" s="8">
        <f t="shared" si="15"/>
        <v>0.14076857142857158</v>
      </c>
      <c r="BZ21" s="33">
        <f t="shared" si="15"/>
        <v>0.12063428571428592</v>
      </c>
    </row>
    <row r="22" spans="1:78" x14ac:dyDescent="0.25">
      <c r="A22" s="21">
        <v>3</v>
      </c>
      <c r="B22" s="22"/>
      <c r="C22" s="22"/>
      <c r="D22" s="22"/>
      <c r="E22" s="22"/>
      <c r="F22" s="23"/>
      <c r="H22" s="24"/>
      <c r="I22" s="25"/>
      <c r="J22" s="25"/>
      <c r="K22" s="26"/>
      <c r="L22" s="22" t="str">
        <f t="shared" ref="L22:O28" si="16">IF(OR(H22="",H22="NaN"),"",H22-AVERAGE(H$22:H$28))</f>
        <v/>
      </c>
      <c r="M22" s="22" t="str">
        <f t="shared" si="16"/>
        <v/>
      </c>
      <c r="N22" s="22" t="str">
        <f t="shared" si="16"/>
        <v/>
      </c>
      <c r="O22" s="27" t="str">
        <f t="shared" si="16"/>
        <v/>
      </c>
      <c r="P22" s="8"/>
      <c r="Q22" s="24"/>
      <c r="R22" s="25"/>
      <c r="S22" s="25"/>
      <c r="T22" s="26"/>
      <c r="U22" s="22" t="str">
        <f t="shared" ref="U22:X28" si="17">IF(OR(Q22="",Q22="NaN"),"",Q22-AVERAGE(Q$22:Q$28))</f>
        <v/>
      </c>
      <c r="V22" s="22" t="str">
        <f t="shared" si="17"/>
        <v/>
      </c>
      <c r="W22" s="22" t="str">
        <f t="shared" si="17"/>
        <v/>
      </c>
      <c r="X22" s="27" t="str">
        <f t="shared" si="17"/>
        <v/>
      </c>
      <c r="Y22" s="8"/>
      <c r="Z22" s="24"/>
      <c r="AA22" s="25"/>
      <c r="AB22" s="25"/>
      <c r="AC22" s="26"/>
      <c r="AD22" s="22" t="str">
        <f t="shared" ref="AD22:AG28" si="18">IF(OR(Z22="",Z22="NaN"),"",Z22-AVERAGE(Z$22:Z$28))</f>
        <v/>
      </c>
      <c r="AE22" s="22" t="str">
        <f t="shared" si="18"/>
        <v/>
      </c>
      <c r="AF22" s="22" t="str">
        <f t="shared" si="18"/>
        <v/>
      </c>
      <c r="AG22" s="27" t="str">
        <f t="shared" si="18"/>
        <v/>
      </c>
      <c r="AH22" s="8"/>
      <c r="AI22" s="24"/>
      <c r="AJ22" s="25"/>
      <c r="AK22" s="25"/>
      <c r="AL22" s="26"/>
      <c r="AM22" s="22" t="str">
        <f t="shared" ref="AM22:AP28" si="19">IF(OR(AI22="",AI22="NaN"),"",AI22-AVERAGE(AI$22:AI$28))</f>
        <v/>
      </c>
      <c r="AN22" s="22" t="str">
        <f t="shared" si="19"/>
        <v/>
      </c>
      <c r="AO22" s="22" t="str">
        <f t="shared" si="19"/>
        <v/>
      </c>
      <c r="AP22" s="27" t="str">
        <f t="shared" si="19"/>
        <v/>
      </c>
      <c r="AR22" s="24"/>
      <c r="AS22" s="25"/>
      <c r="AT22" s="25"/>
      <c r="AU22" s="26"/>
      <c r="AV22" s="22" t="str">
        <f t="shared" ref="AV22:AY28" si="20">IF(OR(AR22="",AR22="NaN"),"",AR22-AVERAGE(AR$22:AR$28))</f>
        <v/>
      </c>
      <c r="AW22" s="22" t="str">
        <f t="shared" si="20"/>
        <v/>
      </c>
      <c r="AX22" s="22" t="str">
        <f t="shared" si="20"/>
        <v/>
      </c>
      <c r="AY22" s="27" t="str">
        <f t="shared" si="20"/>
        <v/>
      </c>
      <c r="BA22" s="24"/>
      <c r="BB22" s="25"/>
      <c r="BC22" s="25"/>
      <c r="BD22" s="26"/>
      <c r="BE22" s="22" t="str">
        <f t="shared" ref="BE22:BH28" si="21">IF(OR(BA22="",BA22="NaN"),"",BA22-AVERAGE(BA$22:BA$28))</f>
        <v/>
      </c>
      <c r="BF22" s="22" t="str">
        <f t="shared" si="21"/>
        <v/>
      </c>
      <c r="BG22" s="22" t="str">
        <f t="shared" si="21"/>
        <v/>
      </c>
      <c r="BH22" s="27" t="str">
        <f t="shared" si="21"/>
        <v/>
      </c>
      <c r="BJ22" s="24"/>
      <c r="BK22" s="25"/>
      <c r="BL22" s="25"/>
      <c r="BM22" s="26"/>
      <c r="BN22" s="22" t="str">
        <f t="shared" ref="BN22:BQ28" si="22">IF(OR(BJ22="",BJ22="NaN"),"",BJ22-AVERAGE(BJ$22:BJ$28))</f>
        <v/>
      </c>
      <c r="BO22" s="22" t="str">
        <f t="shared" si="22"/>
        <v/>
      </c>
      <c r="BP22" s="22" t="str">
        <f t="shared" si="22"/>
        <v/>
      </c>
      <c r="BQ22" s="27" t="str">
        <f t="shared" si="22"/>
        <v/>
      </c>
      <c r="BS22" s="24"/>
      <c r="BT22" s="25"/>
      <c r="BU22" s="25"/>
      <c r="BV22" s="26"/>
      <c r="BW22" s="22" t="str">
        <f t="shared" ref="BW22:BZ28" si="23">IF(OR(BS22="",BS22="NaN"),"",BS22-AVERAGE(BS$22:BS$28))</f>
        <v/>
      </c>
      <c r="BX22" s="22" t="str">
        <f t="shared" si="23"/>
        <v/>
      </c>
      <c r="BY22" s="22" t="str">
        <f t="shared" si="23"/>
        <v/>
      </c>
      <c r="BZ22" s="27" t="str">
        <f t="shared" si="23"/>
        <v/>
      </c>
    </row>
    <row r="23" spans="1:78" x14ac:dyDescent="0.25">
      <c r="A23" s="28"/>
      <c r="B23" s="8"/>
      <c r="C23" s="8"/>
      <c r="D23" s="8"/>
      <c r="E23" s="8"/>
      <c r="F23" s="29"/>
      <c r="H23" s="30"/>
      <c r="I23" s="31"/>
      <c r="J23" s="31"/>
      <c r="K23" s="32"/>
      <c r="L23" s="8" t="str">
        <f t="shared" si="16"/>
        <v/>
      </c>
      <c r="M23" s="8" t="str">
        <f t="shared" si="16"/>
        <v/>
      </c>
      <c r="N23" s="8" t="str">
        <f t="shared" si="16"/>
        <v/>
      </c>
      <c r="O23" s="33" t="str">
        <f t="shared" si="16"/>
        <v/>
      </c>
      <c r="P23" s="8"/>
      <c r="Q23" s="30"/>
      <c r="R23" s="31"/>
      <c r="S23" s="31"/>
      <c r="T23" s="32"/>
      <c r="U23" s="8" t="str">
        <f t="shared" si="17"/>
        <v/>
      </c>
      <c r="V23" s="8" t="str">
        <f t="shared" si="17"/>
        <v/>
      </c>
      <c r="W23" s="8" t="str">
        <f t="shared" si="17"/>
        <v/>
      </c>
      <c r="X23" s="33" t="str">
        <f t="shared" si="17"/>
        <v/>
      </c>
      <c r="Y23" s="8"/>
      <c r="Z23" s="30"/>
      <c r="AA23" s="31"/>
      <c r="AB23" s="31"/>
      <c r="AC23" s="32"/>
      <c r="AD23" s="8" t="str">
        <f t="shared" si="18"/>
        <v/>
      </c>
      <c r="AE23" s="8" t="str">
        <f t="shared" si="18"/>
        <v/>
      </c>
      <c r="AF23" s="8" t="str">
        <f t="shared" si="18"/>
        <v/>
      </c>
      <c r="AG23" s="33" t="str">
        <f t="shared" si="18"/>
        <v/>
      </c>
      <c r="AH23" s="8"/>
      <c r="AI23" s="30"/>
      <c r="AJ23" s="31"/>
      <c r="AK23" s="31"/>
      <c r="AL23" s="32"/>
      <c r="AM23" s="8" t="str">
        <f t="shared" si="19"/>
        <v/>
      </c>
      <c r="AN23" s="8" t="str">
        <f t="shared" si="19"/>
        <v/>
      </c>
      <c r="AO23" s="8" t="str">
        <f t="shared" si="19"/>
        <v/>
      </c>
      <c r="AP23" s="33" t="str">
        <f t="shared" si="19"/>
        <v/>
      </c>
      <c r="AR23" s="30"/>
      <c r="AS23" s="31"/>
      <c r="AT23" s="31"/>
      <c r="AU23" s="32"/>
      <c r="AV23" s="8" t="str">
        <f t="shared" si="20"/>
        <v/>
      </c>
      <c r="AW23" s="8" t="str">
        <f t="shared" si="20"/>
        <v/>
      </c>
      <c r="AX23" s="8" t="str">
        <f t="shared" si="20"/>
        <v/>
      </c>
      <c r="AY23" s="33" t="str">
        <f t="shared" si="20"/>
        <v/>
      </c>
      <c r="BA23" s="30"/>
      <c r="BB23" s="31"/>
      <c r="BC23" s="31"/>
      <c r="BD23" s="32"/>
      <c r="BE23" s="8" t="str">
        <f t="shared" si="21"/>
        <v/>
      </c>
      <c r="BF23" s="8" t="str">
        <f t="shared" si="21"/>
        <v/>
      </c>
      <c r="BG23" s="8" t="str">
        <f t="shared" si="21"/>
        <v/>
      </c>
      <c r="BH23" s="33" t="str">
        <f t="shared" si="21"/>
        <v/>
      </c>
      <c r="BJ23" s="30"/>
      <c r="BK23" s="31"/>
      <c r="BL23" s="31"/>
      <c r="BM23" s="32"/>
      <c r="BN23" s="8" t="str">
        <f t="shared" si="22"/>
        <v/>
      </c>
      <c r="BO23" s="8" t="str">
        <f t="shared" si="22"/>
        <v/>
      </c>
      <c r="BP23" s="8" t="str">
        <f t="shared" si="22"/>
        <v/>
      </c>
      <c r="BQ23" s="33" t="str">
        <f t="shared" si="22"/>
        <v/>
      </c>
      <c r="BS23" s="30"/>
      <c r="BT23" s="31"/>
      <c r="BU23" s="31"/>
      <c r="BV23" s="32"/>
      <c r="BW23" s="8" t="str">
        <f t="shared" si="23"/>
        <v/>
      </c>
      <c r="BX23" s="8" t="str">
        <f t="shared" si="23"/>
        <v/>
      </c>
      <c r="BY23" s="8" t="str">
        <f t="shared" si="23"/>
        <v/>
      </c>
      <c r="BZ23" s="33" t="str">
        <f t="shared" si="23"/>
        <v/>
      </c>
    </row>
    <row r="24" spans="1:78" x14ac:dyDescent="0.25">
      <c r="A24" s="28"/>
      <c r="B24" s="8"/>
      <c r="C24" s="8"/>
      <c r="D24" s="8"/>
      <c r="E24" s="8"/>
      <c r="F24" s="29"/>
      <c r="H24" s="30"/>
      <c r="I24" s="31"/>
      <c r="J24" s="31"/>
      <c r="K24" s="32"/>
      <c r="L24" s="8" t="str">
        <f t="shared" si="16"/>
        <v/>
      </c>
      <c r="M24" s="8" t="str">
        <f t="shared" si="16"/>
        <v/>
      </c>
      <c r="N24" s="8" t="str">
        <f t="shared" si="16"/>
        <v/>
      </c>
      <c r="O24" s="33" t="str">
        <f t="shared" si="16"/>
        <v/>
      </c>
      <c r="P24" s="8"/>
      <c r="Q24" s="30"/>
      <c r="R24" s="31"/>
      <c r="S24" s="31"/>
      <c r="T24" s="32"/>
      <c r="U24" s="8" t="str">
        <f t="shared" si="17"/>
        <v/>
      </c>
      <c r="V24" s="8" t="str">
        <f t="shared" si="17"/>
        <v/>
      </c>
      <c r="W24" s="8" t="str">
        <f t="shared" si="17"/>
        <v/>
      </c>
      <c r="X24" s="33" t="str">
        <f t="shared" si="17"/>
        <v/>
      </c>
      <c r="Y24" s="8"/>
      <c r="Z24" s="30"/>
      <c r="AA24" s="31"/>
      <c r="AB24" s="31"/>
      <c r="AC24" s="32"/>
      <c r="AD24" s="8" t="str">
        <f t="shared" si="18"/>
        <v/>
      </c>
      <c r="AE24" s="8" t="str">
        <f t="shared" si="18"/>
        <v/>
      </c>
      <c r="AF24" s="8" t="str">
        <f t="shared" si="18"/>
        <v/>
      </c>
      <c r="AG24" s="33" t="str">
        <f t="shared" si="18"/>
        <v/>
      </c>
      <c r="AH24" s="8"/>
      <c r="AI24" s="30"/>
      <c r="AJ24" s="31"/>
      <c r="AK24" s="31"/>
      <c r="AL24" s="32"/>
      <c r="AM24" s="8" t="str">
        <f t="shared" si="19"/>
        <v/>
      </c>
      <c r="AN24" s="8" t="str">
        <f t="shared" si="19"/>
        <v/>
      </c>
      <c r="AO24" s="8" t="str">
        <f t="shared" si="19"/>
        <v/>
      </c>
      <c r="AP24" s="33" t="str">
        <f t="shared" si="19"/>
        <v/>
      </c>
      <c r="AR24" s="30"/>
      <c r="AS24" s="31"/>
      <c r="AT24" s="31"/>
      <c r="AU24" s="32"/>
      <c r="AV24" s="8" t="str">
        <f t="shared" si="20"/>
        <v/>
      </c>
      <c r="AW24" s="8" t="str">
        <f t="shared" si="20"/>
        <v/>
      </c>
      <c r="AX24" s="8" t="str">
        <f t="shared" si="20"/>
        <v/>
      </c>
      <c r="AY24" s="33" t="str">
        <f t="shared" si="20"/>
        <v/>
      </c>
      <c r="BA24" s="30"/>
      <c r="BB24" s="31"/>
      <c r="BC24" s="31"/>
      <c r="BD24" s="32"/>
      <c r="BE24" s="8" t="str">
        <f t="shared" si="21"/>
        <v/>
      </c>
      <c r="BF24" s="8" t="str">
        <f t="shared" si="21"/>
        <v/>
      </c>
      <c r="BG24" s="8" t="str">
        <f t="shared" si="21"/>
        <v/>
      </c>
      <c r="BH24" s="33" t="str">
        <f t="shared" si="21"/>
        <v/>
      </c>
      <c r="BJ24" s="30"/>
      <c r="BK24" s="31"/>
      <c r="BL24" s="31"/>
      <c r="BM24" s="32"/>
      <c r="BN24" s="8" t="str">
        <f t="shared" si="22"/>
        <v/>
      </c>
      <c r="BO24" s="8" t="str">
        <f t="shared" si="22"/>
        <v/>
      </c>
      <c r="BP24" s="8" t="str">
        <f t="shared" si="22"/>
        <v/>
      </c>
      <c r="BQ24" s="33" t="str">
        <f t="shared" si="22"/>
        <v/>
      </c>
      <c r="BS24" s="30"/>
      <c r="BT24" s="31"/>
      <c r="BU24" s="31"/>
      <c r="BV24" s="32"/>
      <c r="BW24" s="8" t="str">
        <f t="shared" si="23"/>
        <v/>
      </c>
      <c r="BX24" s="8" t="str">
        <f t="shared" si="23"/>
        <v/>
      </c>
      <c r="BY24" s="8" t="str">
        <f t="shared" si="23"/>
        <v/>
      </c>
      <c r="BZ24" s="33" t="str">
        <f t="shared" si="23"/>
        <v/>
      </c>
    </row>
    <row r="25" spans="1:78" x14ac:dyDescent="0.25">
      <c r="A25" s="28"/>
      <c r="B25" s="8"/>
      <c r="C25" s="8"/>
      <c r="D25" s="8"/>
      <c r="E25" s="8"/>
      <c r="F25" s="29"/>
      <c r="H25" s="30"/>
      <c r="I25" s="31"/>
      <c r="J25" s="31"/>
      <c r="K25" s="32"/>
      <c r="L25" s="8" t="str">
        <f t="shared" si="16"/>
        <v/>
      </c>
      <c r="M25" s="8" t="str">
        <f t="shared" si="16"/>
        <v/>
      </c>
      <c r="N25" s="8" t="str">
        <f t="shared" si="16"/>
        <v/>
      </c>
      <c r="O25" s="33" t="str">
        <f t="shared" si="16"/>
        <v/>
      </c>
      <c r="P25" s="8"/>
      <c r="Q25" s="30"/>
      <c r="R25" s="31"/>
      <c r="S25" s="31"/>
      <c r="T25" s="32"/>
      <c r="U25" s="8" t="str">
        <f t="shared" si="17"/>
        <v/>
      </c>
      <c r="V25" s="8" t="str">
        <f t="shared" si="17"/>
        <v/>
      </c>
      <c r="W25" s="8" t="str">
        <f t="shared" si="17"/>
        <v/>
      </c>
      <c r="X25" s="33" t="str">
        <f t="shared" si="17"/>
        <v/>
      </c>
      <c r="Y25" s="8"/>
      <c r="Z25" s="30"/>
      <c r="AA25" s="31"/>
      <c r="AB25" s="31"/>
      <c r="AC25" s="32"/>
      <c r="AD25" s="8" t="str">
        <f t="shared" si="18"/>
        <v/>
      </c>
      <c r="AE25" s="8" t="str">
        <f t="shared" si="18"/>
        <v/>
      </c>
      <c r="AF25" s="8" t="str">
        <f t="shared" si="18"/>
        <v/>
      </c>
      <c r="AG25" s="33" t="str">
        <f t="shared" si="18"/>
        <v/>
      </c>
      <c r="AH25" s="8"/>
      <c r="AI25" s="30"/>
      <c r="AJ25" s="31"/>
      <c r="AK25" s="31"/>
      <c r="AL25" s="32"/>
      <c r="AM25" s="8" t="str">
        <f t="shared" si="19"/>
        <v/>
      </c>
      <c r="AN25" s="8" t="str">
        <f t="shared" si="19"/>
        <v/>
      </c>
      <c r="AO25" s="8" t="str">
        <f t="shared" si="19"/>
        <v/>
      </c>
      <c r="AP25" s="33" t="str">
        <f t="shared" si="19"/>
        <v/>
      </c>
      <c r="AR25" s="30"/>
      <c r="AS25" s="31"/>
      <c r="AT25" s="31"/>
      <c r="AU25" s="32"/>
      <c r="AV25" s="8" t="str">
        <f t="shared" si="20"/>
        <v/>
      </c>
      <c r="AW25" s="8" t="str">
        <f t="shared" si="20"/>
        <v/>
      </c>
      <c r="AX25" s="8" t="str">
        <f t="shared" si="20"/>
        <v/>
      </c>
      <c r="AY25" s="33" t="str">
        <f t="shared" si="20"/>
        <v/>
      </c>
      <c r="BA25" s="30"/>
      <c r="BB25" s="31"/>
      <c r="BC25" s="31"/>
      <c r="BD25" s="32"/>
      <c r="BE25" s="8" t="str">
        <f t="shared" si="21"/>
        <v/>
      </c>
      <c r="BF25" s="8" t="str">
        <f t="shared" si="21"/>
        <v/>
      </c>
      <c r="BG25" s="8" t="str">
        <f t="shared" si="21"/>
        <v/>
      </c>
      <c r="BH25" s="33" t="str">
        <f t="shared" si="21"/>
        <v/>
      </c>
      <c r="BJ25" s="30"/>
      <c r="BK25" s="31"/>
      <c r="BL25" s="31"/>
      <c r="BM25" s="32"/>
      <c r="BN25" s="8" t="str">
        <f t="shared" si="22"/>
        <v/>
      </c>
      <c r="BO25" s="8" t="str">
        <f t="shared" si="22"/>
        <v/>
      </c>
      <c r="BP25" s="8" t="str">
        <f t="shared" si="22"/>
        <v/>
      </c>
      <c r="BQ25" s="33" t="str">
        <f t="shared" si="22"/>
        <v/>
      </c>
      <c r="BS25" s="30"/>
      <c r="BT25" s="31"/>
      <c r="BU25" s="31"/>
      <c r="BV25" s="32"/>
      <c r="BW25" s="8" t="str">
        <f t="shared" si="23"/>
        <v/>
      </c>
      <c r="BX25" s="8" t="str">
        <f t="shared" si="23"/>
        <v/>
      </c>
      <c r="BY25" s="8" t="str">
        <f t="shared" si="23"/>
        <v/>
      </c>
      <c r="BZ25" s="33" t="str">
        <f t="shared" si="23"/>
        <v/>
      </c>
    </row>
    <row r="26" spans="1:78" x14ac:dyDescent="0.25">
      <c r="A26" s="28"/>
      <c r="B26" s="8"/>
      <c r="C26" s="8"/>
      <c r="D26" s="8"/>
      <c r="E26" s="8"/>
      <c r="F26" s="29"/>
      <c r="H26" s="30"/>
      <c r="I26" s="31"/>
      <c r="J26" s="31"/>
      <c r="K26" s="32"/>
      <c r="L26" s="8" t="str">
        <f t="shared" si="16"/>
        <v/>
      </c>
      <c r="M26" s="8" t="str">
        <f t="shared" si="16"/>
        <v/>
      </c>
      <c r="N26" s="8" t="str">
        <f t="shared" si="16"/>
        <v/>
      </c>
      <c r="O26" s="33" t="str">
        <f t="shared" si="16"/>
        <v/>
      </c>
      <c r="P26" s="8"/>
      <c r="Q26" s="30"/>
      <c r="R26" s="31"/>
      <c r="S26" s="31"/>
      <c r="T26" s="32"/>
      <c r="U26" s="8" t="str">
        <f t="shared" si="17"/>
        <v/>
      </c>
      <c r="V26" s="8" t="str">
        <f t="shared" si="17"/>
        <v/>
      </c>
      <c r="W26" s="8" t="str">
        <f t="shared" si="17"/>
        <v/>
      </c>
      <c r="X26" s="33" t="str">
        <f t="shared" si="17"/>
        <v/>
      </c>
      <c r="Y26" s="8"/>
      <c r="Z26" s="30"/>
      <c r="AA26" s="31"/>
      <c r="AB26" s="31"/>
      <c r="AC26" s="32"/>
      <c r="AD26" s="8" t="str">
        <f t="shared" si="18"/>
        <v/>
      </c>
      <c r="AE26" s="8" t="str">
        <f t="shared" si="18"/>
        <v/>
      </c>
      <c r="AF26" s="8" t="str">
        <f t="shared" si="18"/>
        <v/>
      </c>
      <c r="AG26" s="33" t="str">
        <f t="shared" si="18"/>
        <v/>
      </c>
      <c r="AH26" s="8"/>
      <c r="AI26" s="30"/>
      <c r="AJ26" s="31"/>
      <c r="AK26" s="31"/>
      <c r="AL26" s="32"/>
      <c r="AM26" s="8" t="str">
        <f t="shared" si="19"/>
        <v/>
      </c>
      <c r="AN26" s="8" t="str">
        <f t="shared" si="19"/>
        <v/>
      </c>
      <c r="AO26" s="8" t="str">
        <f t="shared" si="19"/>
        <v/>
      </c>
      <c r="AP26" s="33" t="str">
        <f t="shared" si="19"/>
        <v/>
      </c>
      <c r="AR26" s="30"/>
      <c r="AS26" s="31"/>
      <c r="AT26" s="31"/>
      <c r="AU26" s="32"/>
      <c r="AV26" s="8" t="str">
        <f t="shared" si="20"/>
        <v/>
      </c>
      <c r="AW26" s="8" t="str">
        <f t="shared" si="20"/>
        <v/>
      </c>
      <c r="AX26" s="8" t="str">
        <f t="shared" si="20"/>
        <v/>
      </c>
      <c r="AY26" s="33" t="str">
        <f t="shared" si="20"/>
        <v/>
      </c>
      <c r="BA26" s="30"/>
      <c r="BB26" s="31"/>
      <c r="BC26" s="31"/>
      <c r="BD26" s="32"/>
      <c r="BE26" s="8" t="str">
        <f t="shared" si="21"/>
        <v/>
      </c>
      <c r="BF26" s="8" t="str">
        <f t="shared" si="21"/>
        <v/>
      </c>
      <c r="BG26" s="8" t="str">
        <f t="shared" si="21"/>
        <v/>
      </c>
      <c r="BH26" s="33" t="str">
        <f t="shared" si="21"/>
        <v/>
      </c>
      <c r="BJ26" s="30"/>
      <c r="BK26" s="31"/>
      <c r="BL26" s="31"/>
      <c r="BM26" s="32"/>
      <c r="BN26" s="8" t="str">
        <f t="shared" si="22"/>
        <v/>
      </c>
      <c r="BO26" s="8" t="str">
        <f t="shared" si="22"/>
        <v/>
      </c>
      <c r="BP26" s="8" t="str">
        <f t="shared" si="22"/>
        <v/>
      </c>
      <c r="BQ26" s="33" t="str">
        <f t="shared" si="22"/>
        <v/>
      </c>
      <c r="BS26" s="30"/>
      <c r="BT26" s="31"/>
      <c r="BU26" s="31"/>
      <c r="BV26" s="32"/>
      <c r="BW26" s="8" t="str">
        <f t="shared" si="23"/>
        <v/>
      </c>
      <c r="BX26" s="8" t="str">
        <f t="shared" si="23"/>
        <v/>
      </c>
      <c r="BY26" s="8" t="str">
        <f t="shared" si="23"/>
        <v/>
      </c>
      <c r="BZ26" s="33" t="str">
        <f t="shared" si="23"/>
        <v/>
      </c>
    </row>
    <row r="27" spans="1:78" x14ac:dyDescent="0.25">
      <c r="A27" s="28"/>
      <c r="B27" s="8"/>
      <c r="C27" s="8"/>
      <c r="D27" s="8"/>
      <c r="E27" s="8"/>
      <c r="F27" s="29"/>
      <c r="H27" s="30"/>
      <c r="I27" s="31"/>
      <c r="J27" s="31"/>
      <c r="K27" s="32"/>
      <c r="L27" s="8" t="str">
        <f t="shared" si="16"/>
        <v/>
      </c>
      <c r="M27" s="8" t="str">
        <f t="shared" si="16"/>
        <v/>
      </c>
      <c r="N27" s="8" t="str">
        <f t="shared" si="16"/>
        <v/>
      </c>
      <c r="O27" s="33" t="str">
        <f t="shared" si="16"/>
        <v/>
      </c>
      <c r="P27" s="8"/>
      <c r="Q27" s="30"/>
      <c r="R27" s="31"/>
      <c r="S27" s="31"/>
      <c r="T27" s="32"/>
      <c r="U27" s="8" t="str">
        <f t="shared" si="17"/>
        <v/>
      </c>
      <c r="V27" s="8" t="str">
        <f t="shared" si="17"/>
        <v/>
      </c>
      <c r="W27" s="8" t="str">
        <f t="shared" si="17"/>
        <v/>
      </c>
      <c r="X27" s="33" t="str">
        <f t="shared" si="17"/>
        <v/>
      </c>
      <c r="Y27" s="8"/>
      <c r="Z27" s="30"/>
      <c r="AA27" s="31"/>
      <c r="AB27" s="31"/>
      <c r="AC27" s="32"/>
      <c r="AD27" s="8" t="str">
        <f t="shared" si="18"/>
        <v/>
      </c>
      <c r="AE27" s="8" t="str">
        <f t="shared" si="18"/>
        <v/>
      </c>
      <c r="AF27" s="8" t="str">
        <f t="shared" si="18"/>
        <v/>
      </c>
      <c r="AG27" s="33" t="str">
        <f t="shared" si="18"/>
        <v/>
      </c>
      <c r="AH27" s="8"/>
      <c r="AI27" s="30"/>
      <c r="AJ27" s="31"/>
      <c r="AK27" s="31"/>
      <c r="AL27" s="32"/>
      <c r="AM27" s="8" t="str">
        <f t="shared" si="19"/>
        <v/>
      </c>
      <c r="AN27" s="8" t="str">
        <f t="shared" si="19"/>
        <v/>
      </c>
      <c r="AO27" s="8" t="str">
        <f t="shared" si="19"/>
        <v/>
      </c>
      <c r="AP27" s="33" t="str">
        <f t="shared" si="19"/>
        <v/>
      </c>
      <c r="AR27" s="30"/>
      <c r="AS27" s="31"/>
      <c r="AT27" s="31"/>
      <c r="AU27" s="32"/>
      <c r="AV27" s="8" t="str">
        <f t="shared" si="20"/>
        <v/>
      </c>
      <c r="AW27" s="8" t="str">
        <f t="shared" si="20"/>
        <v/>
      </c>
      <c r="AX27" s="8" t="str">
        <f t="shared" si="20"/>
        <v/>
      </c>
      <c r="AY27" s="33" t="str">
        <f t="shared" si="20"/>
        <v/>
      </c>
      <c r="BA27" s="30"/>
      <c r="BB27" s="31"/>
      <c r="BC27" s="31"/>
      <c r="BD27" s="32"/>
      <c r="BE27" s="8" t="str">
        <f t="shared" si="21"/>
        <v/>
      </c>
      <c r="BF27" s="8" t="str">
        <f t="shared" si="21"/>
        <v/>
      </c>
      <c r="BG27" s="8" t="str">
        <f t="shared" si="21"/>
        <v/>
      </c>
      <c r="BH27" s="33" t="str">
        <f t="shared" si="21"/>
        <v/>
      </c>
      <c r="BJ27" s="30"/>
      <c r="BK27" s="31"/>
      <c r="BL27" s="31"/>
      <c r="BM27" s="32"/>
      <c r="BN27" s="8" t="str">
        <f t="shared" si="22"/>
        <v/>
      </c>
      <c r="BO27" s="8" t="str">
        <f t="shared" si="22"/>
        <v/>
      </c>
      <c r="BP27" s="8" t="str">
        <f t="shared" si="22"/>
        <v/>
      </c>
      <c r="BQ27" s="33" t="str">
        <f t="shared" si="22"/>
        <v/>
      </c>
      <c r="BS27" s="30"/>
      <c r="BT27" s="31"/>
      <c r="BU27" s="31"/>
      <c r="BV27" s="32"/>
      <c r="BW27" s="8" t="str">
        <f t="shared" si="23"/>
        <v/>
      </c>
      <c r="BX27" s="8" t="str">
        <f t="shared" si="23"/>
        <v/>
      </c>
      <c r="BY27" s="8" t="str">
        <f t="shared" si="23"/>
        <v/>
      </c>
      <c r="BZ27" s="33" t="str">
        <f t="shared" si="23"/>
        <v/>
      </c>
    </row>
    <row r="28" spans="1:78" x14ac:dyDescent="0.25">
      <c r="A28" s="34"/>
      <c r="B28" s="35"/>
      <c r="C28" s="35"/>
      <c r="D28" s="35"/>
      <c r="E28" s="35"/>
      <c r="F28" s="36"/>
      <c r="H28" s="37"/>
      <c r="I28" s="38"/>
      <c r="J28" s="38"/>
      <c r="K28" s="39"/>
      <c r="L28" s="35" t="str">
        <f t="shared" si="16"/>
        <v/>
      </c>
      <c r="M28" s="35" t="str">
        <f t="shared" si="16"/>
        <v/>
      </c>
      <c r="N28" s="35" t="str">
        <f t="shared" si="16"/>
        <v/>
      </c>
      <c r="O28" s="40" t="str">
        <f t="shared" si="16"/>
        <v/>
      </c>
      <c r="P28" s="8"/>
      <c r="Q28" s="37"/>
      <c r="R28" s="38"/>
      <c r="S28" s="38"/>
      <c r="T28" s="39"/>
      <c r="U28" s="35" t="str">
        <f t="shared" si="17"/>
        <v/>
      </c>
      <c r="V28" s="35" t="str">
        <f t="shared" si="17"/>
        <v/>
      </c>
      <c r="W28" s="35" t="str">
        <f t="shared" si="17"/>
        <v/>
      </c>
      <c r="X28" s="40" t="str">
        <f t="shared" si="17"/>
        <v/>
      </c>
      <c r="Y28" s="8"/>
      <c r="Z28" s="37"/>
      <c r="AA28" s="38"/>
      <c r="AB28" s="38"/>
      <c r="AC28" s="39"/>
      <c r="AD28" s="35" t="str">
        <f t="shared" si="18"/>
        <v/>
      </c>
      <c r="AE28" s="35" t="str">
        <f t="shared" si="18"/>
        <v/>
      </c>
      <c r="AF28" s="35" t="str">
        <f t="shared" si="18"/>
        <v/>
      </c>
      <c r="AG28" s="40" t="str">
        <f t="shared" si="18"/>
        <v/>
      </c>
      <c r="AH28" s="8"/>
      <c r="AI28" s="37"/>
      <c r="AJ28" s="38"/>
      <c r="AK28" s="38"/>
      <c r="AL28" s="39"/>
      <c r="AM28" s="35" t="str">
        <f t="shared" si="19"/>
        <v/>
      </c>
      <c r="AN28" s="35" t="str">
        <f t="shared" si="19"/>
        <v/>
      </c>
      <c r="AO28" s="35" t="str">
        <f t="shared" si="19"/>
        <v/>
      </c>
      <c r="AP28" s="40" t="str">
        <f t="shared" si="19"/>
        <v/>
      </c>
      <c r="AR28" s="37"/>
      <c r="AS28" s="38"/>
      <c r="AT28" s="38"/>
      <c r="AU28" s="39"/>
      <c r="AV28" s="35" t="str">
        <f t="shared" si="20"/>
        <v/>
      </c>
      <c r="AW28" s="35" t="str">
        <f t="shared" si="20"/>
        <v/>
      </c>
      <c r="AX28" s="35" t="str">
        <f t="shared" si="20"/>
        <v/>
      </c>
      <c r="AY28" s="40" t="str">
        <f t="shared" si="20"/>
        <v/>
      </c>
      <c r="BA28" s="37"/>
      <c r="BB28" s="38"/>
      <c r="BC28" s="38"/>
      <c r="BD28" s="39"/>
      <c r="BE28" s="35" t="str">
        <f t="shared" si="21"/>
        <v/>
      </c>
      <c r="BF28" s="35" t="str">
        <f t="shared" si="21"/>
        <v/>
      </c>
      <c r="BG28" s="35" t="str">
        <f t="shared" si="21"/>
        <v/>
      </c>
      <c r="BH28" s="40" t="str">
        <f t="shared" si="21"/>
        <v/>
      </c>
      <c r="BJ28" s="37"/>
      <c r="BK28" s="38"/>
      <c r="BL28" s="38"/>
      <c r="BM28" s="39"/>
      <c r="BN28" s="35" t="str">
        <f t="shared" si="22"/>
        <v/>
      </c>
      <c r="BO28" s="35" t="str">
        <f t="shared" si="22"/>
        <v/>
      </c>
      <c r="BP28" s="35" t="str">
        <f t="shared" si="22"/>
        <v/>
      </c>
      <c r="BQ28" s="40" t="str">
        <f t="shared" si="22"/>
        <v/>
      </c>
      <c r="BS28" s="37"/>
      <c r="BT28" s="38"/>
      <c r="BU28" s="38"/>
      <c r="BV28" s="39"/>
      <c r="BW28" s="35" t="str">
        <f t="shared" si="23"/>
        <v/>
      </c>
      <c r="BX28" s="35" t="str">
        <f t="shared" si="23"/>
        <v/>
      </c>
      <c r="BY28" s="35" t="str">
        <f t="shared" si="23"/>
        <v/>
      </c>
      <c r="BZ28" s="40" t="str">
        <f t="shared" si="23"/>
        <v/>
      </c>
    </row>
    <row r="30" spans="1:78" x14ac:dyDescent="0.25">
      <c r="B30" s="41">
        <f>(AVERAGE(B8,B15,B22)-AVERAGE(B14,B21,B28))/10</f>
        <v>4.3925000000000001</v>
      </c>
      <c r="C30" s="41">
        <f t="shared" ref="C30:E30" si="24">(AVERAGE(C8,C15,C22)-AVERAGE(C14,C21,C28))/10</f>
        <v>4.5250000000000004</v>
      </c>
      <c r="D30" s="41">
        <f t="shared" si="24"/>
        <v>4.3624999999999998</v>
      </c>
      <c r="E30" s="41">
        <f t="shared" si="24"/>
        <v>4.3325000000000005</v>
      </c>
      <c r="F30" s="42"/>
      <c r="L30" s="8">
        <f>AVERAGE(L8,L15,L22)</f>
        <v>1.1314285714263406E-3</v>
      </c>
      <c r="M30" s="8">
        <f t="shared" ref="M30:O30" si="25">AVERAGE(M8,M15,M22)</f>
        <v>-0.14898500000001036</v>
      </c>
      <c r="N30" s="8">
        <f t="shared" si="25"/>
        <v>-5.8706428571440483E-2</v>
      </c>
      <c r="O30" s="8">
        <f t="shared" si="25"/>
        <v>-0.14395357142858245</v>
      </c>
      <c r="U30" s="8">
        <f>AVERAGE(U8,U15,U22)</f>
        <v>-0.31367428571429201</v>
      </c>
      <c r="V30" s="8">
        <f t="shared" ref="V30:X30" si="26">AVERAGE(V8,V15,V22)</f>
        <v>-0.30538500000001534</v>
      </c>
      <c r="W30" s="8">
        <f t="shared" si="26"/>
        <v>-0.38578071428570837</v>
      </c>
      <c r="X30" s="8">
        <f t="shared" si="26"/>
        <v>-0.33210142857142699</v>
      </c>
      <c r="AD30" s="8">
        <f>AVERAGE(AD8,AD15,AD22)</f>
        <v>0.10576214285714336</v>
      </c>
      <c r="AE30" s="8">
        <f t="shared" ref="AE30:AG30" si="27">AVERAGE(AE8,AE15,AE22)</f>
        <v>-3.6389999999999922E-2</v>
      </c>
      <c r="AF30" s="8">
        <f t="shared" si="27"/>
        <v>-2.1713571428571221E-2</v>
      </c>
      <c r="AG30" s="8">
        <f t="shared" si="27"/>
        <v>-0.11172857142857051</v>
      </c>
      <c r="AM30" s="8" t="e">
        <f>AVERAGE(AM8,AM15,AM22)</f>
        <v>#DIV/0!</v>
      </c>
      <c r="AN30" s="8" t="e">
        <f t="shared" ref="AN30:AP30" si="28">AVERAGE(AN8,AN15,AN22)</f>
        <v>#DIV/0!</v>
      </c>
      <c r="AO30" s="8" t="e">
        <f t="shared" si="28"/>
        <v>#DIV/0!</v>
      </c>
      <c r="AP30" s="8" t="e">
        <f t="shared" si="28"/>
        <v>#DIV/0!</v>
      </c>
      <c r="AV30" s="8">
        <f>AVERAGE(AV8,AV15,AV22)</f>
        <v>0.42883571428571443</v>
      </c>
      <c r="AW30" s="8">
        <f t="shared" ref="AW30:AY30" si="29">AVERAGE(AW8,AW15,AW22)</f>
        <v>0.38108928571428535</v>
      </c>
      <c r="AX30" s="8">
        <f t="shared" si="29"/>
        <v>0.3360700000000012</v>
      </c>
      <c r="AY30" s="8">
        <f t="shared" si="29"/>
        <v>0.34277999999999942</v>
      </c>
      <c r="BE30" s="8">
        <f>AVERAGE(BE8,BE15,BE22)</f>
        <v>6.2619285714285766E-2</v>
      </c>
      <c r="BF30" s="8">
        <f t="shared" ref="BF30:BH30" si="30">AVERAGE(BF8,BF15,BF22)</f>
        <v>3.4509999999999819E-2</v>
      </c>
      <c r="BG30" s="8">
        <f t="shared" si="30"/>
        <v>4.0551428571428572E-2</v>
      </c>
      <c r="BH30" s="8">
        <f t="shared" si="30"/>
        <v>4.2408571428571462E-2</v>
      </c>
      <c r="BN30" s="8">
        <f>AVERAGE(BN8,BN15,BN22)</f>
        <v>-0.23655428571428549</v>
      </c>
      <c r="BO30" s="8">
        <f t="shared" ref="BO30:BQ30" si="31">AVERAGE(BO8,BO15,BO22)</f>
        <v>-0.17090857142857141</v>
      </c>
      <c r="BP30" s="8">
        <f t="shared" si="31"/>
        <v>-0.19324928571428579</v>
      </c>
      <c r="BQ30" s="8">
        <f t="shared" si="31"/>
        <v>-0.20606428571428559</v>
      </c>
      <c r="BW30" s="8">
        <f>AVERAGE(BW8,BW15,BW22)</f>
        <v>0.10352999999999996</v>
      </c>
      <c r="BX30" s="8">
        <f t="shared" ref="BX30:BZ30" si="32">AVERAGE(BX8,BX15,BX22)</f>
        <v>2.6427857142857225E-2</v>
      </c>
      <c r="BY30" s="8">
        <f t="shared" si="32"/>
        <v>8.3372857142857304E-2</v>
      </c>
      <c r="BZ30" s="8">
        <f t="shared" si="32"/>
        <v>8.442642857142868E-2</v>
      </c>
    </row>
    <row r="31" spans="1:78" x14ac:dyDescent="0.25">
      <c r="L31" s="8">
        <f t="shared" ref="L31:O36" si="33">AVERAGE(L9,L16,L23)</f>
        <v>-0.26872857142856788</v>
      </c>
      <c r="M31" s="8">
        <f t="shared" si="33"/>
        <v>-0.3871300000000133</v>
      </c>
      <c r="N31" s="8">
        <f t="shared" si="33"/>
        <v>-0.29305142857144517</v>
      </c>
      <c r="O31" s="8">
        <f t="shared" si="33"/>
        <v>-0.42024357142858548</v>
      </c>
      <c r="U31" s="8">
        <f t="shared" ref="U31:X36" si="34">AVERAGE(U9,U16,U23)</f>
        <v>7.390071428571332E-2</v>
      </c>
      <c r="V31" s="8">
        <f t="shared" si="34"/>
        <v>0.13035999999998893</v>
      </c>
      <c r="W31" s="8">
        <f t="shared" si="34"/>
        <v>3.9549285714286952E-2</v>
      </c>
      <c r="X31" s="8">
        <f t="shared" si="34"/>
        <v>3.151357142856881E-2</v>
      </c>
      <c r="AD31" s="8">
        <f t="shared" ref="AD31:AG36" si="35">AVERAGE(AD9,AD16,AD23)</f>
        <v>0.15354714285714266</v>
      </c>
      <c r="AE31" s="8">
        <f t="shared" si="35"/>
        <v>9.639000000000042E-2</v>
      </c>
      <c r="AF31" s="8">
        <f t="shared" si="35"/>
        <v>8.9111428571428952E-2</v>
      </c>
      <c r="AG31" s="8">
        <f t="shared" si="35"/>
        <v>5.6142857142926772E-4</v>
      </c>
      <c r="AM31" s="8" t="e">
        <f t="shared" ref="AM31:AP36" si="36">AVERAGE(AM9,AM16,AM23)</f>
        <v>#DIV/0!</v>
      </c>
      <c r="AN31" s="8" t="e">
        <f t="shared" si="36"/>
        <v>#DIV/0!</v>
      </c>
      <c r="AO31" s="8" t="e">
        <f t="shared" si="36"/>
        <v>#DIV/0!</v>
      </c>
      <c r="AP31" s="8" t="e">
        <f t="shared" si="36"/>
        <v>#DIV/0!</v>
      </c>
      <c r="AV31" s="8">
        <f t="shared" ref="AV31:AY36" si="37">AVERAGE(AV9,AV16,AV23)</f>
        <v>0.2852607142857142</v>
      </c>
      <c r="AW31" s="8">
        <f t="shared" si="37"/>
        <v>0.23383928571428658</v>
      </c>
      <c r="AX31" s="8">
        <f t="shared" si="37"/>
        <v>0.25491000000000064</v>
      </c>
      <c r="AY31" s="8">
        <f t="shared" si="37"/>
        <v>0.2296149999999999</v>
      </c>
      <c r="BE31" s="8">
        <f t="shared" ref="BE31:BH36" si="38">AVERAGE(BE9,BE16,BE23)</f>
        <v>9.4989285714285665E-2</v>
      </c>
      <c r="BF31" s="8">
        <f t="shared" si="38"/>
        <v>8.1784999999999886E-2</v>
      </c>
      <c r="BG31" s="8">
        <f t="shared" si="38"/>
        <v>9.8236428571428558E-2</v>
      </c>
      <c r="BH31" s="8">
        <f t="shared" si="38"/>
        <v>5.5723571428571539E-2</v>
      </c>
      <c r="BN31" s="8">
        <f t="shared" ref="BN31:BQ36" si="39">AVERAGE(BN9,BN16,BN23)</f>
        <v>-0.18734928571428555</v>
      </c>
      <c r="BO31" s="8">
        <f t="shared" si="39"/>
        <v>-0.14292357142857148</v>
      </c>
      <c r="BP31" s="8">
        <f t="shared" si="39"/>
        <v>-0.17021928571428591</v>
      </c>
      <c r="BQ31" s="8">
        <f t="shared" si="39"/>
        <v>-0.16820928571428562</v>
      </c>
      <c r="BW31" s="8">
        <f t="shared" ref="BW31:BZ36" si="40">AVERAGE(BW9,BW16,BW23)</f>
        <v>-0.13499</v>
      </c>
      <c r="BX31" s="8">
        <f t="shared" si="40"/>
        <v>-0.1328771428571428</v>
      </c>
      <c r="BY31" s="8">
        <f t="shared" si="40"/>
        <v>-0.14519714285714269</v>
      </c>
      <c r="BZ31" s="8">
        <f t="shared" si="40"/>
        <v>-0.11432857142857134</v>
      </c>
    </row>
    <row r="32" spans="1:78" x14ac:dyDescent="0.25">
      <c r="L32" s="8">
        <f t="shared" si="33"/>
        <v>-0.19498857142856707</v>
      </c>
      <c r="M32" s="8">
        <f t="shared" si="33"/>
        <v>-0.36261500000001234</v>
      </c>
      <c r="N32" s="8">
        <f t="shared" si="33"/>
        <v>-0.24300142857143925</v>
      </c>
      <c r="O32" s="8">
        <f t="shared" si="33"/>
        <v>-0.29091857142858402</v>
      </c>
      <c r="U32" s="8">
        <f t="shared" si="34"/>
        <v>0.11170071428571049</v>
      </c>
      <c r="V32" s="8">
        <f t="shared" si="34"/>
        <v>0.16516999999998916</v>
      </c>
      <c r="W32" s="8">
        <f t="shared" si="34"/>
        <v>7.8764285714292726E-2</v>
      </c>
      <c r="X32" s="8">
        <f t="shared" si="34"/>
        <v>9.426857142857159E-2</v>
      </c>
      <c r="AD32" s="8">
        <f t="shared" si="35"/>
        <v>0.1364271428571433</v>
      </c>
      <c r="AE32" s="8">
        <f t="shared" si="35"/>
        <v>0.11188000000000109</v>
      </c>
      <c r="AF32" s="8">
        <f t="shared" si="35"/>
        <v>0.11925142857142923</v>
      </c>
      <c r="AG32" s="8">
        <f t="shared" si="35"/>
        <v>6.6861428571430181E-2</v>
      </c>
      <c r="AM32" s="8" t="e">
        <f t="shared" si="36"/>
        <v>#DIV/0!</v>
      </c>
      <c r="AN32" s="8" t="e">
        <f t="shared" si="36"/>
        <v>#DIV/0!</v>
      </c>
      <c r="AO32" s="8" t="e">
        <f t="shared" si="36"/>
        <v>#DIV/0!</v>
      </c>
      <c r="AP32" s="8" t="e">
        <f t="shared" si="36"/>
        <v>#DIV/0!</v>
      </c>
      <c r="AV32" s="8">
        <f t="shared" si="37"/>
        <v>0.19680571428571447</v>
      </c>
      <c r="AW32" s="8">
        <f t="shared" si="37"/>
        <v>0.1701842857142859</v>
      </c>
      <c r="AX32" s="8">
        <f t="shared" si="37"/>
        <v>0.18115000000000059</v>
      </c>
      <c r="AY32" s="8">
        <f t="shared" si="37"/>
        <v>0.14942499999999903</v>
      </c>
      <c r="BE32" s="8">
        <f t="shared" si="38"/>
        <v>6.2514285714285744E-2</v>
      </c>
      <c r="BF32" s="8">
        <f t="shared" si="38"/>
        <v>5.583999999999989E-2</v>
      </c>
      <c r="BG32" s="8">
        <f t="shared" si="38"/>
        <v>7.6776428571428523E-2</v>
      </c>
      <c r="BH32" s="8">
        <f t="shared" si="38"/>
        <v>5.3483571428571519E-2</v>
      </c>
      <c r="BN32" s="8">
        <f t="shared" si="39"/>
        <v>-0.15125428571428556</v>
      </c>
      <c r="BO32" s="8">
        <f t="shared" si="39"/>
        <v>-0.12018357142857128</v>
      </c>
      <c r="BP32" s="8">
        <f t="shared" si="39"/>
        <v>-0.14183928571428583</v>
      </c>
      <c r="BQ32" s="8">
        <f t="shared" si="39"/>
        <v>-0.13923928571428568</v>
      </c>
      <c r="BW32" s="8">
        <f t="shared" si="40"/>
        <v>-0.19500000000000001</v>
      </c>
      <c r="BX32" s="8">
        <f t="shared" si="40"/>
        <v>-0.15201714285714274</v>
      </c>
      <c r="BY32" s="8">
        <f t="shared" si="40"/>
        <v>-0.16719214285714273</v>
      </c>
      <c r="BZ32" s="8">
        <f t="shared" si="40"/>
        <v>-0.14314857142857129</v>
      </c>
    </row>
    <row r="33" spans="12:78" x14ac:dyDescent="0.25">
      <c r="L33" s="8">
        <f t="shared" si="33"/>
        <v>-7.428357142856612E-2</v>
      </c>
      <c r="M33" s="8">
        <f t="shared" si="33"/>
        <v>-0.21868500000000779</v>
      </c>
      <c r="N33" s="8">
        <f t="shared" si="33"/>
        <v>-9.2321428571437991E-2</v>
      </c>
      <c r="O33" s="8">
        <f t="shared" si="33"/>
        <v>-9.0483571428585208E-2</v>
      </c>
      <c r="U33" s="8">
        <f t="shared" si="34"/>
        <v>0.16923071428571035</v>
      </c>
      <c r="V33" s="8">
        <f t="shared" si="34"/>
        <v>0.19132999999999356</v>
      </c>
      <c r="W33" s="8">
        <f t="shared" si="34"/>
        <v>0.15057928571428647</v>
      </c>
      <c r="X33" s="8">
        <f t="shared" si="34"/>
        <v>0.17299357142857019</v>
      </c>
      <c r="AD33" s="8">
        <f t="shared" si="35"/>
        <v>3.229714285714369E-2</v>
      </c>
      <c r="AE33" s="8">
        <f t="shared" si="35"/>
        <v>3.605000000000036E-2</v>
      </c>
      <c r="AF33" s="8">
        <f t="shared" si="35"/>
        <v>6.0391428571429095E-2</v>
      </c>
      <c r="AG33" s="8">
        <f t="shared" si="35"/>
        <v>4.455642857142994E-2</v>
      </c>
      <c r="AM33" s="8" t="e">
        <f t="shared" si="36"/>
        <v>#DIV/0!</v>
      </c>
      <c r="AN33" s="8" t="e">
        <f t="shared" si="36"/>
        <v>#DIV/0!</v>
      </c>
      <c r="AO33" s="8" t="e">
        <f t="shared" si="36"/>
        <v>#DIV/0!</v>
      </c>
      <c r="AP33" s="8" t="e">
        <f t="shared" si="36"/>
        <v>#DIV/0!</v>
      </c>
      <c r="AV33" s="8">
        <f t="shared" si="37"/>
        <v>-1.3144285714285608E-2</v>
      </c>
      <c r="AW33" s="8">
        <f t="shared" si="37"/>
        <v>-9.6507142857138462E-3</v>
      </c>
      <c r="AX33" s="8">
        <f t="shared" si="37"/>
        <v>-1.1949999999991689E-3</v>
      </c>
      <c r="AY33" s="8">
        <f t="shared" si="37"/>
        <v>-1.7410000000000814E-2</v>
      </c>
      <c r="BE33" s="8">
        <f t="shared" si="38"/>
        <v>3.2742857142856741E-3</v>
      </c>
      <c r="BF33" s="8">
        <f t="shared" si="38"/>
        <v>1.4599999999999058E-3</v>
      </c>
      <c r="BG33" s="8">
        <f t="shared" si="38"/>
        <v>1.7726428571428587E-2</v>
      </c>
      <c r="BH33" s="8">
        <f t="shared" si="38"/>
        <v>2.7343571428571467E-2</v>
      </c>
      <c r="BN33" s="8">
        <f t="shared" si="39"/>
        <v>-2.7209285714285381E-2</v>
      </c>
      <c r="BO33" s="8">
        <f t="shared" si="39"/>
        <v>-1.8278571428571588E-2</v>
      </c>
      <c r="BP33" s="8">
        <f t="shared" si="39"/>
        <v>-2.0024285714285828E-2</v>
      </c>
      <c r="BQ33" s="8">
        <f t="shared" si="39"/>
        <v>-2.1074285714285601E-2</v>
      </c>
      <c r="BW33" s="8">
        <f t="shared" si="40"/>
        <v>-0.12931000000000004</v>
      </c>
      <c r="BX33" s="8">
        <f t="shared" si="40"/>
        <v>-8.7302142857142773E-2</v>
      </c>
      <c r="BY33" s="8">
        <f t="shared" si="40"/>
        <v>-0.10493714285714273</v>
      </c>
      <c r="BZ33" s="8">
        <f t="shared" si="40"/>
        <v>-9.7993571428571347E-2</v>
      </c>
    </row>
    <row r="34" spans="12:78" x14ac:dyDescent="0.25">
      <c r="L34" s="8">
        <f t="shared" si="33"/>
        <v>7.9781428571429558E-2</v>
      </c>
      <c r="M34" s="8">
        <f t="shared" si="33"/>
        <v>0.17748999999999171</v>
      </c>
      <c r="N34" s="8">
        <f t="shared" si="33"/>
        <v>0.18922357142856328</v>
      </c>
      <c r="O34" s="8">
        <f t="shared" si="33"/>
        <v>0.16568642857141214</v>
      </c>
      <c r="U34" s="8">
        <f t="shared" si="34"/>
        <v>0.16450071428570823</v>
      </c>
      <c r="V34" s="8">
        <f t="shared" si="34"/>
        <v>0.12010499999998814</v>
      </c>
      <c r="W34" s="8">
        <f t="shared" si="34"/>
        <v>0.17130428571428524</v>
      </c>
      <c r="X34" s="8">
        <f t="shared" si="34"/>
        <v>0.12209357142856447</v>
      </c>
      <c r="AD34" s="8">
        <f t="shared" si="35"/>
        <v>-9.7502857142856669E-2</v>
      </c>
      <c r="AE34" s="8">
        <f t="shared" si="35"/>
        <v>-6.2749999999995865E-3</v>
      </c>
      <c r="AF34" s="8">
        <f t="shared" si="35"/>
        <v>-3.6388571428570771E-2</v>
      </c>
      <c r="AG34" s="8">
        <f t="shared" si="35"/>
        <v>4.9451428571429368E-2</v>
      </c>
      <c r="AM34" s="8" t="e">
        <f t="shared" si="36"/>
        <v>#DIV/0!</v>
      </c>
      <c r="AN34" s="8" t="e">
        <f t="shared" si="36"/>
        <v>#DIV/0!</v>
      </c>
      <c r="AO34" s="8" t="e">
        <f t="shared" si="36"/>
        <v>#DIV/0!</v>
      </c>
      <c r="AP34" s="8" t="e">
        <f t="shared" si="36"/>
        <v>#DIV/0!</v>
      </c>
      <c r="AV34" s="8">
        <f t="shared" si="37"/>
        <v>-0.20319428571428588</v>
      </c>
      <c r="AW34" s="8">
        <f t="shared" si="37"/>
        <v>-0.16895571428571454</v>
      </c>
      <c r="AX34" s="8">
        <f t="shared" si="37"/>
        <v>-0.18308499999999928</v>
      </c>
      <c r="AY34" s="8">
        <f t="shared" si="37"/>
        <v>-0.15840500000000013</v>
      </c>
      <c r="BE34" s="8">
        <f t="shared" si="38"/>
        <v>-7.9670714285714372E-2</v>
      </c>
      <c r="BF34" s="8">
        <f t="shared" si="38"/>
        <v>-6.3065000000000149E-2</v>
      </c>
      <c r="BG34" s="8">
        <f t="shared" si="38"/>
        <v>-7.4578571428571383E-2</v>
      </c>
      <c r="BH34" s="8">
        <f t="shared" si="38"/>
        <v>-6.6291428571428446E-2</v>
      </c>
      <c r="BN34" s="8">
        <f t="shared" si="39"/>
        <v>0.15971571428571441</v>
      </c>
      <c r="BO34" s="8">
        <f t="shared" si="39"/>
        <v>0.12614142857142863</v>
      </c>
      <c r="BP34" s="8">
        <f t="shared" si="39"/>
        <v>0.15190571428571409</v>
      </c>
      <c r="BQ34" s="8">
        <f t="shared" si="39"/>
        <v>0.15122071428571426</v>
      </c>
      <c r="BW34" s="8">
        <f t="shared" si="40"/>
        <v>3.202499999999997E-2</v>
      </c>
      <c r="BX34" s="8">
        <f t="shared" si="40"/>
        <v>5.1652857142857278E-2</v>
      </c>
      <c r="BY34" s="8">
        <f t="shared" si="40"/>
        <v>3.1147857142857283E-2</v>
      </c>
      <c r="BZ34" s="8">
        <f t="shared" si="40"/>
        <v>5.0081428571428721E-2</v>
      </c>
    </row>
    <row r="35" spans="12:78" x14ac:dyDescent="0.25">
      <c r="L35" s="8">
        <f t="shared" si="33"/>
        <v>0.17799142857143124</v>
      </c>
      <c r="M35" s="8">
        <f t="shared" si="33"/>
        <v>0.37340999999999269</v>
      </c>
      <c r="N35" s="8">
        <f t="shared" si="33"/>
        <v>0.23402857142855993</v>
      </c>
      <c r="O35" s="8">
        <f t="shared" si="33"/>
        <v>0.32433142857141206</v>
      </c>
      <c r="U35" s="8">
        <f t="shared" si="34"/>
        <v>-1.3079285714290734E-2</v>
      </c>
      <c r="V35" s="8">
        <f t="shared" si="34"/>
        <v>-6.0240000000007399E-2</v>
      </c>
      <c r="W35" s="8">
        <f t="shared" si="34"/>
        <v>4.5889285714288519E-2</v>
      </c>
      <c r="X35" s="8">
        <f t="shared" si="34"/>
        <v>2.7343571428566804E-2</v>
      </c>
      <c r="AD35" s="8">
        <f t="shared" si="35"/>
        <v>-0.13880285714285723</v>
      </c>
      <c r="AE35" s="8">
        <f t="shared" si="35"/>
        <v>-8.0589999999999939E-2</v>
      </c>
      <c r="AF35" s="8">
        <f t="shared" si="35"/>
        <v>-6.5078571428570875E-2</v>
      </c>
      <c r="AG35" s="8">
        <f t="shared" si="35"/>
        <v>-1.158571428570454E-3</v>
      </c>
      <c r="AM35" s="8" t="e">
        <f t="shared" si="36"/>
        <v>#DIV/0!</v>
      </c>
      <c r="AN35" s="8" t="e">
        <f t="shared" si="36"/>
        <v>#DIV/0!</v>
      </c>
      <c r="AO35" s="8" t="e">
        <f t="shared" si="36"/>
        <v>#DIV/0!</v>
      </c>
      <c r="AP35" s="8" t="e">
        <f t="shared" si="36"/>
        <v>#DIV/0!</v>
      </c>
      <c r="AV35" s="8">
        <f t="shared" si="37"/>
        <v>-0.29447928571428594</v>
      </c>
      <c r="AW35" s="8">
        <f t="shared" si="37"/>
        <v>-0.25750571428571423</v>
      </c>
      <c r="AX35" s="8">
        <f t="shared" si="37"/>
        <v>-0.23639499999999902</v>
      </c>
      <c r="AY35" s="8">
        <f t="shared" si="37"/>
        <v>-0.21665500000000026</v>
      </c>
      <c r="BE35" s="8">
        <f t="shared" si="38"/>
        <v>-7.2295714285714352E-2</v>
      </c>
      <c r="BF35" s="8">
        <f t="shared" si="38"/>
        <v>-6.2240000000000184E-2</v>
      </c>
      <c r="BG35" s="8">
        <f t="shared" si="38"/>
        <v>-8.0148571428571347E-2</v>
      </c>
      <c r="BH35" s="8">
        <f t="shared" si="38"/>
        <v>-6.3126428571428472E-2</v>
      </c>
      <c r="BN35" s="8">
        <f t="shared" si="39"/>
        <v>0.21134571428571447</v>
      </c>
      <c r="BO35" s="8">
        <f t="shared" si="39"/>
        <v>0.1513364285714287</v>
      </c>
      <c r="BP35" s="8">
        <f t="shared" si="39"/>
        <v>0.17341071428571397</v>
      </c>
      <c r="BQ35" s="8">
        <f t="shared" si="39"/>
        <v>0.18329571428571434</v>
      </c>
      <c r="BW35" s="8">
        <f t="shared" si="40"/>
        <v>0.11216499999999996</v>
      </c>
      <c r="BX35" s="8">
        <f t="shared" si="40"/>
        <v>0.11266285714285729</v>
      </c>
      <c r="BY35" s="8">
        <f t="shared" si="40"/>
        <v>0.11012785714285722</v>
      </c>
      <c r="BZ35" s="8">
        <f t="shared" si="40"/>
        <v>7.8666428571428693E-2</v>
      </c>
    </row>
    <row r="36" spans="12:78" x14ac:dyDescent="0.25">
      <c r="L36" s="8">
        <f t="shared" si="33"/>
        <v>0.27909642857142813</v>
      </c>
      <c r="M36" s="8">
        <f t="shared" si="33"/>
        <v>0.56651499999998833</v>
      </c>
      <c r="N36" s="8">
        <f t="shared" si="33"/>
        <v>0.26382857142856153</v>
      </c>
      <c r="O36" s="8">
        <f t="shared" si="33"/>
        <v>0.45558142857141348</v>
      </c>
      <c r="U36" s="8">
        <f t="shared" si="34"/>
        <v>-0.19257928571429517</v>
      </c>
      <c r="V36" s="8">
        <f t="shared" si="34"/>
        <v>-0.2413400000000081</v>
      </c>
      <c r="W36" s="8">
        <f t="shared" si="34"/>
        <v>-0.10030571428571733</v>
      </c>
      <c r="X36" s="8">
        <f t="shared" si="34"/>
        <v>-0.11611142857142909</v>
      </c>
      <c r="AD36" s="8">
        <f t="shared" si="35"/>
        <v>-0.19172785714285645</v>
      </c>
      <c r="AE36" s="8">
        <f t="shared" si="35"/>
        <v>-0.12106499999999976</v>
      </c>
      <c r="AF36" s="8">
        <f t="shared" si="35"/>
        <v>-0.14557357142857175</v>
      </c>
      <c r="AG36" s="8">
        <f t="shared" si="35"/>
        <v>-4.8543571428570687E-2</v>
      </c>
      <c r="AM36" s="8" t="e">
        <f t="shared" si="36"/>
        <v>#DIV/0!</v>
      </c>
      <c r="AN36" s="8" t="e">
        <f t="shared" si="36"/>
        <v>#DIV/0!</v>
      </c>
      <c r="AO36" s="8" t="e">
        <f t="shared" si="36"/>
        <v>#DIV/0!</v>
      </c>
      <c r="AP36" s="8" t="e">
        <f t="shared" si="36"/>
        <v>#DIV/0!</v>
      </c>
      <c r="AV36" s="8">
        <f t="shared" si="37"/>
        <v>-0.40008428571428478</v>
      </c>
      <c r="AW36" s="8">
        <f t="shared" si="37"/>
        <v>-0.34900071428571433</v>
      </c>
      <c r="AX36" s="8">
        <f t="shared" si="37"/>
        <v>-0.35145499999999963</v>
      </c>
      <c r="AY36" s="8">
        <f t="shared" si="37"/>
        <v>-0.32934999999999981</v>
      </c>
      <c r="BE36" s="8">
        <f t="shared" si="38"/>
        <v>-7.1430714285714347E-2</v>
      </c>
      <c r="BF36" s="8">
        <f t="shared" si="38"/>
        <v>-4.8290000000000166E-2</v>
      </c>
      <c r="BG36" s="8">
        <f t="shared" si="38"/>
        <v>-7.8563571428571399E-2</v>
      </c>
      <c r="BH36" s="8">
        <f t="shared" si="38"/>
        <v>-4.9541428571428403E-2</v>
      </c>
      <c r="BN36" s="8">
        <f t="shared" si="39"/>
        <v>0.23130571428571467</v>
      </c>
      <c r="BO36" s="8">
        <f t="shared" si="39"/>
        <v>0.17481642857142865</v>
      </c>
      <c r="BP36" s="8">
        <f t="shared" si="39"/>
        <v>0.20001571428571419</v>
      </c>
      <c r="BQ36" s="8">
        <f t="shared" si="39"/>
        <v>0.20007071428571432</v>
      </c>
      <c r="BW36" s="8">
        <f t="shared" si="40"/>
        <v>0.21157999999999999</v>
      </c>
      <c r="BX36" s="8">
        <f t="shared" si="40"/>
        <v>0.1814528571428573</v>
      </c>
      <c r="BY36" s="8">
        <f t="shared" si="40"/>
        <v>0.19267785714285723</v>
      </c>
      <c r="BZ36" s="8">
        <f t="shared" si="40"/>
        <v>0.14229642857142866</v>
      </c>
    </row>
  </sheetData>
  <mergeCells count="30">
    <mergeCell ref="A15:A21"/>
    <mergeCell ref="A22:A28"/>
    <mergeCell ref="BE6:BH6"/>
    <mergeCell ref="BJ6:BM6"/>
    <mergeCell ref="BN6:BQ6"/>
    <mergeCell ref="BS6:BV6"/>
    <mergeCell ref="BW6:BZ6"/>
    <mergeCell ref="A8:A14"/>
    <mergeCell ref="AD6:AG6"/>
    <mergeCell ref="AI6:AL6"/>
    <mergeCell ref="AM6:AP6"/>
    <mergeCell ref="AR6:AU6"/>
    <mergeCell ref="AV6:AY6"/>
    <mergeCell ref="BA6:BD6"/>
    <mergeCell ref="BJ1:BQ1"/>
    <mergeCell ref="BS1:BZ1"/>
    <mergeCell ref="A6:A7"/>
    <mergeCell ref="B6:E6"/>
    <mergeCell ref="F6:F7"/>
    <mergeCell ref="H6:K6"/>
    <mergeCell ref="L6:O6"/>
    <mergeCell ref="Q6:T6"/>
    <mergeCell ref="U6:X6"/>
    <mergeCell ref="Z6:AC6"/>
    <mergeCell ref="H1:O1"/>
    <mergeCell ref="Q1:X1"/>
    <mergeCell ref="Z1:AG1"/>
    <mergeCell ref="AI1:AP1"/>
    <mergeCell ref="AR1:AY1"/>
    <mergeCell ref="BA1:BH1"/>
  </mergeCells>
  <conditionalFormatting sqref="H3:K3 Z3:AC3 AI3:AL3 AR3:AU3 BA3:BD3 BJ3:BM3 BS3:BV3">
    <cfRule type="cellIs" dxfId="1" priority="2" operator="greaterThan">
      <formula>$F$4</formula>
    </cfRule>
  </conditionalFormatting>
  <conditionalFormatting sqref="Q3:T3">
    <cfRule type="cellIs" dxfId="0" priority="1" operator="greaterThan">
      <formula>$F$4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Cacciatore</dc:creator>
  <cp:lastModifiedBy>Alessandro Cacciatore</cp:lastModifiedBy>
  <dcterms:created xsi:type="dcterms:W3CDTF">2026-02-12T15:05:06Z</dcterms:created>
  <dcterms:modified xsi:type="dcterms:W3CDTF">2026-02-12T15:05:51Z</dcterms:modified>
</cp:coreProperties>
</file>