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tatistiche" sheetId="1" r:id="rId1"/>
    <sheet name="Results - Dataset" sheetId="2" r:id="rId2"/>
    <sheet name="Results - Vali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6" i="3" l="1"/>
  <c r="S26" i="3"/>
  <c r="N26" i="3"/>
  <c r="N27" i="3"/>
  <c r="X25" i="3" l="1"/>
  <c r="S25" i="3"/>
  <c r="N25" i="3"/>
  <c r="I25" i="3"/>
  <c r="D25" i="3"/>
  <c r="X24" i="3"/>
  <c r="S24" i="3"/>
  <c r="N24" i="3"/>
  <c r="I24" i="3"/>
  <c r="D24" i="3"/>
  <c r="X23" i="3"/>
  <c r="S23" i="3"/>
  <c r="N23" i="3"/>
  <c r="I23" i="3"/>
  <c r="D23" i="3"/>
  <c r="X22" i="3"/>
  <c r="S22" i="3"/>
  <c r="N22" i="3"/>
  <c r="I22" i="3"/>
  <c r="D22" i="3"/>
  <c r="X21" i="3"/>
  <c r="S21" i="3"/>
  <c r="N21" i="3"/>
  <c r="I21" i="3"/>
  <c r="D21" i="3"/>
  <c r="X20" i="3"/>
  <c r="S20" i="3"/>
  <c r="N20" i="3"/>
  <c r="I20" i="3"/>
  <c r="D20" i="3"/>
  <c r="X19" i="3"/>
  <c r="V3" i="3" s="1"/>
  <c r="S19" i="3"/>
  <c r="N19" i="3"/>
  <c r="I19" i="3"/>
  <c r="D19" i="3"/>
  <c r="X18" i="3"/>
  <c r="S18" i="3"/>
  <c r="N18" i="3"/>
  <c r="I18" i="3"/>
  <c r="G4" i="3" s="1"/>
  <c r="D18" i="3"/>
  <c r="B4" i="3" s="1"/>
  <c r="X17" i="3"/>
  <c r="S17" i="3"/>
  <c r="N17" i="3"/>
  <c r="I17" i="3"/>
  <c r="D17" i="3"/>
  <c r="X16" i="3"/>
  <c r="V4" i="3" s="1"/>
  <c r="S16" i="3"/>
  <c r="Q4" i="3" s="1"/>
  <c r="N16" i="3"/>
  <c r="L4" i="3" s="1"/>
  <c r="I16" i="3"/>
  <c r="D16" i="3"/>
  <c r="X15" i="3"/>
  <c r="S15" i="3"/>
  <c r="N15" i="3"/>
  <c r="I15" i="3"/>
  <c r="D15" i="3"/>
  <c r="B3" i="3" s="1"/>
  <c r="V12" i="3"/>
  <c r="Q12" i="3"/>
  <c r="L12" i="3"/>
  <c r="G12" i="3"/>
  <c r="B12" i="3"/>
  <c r="V11" i="3"/>
  <c r="Q11" i="3"/>
  <c r="L11" i="3"/>
  <c r="G11" i="3"/>
  <c r="B11" i="3"/>
  <c r="V10" i="3"/>
  <c r="Q10" i="3"/>
  <c r="L10" i="3"/>
  <c r="G10" i="3"/>
  <c r="B10" i="3"/>
  <c r="V9" i="3"/>
  <c r="Q9" i="3"/>
  <c r="L9" i="3"/>
  <c r="G9" i="3"/>
  <c r="B9" i="3"/>
  <c r="V8" i="3"/>
  <c r="Q8" i="3"/>
  <c r="L8" i="3"/>
  <c r="G8" i="3"/>
  <c r="B8" i="3"/>
  <c r="V6" i="3"/>
  <c r="Q6" i="3"/>
  <c r="L6" i="3"/>
  <c r="G6" i="3"/>
  <c r="B6" i="3"/>
  <c r="V5" i="3"/>
  <c r="Q5" i="3"/>
  <c r="L5" i="3"/>
  <c r="G5" i="3"/>
  <c r="B5" i="3"/>
  <c r="Q3" i="3"/>
  <c r="L3" i="3"/>
  <c r="G3" i="3"/>
  <c r="I113" i="2" l="1"/>
  <c r="D113" i="2"/>
  <c r="I112" i="2"/>
  <c r="D112" i="2"/>
  <c r="N111" i="2"/>
  <c r="I111" i="2"/>
  <c r="D111" i="2"/>
  <c r="N110" i="2"/>
  <c r="I110" i="2"/>
  <c r="D110" i="2"/>
  <c r="X109" i="2"/>
  <c r="S109" i="2"/>
  <c r="N109" i="2"/>
  <c r="I109" i="2"/>
  <c r="D109" i="2"/>
  <c r="X108" i="2"/>
  <c r="S108" i="2"/>
  <c r="N108" i="2"/>
  <c r="I108" i="2"/>
  <c r="D108" i="2"/>
  <c r="X107" i="2"/>
  <c r="S107" i="2"/>
  <c r="N107" i="2"/>
  <c r="I107" i="2"/>
  <c r="D107" i="2"/>
  <c r="X106" i="2"/>
  <c r="S106" i="2"/>
  <c r="N106" i="2"/>
  <c r="I106" i="2"/>
  <c r="D106" i="2"/>
  <c r="X105" i="2"/>
  <c r="S105" i="2"/>
  <c r="N105" i="2"/>
  <c r="I105" i="2"/>
  <c r="D105" i="2"/>
  <c r="X104" i="2"/>
  <c r="S104" i="2"/>
  <c r="N104" i="2"/>
  <c r="I104" i="2"/>
  <c r="D104" i="2"/>
  <c r="X103" i="2"/>
  <c r="S103" i="2"/>
  <c r="N103" i="2"/>
  <c r="I103" i="2"/>
  <c r="D103" i="2"/>
  <c r="X102" i="2"/>
  <c r="S102" i="2"/>
  <c r="N102" i="2"/>
  <c r="I102" i="2"/>
  <c r="D102" i="2"/>
  <c r="X101" i="2"/>
  <c r="S101" i="2"/>
  <c r="N101" i="2"/>
  <c r="I101" i="2"/>
  <c r="D101" i="2"/>
  <c r="X100" i="2"/>
  <c r="S100" i="2"/>
  <c r="N100" i="2"/>
  <c r="I100" i="2"/>
  <c r="D100" i="2"/>
  <c r="X99" i="2"/>
  <c r="S99" i="2"/>
  <c r="N99" i="2"/>
  <c r="I99" i="2"/>
  <c r="D99" i="2"/>
  <c r="X98" i="2"/>
  <c r="S98" i="2"/>
  <c r="N98" i="2"/>
  <c r="I98" i="2"/>
  <c r="D98" i="2"/>
  <c r="X97" i="2"/>
  <c r="S97" i="2"/>
  <c r="N97" i="2"/>
  <c r="I97" i="2"/>
  <c r="D97" i="2"/>
  <c r="X96" i="2"/>
  <c r="S96" i="2"/>
  <c r="N96" i="2"/>
  <c r="I96" i="2"/>
  <c r="D96" i="2"/>
  <c r="X95" i="2"/>
  <c r="S95" i="2"/>
  <c r="N95" i="2"/>
  <c r="I95" i="2"/>
  <c r="D95" i="2"/>
  <c r="X94" i="2"/>
  <c r="S94" i="2"/>
  <c r="N94" i="2"/>
  <c r="I94" i="2"/>
  <c r="D94" i="2"/>
  <c r="X93" i="2"/>
  <c r="S93" i="2"/>
  <c r="N93" i="2"/>
  <c r="I93" i="2"/>
  <c r="D93" i="2"/>
  <c r="X92" i="2"/>
  <c r="S92" i="2"/>
  <c r="N92" i="2"/>
  <c r="I92" i="2"/>
  <c r="D92" i="2"/>
  <c r="X91" i="2"/>
  <c r="S91" i="2"/>
  <c r="N91" i="2"/>
  <c r="I91" i="2"/>
  <c r="D91" i="2"/>
  <c r="X90" i="2"/>
  <c r="S90" i="2"/>
  <c r="N90" i="2"/>
  <c r="I90" i="2"/>
  <c r="D90" i="2"/>
  <c r="X89" i="2"/>
  <c r="S89" i="2"/>
  <c r="N89" i="2"/>
  <c r="I89" i="2"/>
  <c r="D89" i="2"/>
  <c r="X88" i="2"/>
  <c r="S88" i="2"/>
  <c r="N88" i="2"/>
  <c r="I88" i="2"/>
  <c r="D88" i="2"/>
  <c r="X87" i="2"/>
  <c r="S87" i="2"/>
  <c r="N87" i="2"/>
  <c r="I87" i="2"/>
  <c r="D87" i="2"/>
  <c r="X86" i="2"/>
  <c r="S86" i="2"/>
  <c r="N86" i="2"/>
  <c r="I86" i="2"/>
  <c r="D86" i="2"/>
  <c r="X85" i="2"/>
  <c r="S85" i="2"/>
  <c r="N85" i="2"/>
  <c r="I85" i="2"/>
  <c r="D85" i="2"/>
  <c r="X84" i="2"/>
  <c r="S84" i="2"/>
  <c r="N84" i="2"/>
  <c r="I84" i="2"/>
  <c r="D84" i="2"/>
  <c r="X83" i="2"/>
  <c r="S83" i="2"/>
  <c r="N83" i="2"/>
  <c r="I83" i="2"/>
  <c r="D83" i="2"/>
  <c r="X82" i="2"/>
  <c r="S82" i="2"/>
  <c r="N82" i="2"/>
  <c r="I82" i="2"/>
  <c r="D82" i="2"/>
  <c r="X81" i="2"/>
  <c r="S81" i="2"/>
  <c r="N81" i="2"/>
  <c r="I81" i="2"/>
  <c r="D81" i="2"/>
  <c r="X80" i="2"/>
  <c r="S80" i="2"/>
  <c r="N80" i="2"/>
  <c r="I80" i="2"/>
  <c r="D80" i="2"/>
  <c r="X79" i="2"/>
  <c r="S79" i="2"/>
  <c r="N79" i="2"/>
  <c r="I79" i="2"/>
  <c r="D79" i="2"/>
  <c r="X78" i="2"/>
  <c r="S78" i="2"/>
  <c r="N78" i="2"/>
  <c r="I78" i="2"/>
  <c r="D78" i="2"/>
  <c r="X77" i="2"/>
  <c r="S77" i="2"/>
  <c r="N77" i="2"/>
  <c r="I77" i="2"/>
  <c r="D77" i="2"/>
  <c r="X76" i="2"/>
  <c r="S76" i="2"/>
  <c r="N76" i="2"/>
  <c r="I76" i="2"/>
  <c r="D76" i="2"/>
  <c r="X75" i="2"/>
  <c r="S75" i="2"/>
  <c r="N75" i="2"/>
  <c r="I75" i="2"/>
  <c r="D75" i="2"/>
  <c r="X74" i="2"/>
  <c r="S74" i="2"/>
  <c r="N74" i="2"/>
  <c r="I74" i="2"/>
  <c r="D74" i="2"/>
  <c r="X73" i="2"/>
  <c r="S73" i="2"/>
  <c r="N73" i="2"/>
  <c r="I73" i="2"/>
  <c r="D73" i="2"/>
  <c r="X72" i="2"/>
  <c r="S72" i="2"/>
  <c r="N72" i="2"/>
  <c r="I72" i="2"/>
  <c r="D72" i="2"/>
  <c r="X71" i="2"/>
  <c r="S71" i="2"/>
  <c r="N71" i="2"/>
  <c r="I71" i="2"/>
  <c r="D71" i="2"/>
  <c r="X70" i="2"/>
  <c r="S70" i="2"/>
  <c r="N70" i="2"/>
  <c r="I70" i="2"/>
  <c r="D70" i="2"/>
  <c r="X69" i="2"/>
  <c r="S69" i="2"/>
  <c r="N69" i="2"/>
  <c r="I69" i="2"/>
  <c r="D69" i="2"/>
  <c r="X68" i="2"/>
  <c r="S68" i="2"/>
  <c r="N68" i="2"/>
  <c r="I68" i="2"/>
  <c r="D68" i="2"/>
  <c r="X67" i="2"/>
  <c r="S67" i="2"/>
  <c r="N67" i="2"/>
  <c r="I67" i="2"/>
  <c r="D67" i="2"/>
  <c r="X66" i="2"/>
  <c r="S66" i="2"/>
  <c r="N66" i="2"/>
  <c r="I66" i="2"/>
  <c r="D66" i="2"/>
  <c r="X65" i="2"/>
  <c r="S65" i="2"/>
  <c r="N65" i="2"/>
  <c r="I65" i="2"/>
  <c r="D65" i="2"/>
  <c r="X64" i="2"/>
  <c r="S64" i="2"/>
  <c r="N64" i="2"/>
  <c r="I64" i="2"/>
  <c r="D64" i="2"/>
  <c r="X63" i="2"/>
  <c r="S63" i="2"/>
  <c r="N63" i="2"/>
  <c r="I63" i="2"/>
  <c r="D63" i="2"/>
  <c r="X62" i="2"/>
  <c r="S62" i="2"/>
  <c r="N62" i="2"/>
  <c r="I62" i="2"/>
  <c r="D62" i="2"/>
  <c r="X61" i="2"/>
  <c r="S61" i="2"/>
  <c r="N61" i="2"/>
  <c r="I61" i="2"/>
  <c r="D61" i="2"/>
  <c r="X60" i="2"/>
  <c r="S60" i="2"/>
  <c r="N60" i="2"/>
  <c r="I60" i="2"/>
  <c r="D60" i="2"/>
  <c r="X59" i="2"/>
  <c r="S59" i="2"/>
  <c r="N59" i="2"/>
  <c r="I59" i="2"/>
  <c r="D59" i="2"/>
  <c r="X58" i="2"/>
  <c r="S58" i="2"/>
  <c r="N58" i="2"/>
  <c r="I58" i="2"/>
  <c r="D58" i="2"/>
  <c r="X57" i="2"/>
  <c r="S57" i="2"/>
  <c r="N57" i="2"/>
  <c r="I57" i="2"/>
  <c r="D57" i="2"/>
  <c r="X56" i="2"/>
  <c r="S56" i="2"/>
  <c r="N56" i="2"/>
  <c r="I56" i="2"/>
  <c r="D56" i="2"/>
  <c r="X55" i="2"/>
  <c r="S55" i="2"/>
  <c r="N55" i="2"/>
  <c r="I55" i="2"/>
  <c r="D55" i="2"/>
  <c r="X54" i="2"/>
  <c r="S54" i="2"/>
  <c r="N54" i="2"/>
  <c r="I54" i="2"/>
  <c r="D54" i="2"/>
  <c r="X53" i="2"/>
  <c r="S53" i="2"/>
  <c r="N53" i="2"/>
  <c r="I53" i="2"/>
  <c r="D53" i="2"/>
  <c r="X52" i="2"/>
  <c r="S52" i="2"/>
  <c r="N52" i="2"/>
  <c r="I52" i="2"/>
  <c r="D52" i="2"/>
  <c r="X51" i="2"/>
  <c r="S51" i="2"/>
  <c r="N51" i="2"/>
  <c r="I51" i="2"/>
  <c r="D51" i="2"/>
  <c r="X50" i="2"/>
  <c r="S50" i="2"/>
  <c r="N50" i="2"/>
  <c r="I50" i="2"/>
  <c r="D50" i="2"/>
  <c r="X49" i="2"/>
  <c r="S49" i="2"/>
  <c r="N49" i="2"/>
  <c r="I49" i="2"/>
  <c r="D49" i="2"/>
  <c r="X48" i="2"/>
  <c r="S48" i="2"/>
  <c r="N48" i="2"/>
  <c r="I48" i="2"/>
  <c r="D48" i="2"/>
  <c r="X47" i="2"/>
  <c r="S47" i="2"/>
  <c r="N47" i="2"/>
  <c r="I47" i="2"/>
  <c r="D47" i="2"/>
  <c r="X46" i="2"/>
  <c r="S46" i="2"/>
  <c r="N46" i="2"/>
  <c r="I46" i="2"/>
  <c r="D46" i="2"/>
  <c r="X45" i="2"/>
  <c r="S45" i="2"/>
  <c r="N45" i="2"/>
  <c r="I45" i="2"/>
  <c r="D45" i="2"/>
  <c r="X44" i="2"/>
  <c r="S44" i="2"/>
  <c r="N44" i="2"/>
  <c r="I44" i="2"/>
  <c r="D44" i="2"/>
  <c r="X43" i="2"/>
  <c r="S43" i="2"/>
  <c r="N43" i="2"/>
  <c r="I43" i="2"/>
  <c r="D43" i="2"/>
  <c r="X42" i="2"/>
  <c r="S42" i="2"/>
  <c r="N42" i="2"/>
  <c r="I42" i="2"/>
  <c r="D42" i="2"/>
  <c r="X41" i="2"/>
  <c r="S41" i="2"/>
  <c r="N41" i="2"/>
  <c r="I41" i="2"/>
  <c r="D41" i="2"/>
  <c r="X40" i="2"/>
  <c r="S40" i="2"/>
  <c r="N40" i="2"/>
  <c r="I40" i="2"/>
  <c r="D40" i="2"/>
  <c r="X39" i="2"/>
  <c r="S39" i="2"/>
  <c r="N39" i="2"/>
  <c r="I39" i="2"/>
  <c r="D39" i="2"/>
  <c r="X38" i="2"/>
  <c r="S38" i="2"/>
  <c r="N38" i="2"/>
  <c r="I38" i="2"/>
  <c r="D38" i="2"/>
  <c r="X37" i="2"/>
  <c r="S37" i="2"/>
  <c r="N37" i="2"/>
  <c r="I37" i="2"/>
  <c r="D37" i="2"/>
  <c r="X36" i="2"/>
  <c r="S36" i="2"/>
  <c r="N36" i="2"/>
  <c r="I36" i="2"/>
  <c r="D36" i="2"/>
  <c r="X35" i="2"/>
  <c r="S35" i="2"/>
  <c r="N35" i="2"/>
  <c r="I35" i="2"/>
  <c r="D35" i="2"/>
  <c r="X34" i="2"/>
  <c r="S34" i="2"/>
  <c r="N34" i="2"/>
  <c r="I34" i="2"/>
  <c r="D34" i="2"/>
  <c r="X33" i="2"/>
  <c r="S33" i="2"/>
  <c r="N33" i="2"/>
  <c r="I33" i="2"/>
  <c r="D33" i="2"/>
  <c r="X32" i="2"/>
  <c r="S32" i="2"/>
  <c r="N32" i="2"/>
  <c r="I32" i="2"/>
  <c r="D32" i="2"/>
  <c r="X31" i="2"/>
  <c r="S31" i="2"/>
  <c r="N31" i="2"/>
  <c r="I31" i="2"/>
  <c r="D31" i="2"/>
  <c r="X30" i="2"/>
  <c r="S30" i="2"/>
  <c r="N30" i="2"/>
  <c r="I30" i="2"/>
  <c r="D30" i="2"/>
  <c r="X29" i="2"/>
  <c r="S29" i="2"/>
  <c r="N29" i="2"/>
  <c r="I29" i="2"/>
  <c r="D29" i="2"/>
  <c r="X28" i="2"/>
  <c r="S28" i="2"/>
  <c r="N28" i="2"/>
  <c r="I28" i="2"/>
  <c r="D28" i="2"/>
  <c r="X27" i="2"/>
  <c r="S27" i="2"/>
  <c r="N27" i="2"/>
  <c r="I27" i="2"/>
  <c r="D27" i="2"/>
  <c r="X26" i="2"/>
  <c r="S26" i="2"/>
  <c r="N26" i="2"/>
  <c r="I26" i="2"/>
  <c r="D26" i="2"/>
  <c r="X25" i="2"/>
  <c r="S25" i="2"/>
  <c r="N25" i="2"/>
  <c r="I25" i="2"/>
  <c r="D25" i="2"/>
  <c r="X24" i="2"/>
  <c r="S24" i="2"/>
  <c r="N24" i="2"/>
  <c r="I24" i="2"/>
  <c r="D24" i="2"/>
  <c r="X23" i="2"/>
  <c r="S23" i="2"/>
  <c r="N23" i="2"/>
  <c r="I23" i="2"/>
  <c r="D23" i="2"/>
  <c r="X22" i="2"/>
  <c r="S22" i="2"/>
  <c r="N22" i="2"/>
  <c r="I22" i="2"/>
  <c r="D22" i="2"/>
  <c r="X21" i="2"/>
  <c r="S21" i="2"/>
  <c r="N21" i="2"/>
  <c r="I21" i="2"/>
  <c r="D21" i="2"/>
  <c r="X20" i="2"/>
  <c r="S20" i="2"/>
  <c r="N20" i="2"/>
  <c r="I20" i="2"/>
  <c r="D20" i="2"/>
  <c r="X19" i="2"/>
  <c r="S19" i="2"/>
  <c r="N19" i="2"/>
  <c r="I19" i="2"/>
  <c r="D19" i="2"/>
  <c r="X18" i="2"/>
  <c r="S18" i="2"/>
  <c r="N18" i="2"/>
  <c r="I18" i="2"/>
  <c r="D18" i="2"/>
  <c r="X17" i="2"/>
  <c r="S17" i="2"/>
  <c r="N17" i="2"/>
  <c r="I17" i="2"/>
  <c r="D17" i="2"/>
  <c r="X16" i="2"/>
  <c r="S16" i="2"/>
  <c r="N16" i="2"/>
  <c r="I16" i="2"/>
  <c r="D16" i="2"/>
  <c r="X15" i="2"/>
  <c r="S15" i="2"/>
  <c r="N15" i="2"/>
  <c r="I15" i="2"/>
  <c r="D15" i="2"/>
  <c r="V12" i="2"/>
  <c r="Q12" i="2"/>
  <c r="L12" i="2"/>
  <c r="G12" i="2"/>
  <c r="B12" i="2"/>
  <c r="V11" i="2"/>
  <c r="Q11" i="2"/>
  <c r="L11" i="2"/>
  <c r="G11" i="2"/>
  <c r="B11" i="2"/>
  <c r="V10" i="2"/>
  <c r="Q10" i="2"/>
  <c r="L10" i="2"/>
  <c r="G10" i="2"/>
  <c r="B10" i="2"/>
  <c r="V9" i="2"/>
  <c r="Q9" i="2"/>
  <c r="L9" i="2"/>
  <c r="G9" i="2"/>
  <c r="B9" i="2"/>
  <c r="V8" i="2"/>
  <c r="Q8" i="2"/>
  <c r="L8" i="2"/>
  <c r="G8" i="2"/>
  <c r="B8" i="2"/>
  <c r="V6" i="2"/>
  <c r="Q6" i="2"/>
  <c r="L6" i="2"/>
  <c r="G6" i="2"/>
  <c r="B6" i="2"/>
  <c r="V5" i="2"/>
  <c r="Q5" i="2"/>
  <c r="L5" i="2"/>
  <c r="G5" i="2"/>
  <c r="B5" i="2"/>
  <c r="V4" i="2"/>
  <c r="Q4" i="2"/>
  <c r="L4" i="2"/>
  <c r="G4" i="2"/>
  <c r="B4" i="2"/>
  <c r="V3" i="2"/>
  <c r="Q3" i="2"/>
  <c r="L3" i="2"/>
  <c r="G3" i="2"/>
  <c r="B3" i="2"/>
</calcChain>
</file>

<file path=xl/sharedStrings.xml><?xml version="1.0" encoding="utf-8"?>
<sst xmlns="http://schemas.openxmlformats.org/spreadsheetml/2006/main" count="189" uniqueCount="27">
  <si>
    <t>DM</t>
  </si>
  <si>
    <t>N</t>
  </si>
  <si>
    <t>P2O5</t>
  </si>
  <si>
    <t>K2O</t>
  </si>
  <si>
    <t>NH4</t>
  </si>
  <si>
    <t>SEP</t>
  </si>
  <si>
    <t>Bias</t>
  </si>
  <si>
    <t>R2</t>
  </si>
  <si>
    <t>SLOPE</t>
  </si>
  <si>
    <t>n.</t>
  </si>
  <si>
    <t>MIN</t>
  </si>
  <si>
    <t>MAX</t>
  </si>
  <si>
    <t>AVG</t>
  </si>
  <si>
    <t>DEV.ST</t>
  </si>
  <si>
    <t>TM</t>
  </si>
  <si>
    <t>SNV</t>
  </si>
  <si>
    <t>PCA</t>
  </si>
  <si>
    <t>NO</t>
  </si>
  <si>
    <t>WL EX</t>
  </si>
  <si>
    <t>KERNEL</t>
  </si>
  <si>
    <t>RBF</t>
  </si>
  <si>
    <t>REV918 - DS</t>
  </si>
  <si>
    <t>ID</t>
  </si>
  <si>
    <t>Lab</t>
  </si>
  <si>
    <t>Pred</t>
  </si>
  <si>
    <t>Err</t>
  </si>
  <si>
    <t>REV918 -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</si>
</sst>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/>
    <xf numFmtId="0" fontId="1" fillId="4" borderId="0" xfId="0" applyFont="1" applyFill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3" borderId="9" xfId="0" applyFont="1" applyFill="1" applyBorder="1"/>
    <xf numFmtId="0" fontId="1" fillId="3" borderId="9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M19" sqref="M19"/>
    </sheetView>
  </sheetViews>
  <sheetFormatPr defaultRowHeight="15" x14ac:dyDescent="0.25"/>
  <cols>
    <col min="1" max="1" width="14.42578125" bestFit="1" customWidth="1"/>
  </cols>
  <sheetData>
    <row r="1" spans="1:6" x14ac:dyDescent="0.25">
      <c r="A1" s="26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 t="s">
        <v>5</v>
      </c>
      <c r="B2" s="3">
        <v>0.14178397324421263</v>
      </c>
      <c r="C2" s="3">
        <v>0.3186655252655583</v>
      </c>
      <c r="D2" s="3">
        <v>6.6851909841802087E-2</v>
      </c>
      <c r="E2" s="3">
        <v>0.28421157624888965</v>
      </c>
      <c r="F2" s="4">
        <v>0.25088054972629026</v>
      </c>
    </row>
    <row r="3" spans="1:6" x14ac:dyDescent="0.25">
      <c r="A3" s="5" t="s">
        <v>6</v>
      </c>
      <c r="B3" s="6">
        <v>9.2210836254523008E-3</v>
      </c>
      <c r="C3" s="6">
        <v>2.8947659467280784E-2</v>
      </c>
      <c r="D3" s="6">
        <v>6.8602489623624868E-3</v>
      </c>
      <c r="E3" s="6">
        <v>-3.9843407990839082E-2</v>
      </c>
      <c r="F3" s="7">
        <v>9.4199832218347847E-3</v>
      </c>
    </row>
    <row r="4" spans="1:6" x14ac:dyDescent="0.25">
      <c r="A4" s="5" t="s">
        <v>7</v>
      </c>
      <c r="B4" s="6">
        <v>0.90652532768060423</v>
      </c>
      <c r="C4" s="6">
        <v>0.85751954564660438</v>
      </c>
      <c r="D4" s="6">
        <v>0.65206508666446783</v>
      </c>
      <c r="E4" s="6">
        <v>0.83109654740986139</v>
      </c>
      <c r="F4" s="7">
        <v>0.83871374128811305</v>
      </c>
    </row>
    <row r="5" spans="1:6" x14ac:dyDescent="0.25">
      <c r="A5" s="8" t="s">
        <v>8</v>
      </c>
      <c r="B5" s="9">
        <v>0.8498217333898902</v>
      </c>
      <c r="C5" s="9">
        <v>0.8029195678818225</v>
      </c>
      <c r="D5" s="9">
        <v>0.62720300932621587</v>
      </c>
      <c r="E5" s="9">
        <v>0.78656638204188867</v>
      </c>
      <c r="F5" s="10">
        <v>0.78589573838403259</v>
      </c>
    </row>
    <row r="6" spans="1:6" x14ac:dyDescent="0.25">
      <c r="A6" s="2" t="s">
        <v>9</v>
      </c>
      <c r="B6" s="11">
        <v>100</v>
      </c>
      <c r="C6" s="11">
        <v>100</v>
      </c>
      <c r="D6" s="11">
        <v>98</v>
      </c>
      <c r="E6" s="11">
        <v>96</v>
      </c>
      <c r="F6" s="12">
        <v>96</v>
      </c>
    </row>
    <row r="7" spans="1:6" x14ac:dyDescent="0.25">
      <c r="A7" s="5" t="s">
        <v>10</v>
      </c>
      <c r="B7" s="13">
        <v>0.28999999999999998</v>
      </c>
      <c r="C7" s="13">
        <v>0.5</v>
      </c>
      <c r="D7" s="13">
        <v>2.7E-2</v>
      </c>
      <c r="E7" s="13">
        <v>0.42</v>
      </c>
      <c r="F7" s="14">
        <v>0.3</v>
      </c>
    </row>
    <row r="8" spans="1:6" x14ac:dyDescent="0.25">
      <c r="A8" s="5" t="s">
        <v>11</v>
      </c>
      <c r="B8" s="13">
        <v>2.4</v>
      </c>
      <c r="C8" s="13">
        <v>4.3</v>
      </c>
      <c r="D8" s="13">
        <v>0.48</v>
      </c>
      <c r="E8" s="13">
        <v>3.55</v>
      </c>
      <c r="F8" s="14">
        <v>2.96</v>
      </c>
    </row>
    <row r="9" spans="1:6" x14ac:dyDescent="0.25">
      <c r="A9" s="5" t="s">
        <v>12</v>
      </c>
      <c r="B9" s="15">
        <v>0.87848484848484842</v>
      </c>
      <c r="C9" s="15">
        <v>1.7934343444444445</v>
      </c>
      <c r="D9" s="15">
        <v>0.1920412371134021</v>
      </c>
      <c r="E9" s="15">
        <v>1.468557893684211</v>
      </c>
      <c r="F9" s="16">
        <v>1.3972631568421057</v>
      </c>
    </row>
    <row r="10" spans="1:6" x14ac:dyDescent="0.25">
      <c r="A10" s="8" t="s">
        <v>13</v>
      </c>
      <c r="B10" s="17">
        <v>0.45653835844020041</v>
      </c>
      <c r="C10" s="17">
        <v>0.83488745999847847</v>
      </c>
      <c r="D10" s="17">
        <v>0.11316846932098001</v>
      </c>
      <c r="E10" s="17">
        <v>0.68354061892169615</v>
      </c>
      <c r="F10" s="18">
        <v>0.62119384322161186</v>
      </c>
    </row>
    <row r="11" spans="1:6" x14ac:dyDescent="0.25">
      <c r="A11" s="2" t="s">
        <v>14</v>
      </c>
      <c r="B11" s="11" t="s">
        <v>15</v>
      </c>
      <c r="C11" s="11" t="s">
        <v>15</v>
      </c>
      <c r="D11" s="11" t="s">
        <v>15</v>
      </c>
      <c r="E11" s="11" t="s">
        <v>15</v>
      </c>
      <c r="F11" s="12" t="s">
        <v>15</v>
      </c>
    </row>
    <row r="12" spans="1:6" x14ac:dyDescent="0.25">
      <c r="A12" s="5" t="s">
        <v>16</v>
      </c>
      <c r="B12" s="13" t="s">
        <v>17</v>
      </c>
      <c r="C12" s="13" t="s">
        <v>17</v>
      </c>
      <c r="D12" s="13" t="s">
        <v>17</v>
      </c>
      <c r="E12" s="13" t="s">
        <v>17</v>
      </c>
      <c r="F12" s="14" t="s">
        <v>17</v>
      </c>
    </row>
    <row r="13" spans="1:6" x14ac:dyDescent="0.25">
      <c r="A13" s="5" t="s">
        <v>18</v>
      </c>
      <c r="B13" s="13">
        <v>10</v>
      </c>
      <c r="C13" s="13">
        <v>11</v>
      </c>
      <c r="D13" s="13">
        <v>12</v>
      </c>
      <c r="E13" s="13">
        <v>13</v>
      </c>
      <c r="F13" s="14">
        <v>14</v>
      </c>
    </row>
    <row r="14" spans="1:6" x14ac:dyDescent="0.25">
      <c r="A14" s="8" t="s">
        <v>19</v>
      </c>
      <c r="B14" s="19" t="s">
        <v>20</v>
      </c>
      <c r="C14" s="19" t="s">
        <v>20</v>
      </c>
      <c r="D14" s="19" t="s">
        <v>20</v>
      </c>
      <c r="E14" s="19" t="s">
        <v>20</v>
      </c>
      <c r="F14" s="20" t="s">
        <v>20</v>
      </c>
    </row>
    <row r="18" spans="1:6" x14ac:dyDescent="0.25">
      <c r="A18" s="25" t="s">
        <v>26</v>
      </c>
      <c r="B18" s="23" t="s">
        <v>0</v>
      </c>
      <c r="C18" s="23" t="s">
        <v>1</v>
      </c>
      <c r="D18" s="23" t="s">
        <v>2</v>
      </c>
      <c r="E18" s="23" t="s">
        <v>3</v>
      </c>
      <c r="F18" s="24" t="s">
        <v>4</v>
      </c>
    </row>
    <row r="19" spans="1:6" x14ac:dyDescent="0.25">
      <c r="A19" s="2" t="s">
        <v>5</v>
      </c>
      <c r="B19" s="3">
        <v>0.42132471092562146</v>
      </c>
      <c r="C19" s="3">
        <v>0.47971366919454556</v>
      </c>
      <c r="D19" s="3">
        <v>9.6950025601016385E-2</v>
      </c>
      <c r="E19" s="3">
        <v>0.48335660719673318</v>
      </c>
      <c r="F19" s="4">
        <v>0.46495619942799926</v>
      </c>
    </row>
    <row r="20" spans="1:6" x14ac:dyDescent="0.25">
      <c r="A20" s="5" t="s">
        <v>6</v>
      </c>
      <c r="B20" s="6">
        <v>0.15662385757605674</v>
      </c>
      <c r="C20" s="6">
        <v>0.23389317070803697</v>
      </c>
      <c r="D20" s="6">
        <v>-4.7134678376595913E-2</v>
      </c>
      <c r="E20" s="6">
        <v>0.25854404462906466</v>
      </c>
      <c r="F20" s="7">
        <v>0.24067615659758776</v>
      </c>
    </row>
    <row r="21" spans="1:6" x14ac:dyDescent="0.25">
      <c r="A21" s="5" t="s">
        <v>7</v>
      </c>
      <c r="B21" s="6">
        <v>0.2558147484829027</v>
      </c>
      <c r="C21" s="6">
        <v>0.57543700144513887</v>
      </c>
      <c r="D21" s="6">
        <v>0.63707802098270006</v>
      </c>
      <c r="E21" s="6">
        <v>0.71021520765473856</v>
      </c>
      <c r="F21" s="7">
        <v>0.66953538213200559</v>
      </c>
    </row>
    <row r="22" spans="1:6" x14ac:dyDescent="0.25">
      <c r="A22" s="8" t="s">
        <v>8</v>
      </c>
      <c r="B22" s="9">
        <v>0.23060163928495378</v>
      </c>
      <c r="C22" s="9">
        <v>0.59861375256846028</v>
      </c>
      <c r="D22" s="9">
        <v>0.45858938585807946</v>
      </c>
      <c r="E22" s="9">
        <v>0.80495610174379351</v>
      </c>
      <c r="F22" s="10">
        <v>0.79865667691304887</v>
      </c>
    </row>
    <row r="23" spans="1:6" x14ac:dyDescent="0.25">
      <c r="A23" s="2" t="s">
        <v>9</v>
      </c>
      <c r="B23" s="11">
        <v>12</v>
      </c>
      <c r="C23" s="11">
        <v>12</v>
      </c>
      <c r="D23" s="11">
        <v>14</v>
      </c>
      <c r="E23" s="11">
        <v>13</v>
      </c>
      <c r="F23" s="12">
        <v>13</v>
      </c>
    </row>
    <row r="24" spans="1:6" x14ac:dyDescent="0.25">
      <c r="A24" s="5" t="s">
        <v>10</v>
      </c>
      <c r="B24" s="13">
        <v>0.38</v>
      </c>
      <c r="C24" s="13">
        <v>0.18</v>
      </c>
      <c r="D24" s="13">
        <v>0.06</v>
      </c>
      <c r="E24" s="13">
        <v>0.69</v>
      </c>
      <c r="F24" s="14">
        <v>0.11</v>
      </c>
    </row>
    <row r="25" spans="1:6" x14ac:dyDescent="0.25">
      <c r="A25" s="5" t="s">
        <v>11</v>
      </c>
      <c r="B25" s="13">
        <v>2.1</v>
      </c>
      <c r="C25" s="13">
        <v>2.57</v>
      </c>
      <c r="D25" s="13">
        <v>0.56000000000000005</v>
      </c>
      <c r="E25" s="13">
        <v>2.81</v>
      </c>
      <c r="F25" s="14">
        <v>2.4</v>
      </c>
    </row>
    <row r="26" spans="1:6" x14ac:dyDescent="0.25">
      <c r="A26" s="5" t="s">
        <v>12</v>
      </c>
      <c r="B26" s="15">
        <v>1.1018181818181818</v>
      </c>
      <c r="C26" s="15">
        <v>1.9881818181818183</v>
      </c>
      <c r="D26" s="15">
        <v>0.2084615384615385</v>
      </c>
      <c r="E26" s="15">
        <v>1.8291666666666666</v>
      </c>
      <c r="F26" s="16">
        <v>1.6949999999999996</v>
      </c>
    </row>
    <row r="27" spans="1:6" x14ac:dyDescent="0.25">
      <c r="A27" s="8" t="s">
        <v>13</v>
      </c>
      <c r="B27" s="17">
        <v>0.47473820536835176</v>
      </c>
      <c r="C27" s="17">
        <v>0.67342138638178362</v>
      </c>
      <c r="D27" s="17">
        <v>0.13722524997524777</v>
      </c>
      <c r="E27" s="17">
        <v>0.77565759002906565</v>
      </c>
      <c r="F27" s="18">
        <v>0.6970131080024774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3"/>
  <sheetViews>
    <sheetView workbookViewId="0">
      <selection activeCell="L15" sqref="L15"/>
    </sheetView>
  </sheetViews>
  <sheetFormatPr defaultRowHeight="15" x14ac:dyDescent="0.25"/>
  <sheetData>
    <row r="1" spans="1:31" x14ac:dyDescent="0.25">
      <c r="A1" s="22" t="s">
        <v>0</v>
      </c>
      <c r="B1" s="22"/>
      <c r="C1" s="22"/>
      <c r="D1" s="22"/>
      <c r="F1" s="22" t="s">
        <v>1</v>
      </c>
      <c r="G1" s="22"/>
      <c r="H1" s="22"/>
      <c r="I1" s="22"/>
      <c r="K1" s="22" t="s">
        <v>2</v>
      </c>
      <c r="L1" s="22"/>
      <c r="M1" s="22"/>
      <c r="N1" s="22"/>
      <c r="P1" s="22" t="s">
        <v>3</v>
      </c>
      <c r="Q1" s="22"/>
      <c r="R1" s="22"/>
      <c r="S1" s="22"/>
      <c r="U1" s="22" t="s">
        <v>4</v>
      </c>
      <c r="V1" s="22"/>
      <c r="W1" s="22"/>
      <c r="X1" s="22"/>
    </row>
    <row r="3" spans="1:31" x14ac:dyDescent="0.25">
      <c r="A3" s="21" t="s">
        <v>5</v>
      </c>
      <c r="B3">
        <f>SQRT(SUMSQ(D15:D1048576)/COUNTA(D15:D1048576))</f>
        <v>0.14178397324421263</v>
      </c>
      <c r="F3" s="21" t="s">
        <v>5</v>
      </c>
      <c r="G3">
        <f>SQRT(SUMSQ(I15:I1048576)/COUNTA(I15:I1048576))</f>
        <v>0.3186655252655583</v>
      </c>
      <c r="K3" s="21" t="s">
        <v>5</v>
      </c>
      <c r="L3">
        <f>SQRT(SUMSQ(N15:N1048576)/COUNTA(N15:N1048576))</f>
        <v>6.6851909841802087E-2</v>
      </c>
      <c r="P3" s="21" t="s">
        <v>5</v>
      </c>
      <c r="Q3">
        <f>SQRT(SUMSQ(S15:S1048576)/COUNTA(S15:S1048576))</f>
        <v>0.28421157624888965</v>
      </c>
      <c r="U3" s="21" t="s">
        <v>5</v>
      </c>
      <c r="V3">
        <f>SQRT(SUMSQ(X15:X1048576)/COUNTA(X15:X1048576))</f>
        <v>0.25088054972629026</v>
      </c>
    </row>
    <row r="4" spans="1:31" x14ac:dyDescent="0.25">
      <c r="A4" s="21" t="s">
        <v>6</v>
      </c>
      <c r="B4">
        <f>AVERAGE(D15:D1048576)</f>
        <v>9.2210836254523008E-3</v>
      </c>
      <c r="F4" s="21" t="s">
        <v>6</v>
      </c>
      <c r="G4">
        <f>AVERAGE(I15:I1048576)</f>
        <v>2.8947659467280784E-2</v>
      </c>
      <c r="K4" s="21" t="s">
        <v>6</v>
      </c>
      <c r="L4">
        <f>AVERAGE(N15:N1048576)</f>
        <v>6.8602489623624868E-3</v>
      </c>
      <c r="P4" s="21" t="s">
        <v>6</v>
      </c>
      <c r="Q4">
        <f>AVERAGE(S15:S1048576)</f>
        <v>-3.9843407990839082E-2</v>
      </c>
      <c r="U4" s="21" t="s">
        <v>6</v>
      </c>
      <c r="V4">
        <f>AVERAGE(X15:X1048576)</f>
        <v>9.4199832218347847E-3</v>
      </c>
    </row>
    <row r="5" spans="1:31" x14ac:dyDescent="0.25">
      <c r="A5" s="21" t="s">
        <v>7</v>
      </c>
      <c r="B5">
        <f>CORREL(B15:B1048576,C15:C1048576)^2</f>
        <v>0.90652532768060423</v>
      </c>
      <c r="F5" s="21" t="s">
        <v>7</v>
      </c>
      <c r="G5">
        <f>CORREL(G15:G1048576,H15:H1048576)^2</f>
        <v>0.85751954564660438</v>
      </c>
      <c r="K5" s="21" t="s">
        <v>7</v>
      </c>
      <c r="L5">
        <f>CORREL(L15:L1048576,M15:M1048576)^2</f>
        <v>0.65206508666446783</v>
      </c>
      <c r="P5" s="21" t="s">
        <v>7</v>
      </c>
      <c r="Q5">
        <f>CORREL(Q15:Q1048576,R15:R1048576)^2</f>
        <v>0.83109654740986139</v>
      </c>
      <c r="U5" s="21" t="s">
        <v>7</v>
      </c>
      <c r="V5">
        <f>CORREL(V15:V1048576,W15:W1048576)^2</f>
        <v>0.83871374128811305</v>
      </c>
    </row>
    <row r="6" spans="1:31" x14ac:dyDescent="0.25">
      <c r="A6" s="21" t="s">
        <v>8</v>
      </c>
      <c r="B6">
        <f>SLOPE(C15:C1048576,B15:B1048576)</f>
        <v>0.8498217333898902</v>
      </c>
      <c r="F6" s="21" t="s">
        <v>8</v>
      </c>
      <c r="G6">
        <f>SLOPE(H15:H1048576,G15:G1048576)</f>
        <v>0.8029195678818225</v>
      </c>
      <c r="K6" s="21" t="s">
        <v>8</v>
      </c>
      <c r="L6">
        <f>SLOPE(M15:M1048576,L15:L1048576)</f>
        <v>0.62720300932621587</v>
      </c>
      <c r="P6" s="21" t="s">
        <v>8</v>
      </c>
      <c r="Q6">
        <f>SLOPE(R15:R1048576,Q15:Q1048576)</f>
        <v>0.78656638204188867</v>
      </c>
      <c r="U6" s="21" t="s">
        <v>8</v>
      </c>
      <c r="V6">
        <f>SLOPE(W15:W1048576,V15:V1048576)</f>
        <v>0.78589573838403259</v>
      </c>
    </row>
    <row r="7" spans="1:31" x14ac:dyDescent="0.25">
      <c r="A7" s="21"/>
      <c r="F7" s="21"/>
      <c r="K7" s="21"/>
      <c r="P7" s="21"/>
      <c r="U7" s="21"/>
    </row>
    <row r="8" spans="1:31" x14ac:dyDescent="0.25">
      <c r="A8" s="21" t="s">
        <v>9</v>
      </c>
      <c r="B8">
        <f>COUNTA(B14:B1048576)</f>
        <v>100</v>
      </c>
      <c r="F8" s="21" t="s">
        <v>9</v>
      </c>
      <c r="G8">
        <f>COUNTA(G14:G1048576)</f>
        <v>100</v>
      </c>
      <c r="K8" s="21" t="s">
        <v>9</v>
      </c>
      <c r="L8">
        <f>COUNTA(L14:L1048576)</f>
        <v>98</v>
      </c>
      <c r="P8" s="21" t="s">
        <v>9</v>
      </c>
      <c r="Q8">
        <f>COUNTA(Q14:Q1048576)</f>
        <v>96</v>
      </c>
      <c r="U8" s="21" t="s">
        <v>9</v>
      </c>
      <c r="V8">
        <f>COUNTA(V14:V1048576)</f>
        <v>96</v>
      </c>
    </row>
    <row r="9" spans="1:31" x14ac:dyDescent="0.25">
      <c r="A9" s="21" t="s">
        <v>10</v>
      </c>
      <c r="B9">
        <f>MIN(B14:B1048576)</f>
        <v>0.28999999999999998</v>
      </c>
      <c r="F9" s="21" t="s">
        <v>10</v>
      </c>
      <c r="G9">
        <f>MIN(G14:G1048576)</f>
        <v>0.5</v>
      </c>
      <c r="K9" s="21" t="s">
        <v>10</v>
      </c>
      <c r="L9">
        <f>MIN(L14:L1048576)</f>
        <v>2.7E-2</v>
      </c>
      <c r="P9" s="21" t="s">
        <v>10</v>
      </c>
      <c r="Q9">
        <f>MIN(Q14:Q1048576)</f>
        <v>0.42</v>
      </c>
      <c r="U9" s="21" t="s">
        <v>10</v>
      </c>
      <c r="V9">
        <f>MIN(V14:V1048576)</f>
        <v>0.3</v>
      </c>
    </row>
    <row r="10" spans="1:31" x14ac:dyDescent="0.25">
      <c r="A10" s="21" t="s">
        <v>11</v>
      </c>
      <c r="B10">
        <f>MAX(B14:B1048576)</f>
        <v>2.4</v>
      </c>
      <c r="F10" s="21" t="s">
        <v>11</v>
      </c>
      <c r="G10">
        <f>MAX(G14:G1048576)</f>
        <v>4.3</v>
      </c>
      <c r="K10" s="21" t="s">
        <v>11</v>
      </c>
      <c r="L10">
        <f>MAX(L14:L1048576)</f>
        <v>0.48</v>
      </c>
      <c r="P10" s="21" t="s">
        <v>11</v>
      </c>
      <c r="Q10">
        <f>MAX(Q14:Q1048576)</f>
        <v>3.55</v>
      </c>
      <c r="U10" s="21" t="s">
        <v>11</v>
      </c>
      <c r="V10">
        <f>MAX(V14:V1048576)</f>
        <v>2.96</v>
      </c>
    </row>
    <row r="11" spans="1:31" x14ac:dyDescent="0.25">
      <c r="A11" s="21" t="s">
        <v>12</v>
      </c>
      <c r="B11">
        <f>AVERAGE(B14:B1048576)</f>
        <v>0.87848484848484842</v>
      </c>
      <c r="F11" s="21" t="s">
        <v>12</v>
      </c>
      <c r="G11">
        <f>AVERAGE(G14:G1048576)</f>
        <v>1.7934343444444445</v>
      </c>
      <c r="K11" s="21" t="s">
        <v>12</v>
      </c>
      <c r="L11">
        <f>AVERAGE(L14:L1048576)</f>
        <v>0.1920412371134021</v>
      </c>
      <c r="P11" s="21" t="s">
        <v>12</v>
      </c>
      <c r="Q11">
        <f>AVERAGE(Q14:Q1048576)</f>
        <v>1.468557893684211</v>
      </c>
      <c r="U11" s="21" t="s">
        <v>12</v>
      </c>
      <c r="V11">
        <f>AVERAGE(V14:V1048576)</f>
        <v>1.3972631568421057</v>
      </c>
    </row>
    <row r="12" spans="1:31" x14ac:dyDescent="0.25">
      <c r="A12" s="21" t="s">
        <v>13</v>
      </c>
      <c r="B12">
        <f>STDEV(B14:B1048576)</f>
        <v>0.45653835844020041</v>
      </c>
      <c r="F12" s="21" t="s">
        <v>13</v>
      </c>
      <c r="G12">
        <f>STDEV(G14:G1048576)</f>
        <v>0.83488745999847847</v>
      </c>
      <c r="K12" s="21" t="s">
        <v>13</v>
      </c>
      <c r="L12">
        <f>STDEV(L14:L1048576)</f>
        <v>0.11316846932098001</v>
      </c>
      <c r="P12" s="21" t="s">
        <v>13</v>
      </c>
      <c r="Q12">
        <f>STDEV(Q14:Q1048576)</f>
        <v>0.68354061892169615</v>
      </c>
      <c r="U12" s="21" t="s">
        <v>13</v>
      </c>
      <c r="V12">
        <f>STDEV(V14:V1048576)</f>
        <v>0.62119384322161186</v>
      </c>
      <c r="AA12" s="21"/>
      <c r="AB12" s="21"/>
      <c r="AC12" s="21"/>
      <c r="AD12" s="21"/>
      <c r="AE12" s="21"/>
    </row>
    <row r="13" spans="1:31" x14ac:dyDescent="0.25">
      <c r="Z13" s="21"/>
    </row>
    <row r="14" spans="1:31" x14ac:dyDescent="0.25">
      <c r="A14" s="21" t="s">
        <v>22</v>
      </c>
      <c r="B14" s="21" t="s">
        <v>23</v>
      </c>
      <c r="C14" s="21" t="s">
        <v>24</v>
      </c>
      <c r="D14" s="21" t="s">
        <v>25</v>
      </c>
      <c r="F14" s="21" t="s">
        <v>22</v>
      </c>
      <c r="G14" s="21" t="s">
        <v>23</v>
      </c>
      <c r="H14" s="21" t="s">
        <v>24</v>
      </c>
      <c r="I14" s="21" t="s">
        <v>25</v>
      </c>
      <c r="K14" s="21" t="s">
        <v>22</v>
      </c>
      <c r="L14" s="21" t="s">
        <v>23</v>
      </c>
      <c r="M14" s="21" t="s">
        <v>24</v>
      </c>
      <c r="N14" s="21" t="s">
        <v>25</v>
      </c>
      <c r="P14" s="21" t="s">
        <v>22</v>
      </c>
      <c r="Q14" s="21" t="s">
        <v>23</v>
      </c>
      <c r="R14" s="21" t="s">
        <v>24</v>
      </c>
      <c r="S14" s="21" t="s">
        <v>25</v>
      </c>
      <c r="U14" s="21" t="s">
        <v>22</v>
      </c>
      <c r="V14" s="21" t="s">
        <v>23</v>
      </c>
      <c r="W14" s="21" t="s">
        <v>24</v>
      </c>
      <c r="X14" s="21" t="s">
        <v>25</v>
      </c>
      <c r="Z14" s="21"/>
    </row>
    <row r="15" spans="1:31" x14ac:dyDescent="0.25">
      <c r="A15">
        <v>175</v>
      </c>
      <c r="B15">
        <v>1.4</v>
      </c>
      <c r="C15">
        <v>1.34573890393255</v>
      </c>
      <c r="D15">
        <f t="shared" ref="D15:D46" si="0">B15-C15</f>
        <v>5.4261096067449888E-2</v>
      </c>
      <c r="F15">
        <v>175</v>
      </c>
      <c r="G15">
        <v>3.02</v>
      </c>
      <c r="H15">
        <v>2.4150429885923899</v>
      </c>
      <c r="I15">
        <f t="shared" ref="I15:I46" si="1">G15-H15</f>
        <v>0.60495701140761016</v>
      </c>
      <c r="K15">
        <v>175</v>
      </c>
      <c r="L15">
        <v>0.33</v>
      </c>
      <c r="M15">
        <v>0.309596751431573</v>
      </c>
      <c r="N15">
        <f t="shared" ref="N15:N46" si="2">L15-M15</f>
        <v>2.0403248568427013E-2</v>
      </c>
      <c r="P15">
        <v>175</v>
      </c>
      <c r="Q15">
        <v>2.21</v>
      </c>
      <c r="R15">
        <v>2.3623849974923599</v>
      </c>
      <c r="S15">
        <f t="shared" ref="S15:S46" si="3">Q15-R15</f>
        <v>-0.1523849974923599</v>
      </c>
      <c r="U15">
        <v>175</v>
      </c>
      <c r="V15">
        <v>2.35</v>
      </c>
      <c r="W15">
        <v>1.98363771379016</v>
      </c>
      <c r="X15">
        <f>V15-W15</f>
        <v>0.36636228620984013</v>
      </c>
      <c r="Z15" s="21"/>
    </row>
    <row r="16" spans="1:31" x14ac:dyDescent="0.25">
      <c r="A16">
        <v>1248</v>
      </c>
      <c r="B16">
        <v>2.33</v>
      </c>
      <c r="C16">
        <v>1.5361106940435201</v>
      </c>
      <c r="D16">
        <f t="shared" si="0"/>
        <v>0.79388930595648</v>
      </c>
      <c r="F16">
        <v>1246</v>
      </c>
      <c r="G16">
        <v>1.9</v>
      </c>
      <c r="H16">
        <v>1.7936556822324301</v>
      </c>
      <c r="I16">
        <f t="shared" si="1"/>
        <v>0.10634431776756981</v>
      </c>
      <c r="K16">
        <v>1249</v>
      </c>
      <c r="L16">
        <v>0.46899999999999997</v>
      </c>
      <c r="M16">
        <v>0.22067696860434599</v>
      </c>
      <c r="N16">
        <f t="shared" si="2"/>
        <v>0.24832303139565398</v>
      </c>
      <c r="P16">
        <v>1246</v>
      </c>
      <c r="Q16">
        <v>1.85</v>
      </c>
      <c r="R16">
        <v>1.5493762160696201</v>
      </c>
      <c r="S16">
        <f t="shared" si="3"/>
        <v>0.30062378393038003</v>
      </c>
      <c r="U16">
        <v>1246</v>
      </c>
      <c r="V16">
        <v>1.6</v>
      </c>
      <c r="W16">
        <v>1.4823846004405701</v>
      </c>
      <c r="X16">
        <f t="shared" ref="X16:X79" si="4">V16-W16</f>
        <v>0.11761539955943001</v>
      </c>
      <c r="Z16" s="21"/>
    </row>
    <row r="17" spans="1:24" x14ac:dyDescent="0.25">
      <c r="A17">
        <v>1249</v>
      </c>
      <c r="B17">
        <v>1.21</v>
      </c>
      <c r="C17">
        <v>1.0079227031642899</v>
      </c>
      <c r="D17">
        <f t="shared" si="0"/>
        <v>0.20207729683571007</v>
      </c>
      <c r="F17">
        <v>1248</v>
      </c>
      <c r="G17">
        <v>2.4</v>
      </c>
      <c r="H17">
        <v>2.33368289423376</v>
      </c>
      <c r="I17">
        <f t="shared" si="1"/>
        <v>6.6317105766239948E-2</v>
      </c>
      <c r="K17">
        <v>1260</v>
      </c>
      <c r="L17">
        <v>0.13400000000000001</v>
      </c>
      <c r="M17">
        <v>0.19975628870363199</v>
      </c>
      <c r="N17">
        <f t="shared" si="2"/>
        <v>-6.5756288703631982E-2</v>
      </c>
      <c r="P17">
        <v>1248</v>
      </c>
      <c r="Q17">
        <v>1.46</v>
      </c>
      <c r="R17">
        <v>2.4862073933361399</v>
      </c>
      <c r="S17">
        <f t="shared" si="3"/>
        <v>-1.02620739333614</v>
      </c>
      <c r="U17">
        <v>1248</v>
      </c>
      <c r="V17">
        <v>2.1</v>
      </c>
      <c r="W17">
        <v>2.0468543375581301</v>
      </c>
      <c r="X17">
        <f t="shared" si="4"/>
        <v>5.3145662441870023E-2</v>
      </c>
    </row>
    <row r="18" spans="1:24" x14ac:dyDescent="0.25">
      <c r="A18">
        <v>1260</v>
      </c>
      <c r="B18">
        <v>0.83</v>
      </c>
      <c r="C18">
        <v>0.91009408340997</v>
      </c>
      <c r="D18">
        <f t="shared" si="0"/>
        <v>-8.009408340997004E-2</v>
      </c>
      <c r="F18">
        <v>1249</v>
      </c>
      <c r="G18">
        <v>1.6</v>
      </c>
      <c r="H18">
        <v>1.4104835113705401</v>
      </c>
      <c r="I18">
        <f t="shared" si="1"/>
        <v>0.18951648862946002</v>
      </c>
      <c r="K18">
        <v>1378</v>
      </c>
      <c r="L18">
        <v>0.48</v>
      </c>
      <c r="M18">
        <v>0.26330451777247299</v>
      </c>
      <c r="N18">
        <f t="shared" si="2"/>
        <v>0.21669548222752699</v>
      </c>
      <c r="P18">
        <v>1249</v>
      </c>
      <c r="Q18">
        <v>1.1399999999999999</v>
      </c>
      <c r="R18">
        <v>1.3087193180777099</v>
      </c>
      <c r="S18">
        <f t="shared" si="3"/>
        <v>-0.16871931807771001</v>
      </c>
      <c r="U18">
        <v>1249</v>
      </c>
      <c r="V18">
        <v>1.3</v>
      </c>
      <c r="W18">
        <v>1.19079173732934</v>
      </c>
      <c r="X18">
        <f t="shared" si="4"/>
        <v>0.10920826267066008</v>
      </c>
    </row>
    <row r="19" spans="1:24" x14ac:dyDescent="0.25">
      <c r="A19">
        <v>1378</v>
      </c>
      <c r="B19">
        <v>1.2</v>
      </c>
      <c r="C19">
        <v>1.11805804914262</v>
      </c>
      <c r="D19">
        <f t="shared" si="0"/>
        <v>8.1941950857379986E-2</v>
      </c>
      <c r="F19">
        <v>1260</v>
      </c>
      <c r="G19">
        <v>1.3</v>
      </c>
      <c r="H19">
        <v>1.3708513059696901</v>
      </c>
      <c r="I19">
        <f t="shared" si="1"/>
        <v>-7.0851305969690026E-2</v>
      </c>
      <c r="K19">
        <v>1454</v>
      </c>
      <c r="L19">
        <v>0.35</v>
      </c>
      <c r="M19">
        <v>0.28931920130501798</v>
      </c>
      <c r="N19">
        <f t="shared" si="2"/>
        <v>6.0680798694981997E-2</v>
      </c>
      <c r="P19">
        <v>1260</v>
      </c>
      <c r="Q19">
        <v>0.97299999999999998</v>
      </c>
      <c r="R19">
        <v>1.0968558913370201</v>
      </c>
      <c r="S19">
        <f t="shared" si="3"/>
        <v>-0.12385589133702013</v>
      </c>
      <c r="U19">
        <v>1260</v>
      </c>
      <c r="V19">
        <v>1</v>
      </c>
      <c r="W19">
        <v>1.09287239932169</v>
      </c>
      <c r="X19">
        <f t="shared" si="4"/>
        <v>-9.2872399321690002E-2</v>
      </c>
    </row>
    <row r="20" spans="1:24" x14ac:dyDescent="0.25">
      <c r="A20">
        <v>1454</v>
      </c>
      <c r="B20">
        <v>1.3</v>
      </c>
      <c r="C20">
        <v>1.46260278938582</v>
      </c>
      <c r="D20">
        <f t="shared" si="0"/>
        <v>-0.16260278938581996</v>
      </c>
      <c r="F20">
        <v>1378</v>
      </c>
      <c r="G20">
        <v>2.2400000000000002</v>
      </c>
      <c r="H20">
        <v>1.9306786027207601</v>
      </c>
      <c r="I20">
        <f t="shared" si="1"/>
        <v>0.30932139727924013</v>
      </c>
      <c r="K20">
        <v>1535</v>
      </c>
      <c r="L20">
        <v>0.34</v>
      </c>
      <c r="M20">
        <v>0.31304790954113698</v>
      </c>
      <c r="N20">
        <f t="shared" si="2"/>
        <v>2.6952090458863043E-2</v>
      </c>
      <c r="P20">
        <v>1378</v>
      </c>
      <c r="Q20">
        <v>2.4700000000000002</v>
      </c>
      <c r="R20">
        <v>2.19127710876396</v>
      </c>
      <c r="S20">
        <f t="shared" si="3"/>
        <v>0.27872289123604022</v>
      </c>
      <c r="U20">
        <v>1378</v>
      </c>
      <c r="V20">
        <v>1.77</v>
      </c>
      <c r="W20">
        <v>1.747514705602</v>
      </c>
      <c r="X20">
        <f t="shared" si="4"/>
        <v>2.2485294398000066E-2</v>
      </c>
    </row>
    <row r="21" spans="1:24" x14ac:dyDescent="0.25">
      <c r="A21">
        <v>1535</v>
      </c>
      <c r="B21">
        <v>0.69</v>
      </c>
      <c r="C21">
        <v>1.0469889354692301</v>
      </c>
      <c r="D21">
        <f t="shared" si="0"/>
        <v>-0.35698893546923016</v>
      </c>
      <c r="F21">
        <v>1454</v>
      </c>
      <c r="G21">
        <v>3.34</v>
      </c>
      <c r="H21">
        <v>2.47565984464892</v>
      </c>
      <c r="I21">
        <f t="shared" si="1"/>
        <v>0.86434015535107989</v>
      </c>
      <c r="K21">
        <v>1571</v>
      </c>
      <c r="L21">
        <v>0.15</v>
      </c>
      <c r="M21">
        <v>0.273401017654264</v>
      </c>
      <c r="N21">
        <f t="shared" si="2"/>
        <v>-0.12340101765426401</v>
      </c>
      <c r="P21">
        <v>1454</v>
      </c>
      <c r="Q21">
        <v>2.81</v>
      </c>
      <c r="R21">
        <v>2.4849915328061898</v>
      </c>
      <c r="S21">
        <f t="shared" si="3"/>
        <v>0.32500846719381027</v>
      </c>
      <c r="U21">
        <v>1454</v>
      </c>
      <c r="V21">
        <v>2.5</v>
      </c>
      <c r="W21">
        <v>2.1801570391508198</v>
      </c>
      <c r="X21">
        <f t="shared" si="4"/>
        <v>0.31984296084918018</v>
      </c>
    </row>
    <row r="22" spans="1:24" x14ac:dyDescent="0.25">
      <c r="A22">
        <v>1571</v>
      </c>
      <c r="B22">
        <v>0.82</v>
      </c>
      <c r="C22">
        <v>1.1115599695489899</v>
      </c>
      <c r="D22">
        <f t="shared" si="0"/>
        <v>-0.29155996954898999</v>
      </c>
      <c r="F22">
        <v>1535</v>
      </c>
      <c r="G22">
        <v>1.02</v>
      </c>
      <c r="H22">
        <v>1.86772885727493</v>
      </c>
      <c r="I22">
        <f t="shared" si="1"/>
        <v>-0.84772885727492997</v>
      </c>
      <c r="K22">
        <v>1579</v>
      </c>
      <c r="L22">
        <v>0.25</v>
      </c>
      <c r="M22">
        <v>0.25019562971963999</v>
      </c>
      <c r="N22">
        <f t="shared" si="2"/>
        <v>-1.9562971963998921E-4</v>
      </c>
      <c r="P22">
        <v>1571</v>
      </c>
      <c r="Q22">
        <v>1.8</v>
      </c>
      <c r="R22">
        <v>2.3056301730639399</v>
      </c>
      <c r="S22">
        <f t="shared" si="3"/>
        <v>-0.50563017306393987</v>
      </c>
      <c r="U22">
        <v>1535</v>
      </c>
      <c r="V22">
        <v>0.85</v>
      </c>
      <c r="W22">
        <v>1.5554607092881201</v>
      </c>
      <c r="X22">
        <f t="shared" si="4"/>
        <v>-0.7054607092881201</v>
      </c>
    </row>
    <row r="23" spans="1:24" x14ac:dyDescent="0.25">
      <c r="A23">
        <v>1579</v>
      </c>
      <c r="B23">
        <v>1.3</v>
      </c>
      <c r="C23">
        <v>1.1530023931914499</v>
      </c>
      <c r="D23">
        <f t="shared" si="0"/>
        <v>0.14699760680855012</v>
      </c>
      <c r="F23">
        <v>1571</v>
      </c>
      <c r="G23">
        <v>1.6</v>
      </c>
      <c r="H23">
        <v>2.0639222621134699</v>
      </c>
      <c r="I23">
        <f t="shared" si="1"/>
        <v>-0.46392226211346976</v>
      </c>
      <c r="K23">
        <v>1582</v>
      </c>
      <c r="L23">
        <v>0.15</v>
      </c>
      <c r="M23">
        <v>0.207897642198592</v>
      </c>
      <c r="N23">
        <f t="shared" si="2"/>
        <v>-5.7897642198592003E-2</v>
      </c>
      <c r="P23">
        <v>1579</v>
      </c>
      <c r="Q23">
        <v>2.99</v>
      </c>
      <c r="R23">
        <v>2.6652227378298199</v>
      </c>
      <c r="S23">
        <f t="shared" si="3"/>
        <v>0.32477726217018033</v>
      </c>
      <c r="U23">
        <v>1571</v>
      </c>
      <c r="V23">
        <v>1.47</v>
      </c>
      <c r="W23">
        <v>1.95659295996479</v>
      </c>
      <c r="X23">
        <f t="shared" si="4"/>
        <v>-0.48659295996479002</v>
      </c>
    </row>
    <row r="24" spans="1:24" x14ac:dyDescent="0.25">
      <c r="A24">
        <v>1582</v>
      </c>
      <c r="B24">
        <v>0.64</v>
      </c>
      <c r="C24">
        <v>0.74450255017456402</v>
      </c>
      <c r="D24">
        <f t="shared" si="0"/>
        <v>-0.104502550174564</v>
      </c>
      <c r="F24">
        <v>1579</v>
      </c>
      <c r="G24">
        <v>3.08</v>
      </c>
      <c r="H24">
        <v>2.7544326797960301</v>
      </c>
      <c r="I24">
        <f t="shared" si="1"/>
        <v>0.32556732020396995</v>
      </c>
      <c r="K24">
        <v>1591</v>
      </c>
      <c r="L24">
        <v>0.26</v>
      </c>
      <c r="M24">
        <v>0.27162871174856401</v>
      </c>
      <c r="N24">
        <f t="shared" si="2"/>
        <v>-1.1628711748564002E-2</v>
      </c>
      <c r="P24">
        <v>1582</v>
      </c>
      <c r="Q24">
        <v>1.5</v>
      </c>
      <c r="R24">
        <v>2.0174277038405801</v>
      </c>
      <c r="S24">
        <f t="shared" si="3"/>
        <v>-0.51742770384058012</v>
      </c>
      <c r="U24">
        <v>1579</v>
      </c>
      <c r="V24">
        <v>2.96</v>
      </c>
      <c r="W24">
        <v>2.49585168700865</v>
      </c>
      <c r="X24">
        <f t="shared" si="4"/>
        <v>0.46414831299134995</v>
      </c>
    </row>
    <row r="25" spans="1:24" x14ac:dyDescent="0.25">
      <c r="A25">
        <v>1591</v>
      </c>
      <c r="B25">
        <v>1</v>
      </c>
      <c r="C25">
        <v>0.99842869943981705</v>
      </c>
      <c r="D25">
        <f t="shared" si="0"/>
        <v>1.5713005601829533E-3</v>
      </c>
      <c r="F25">
        <v>1582</v>
      </c>
      <c r="G25">
        <v>1.47</v>
      </c>
      <c r="H25">
        <v>2.01073680606076</v>
      </c>
      <c r="I25">
        <f t="shared" si="1"/>
        <v>-0.54073680606076002</v>
      </c>
      <c r="K25">
        <v>1615</v>
      </c>
      <c r="L25">
        <v>0.4</v>
      </c>
      <c r="M25">
        <v>0.34599524899279499</v>
      </c>
      <c r="N25">
        <f t="shared" si="2"/>
        <v>5.4004751007205032E-2</v>
      </c>
      <c r="P25">
        <v>1591</v>
      </c>
      <c r="Q25">
        <v>2.66</v>
      </c>
      <c r="R25">
        <v>2.1526015390063802</v>
      </c>
      <c r="S25">
        <f t="shared" si="3"/>
        <v>0.50739846099361996</v>
      </c>
      <c r="U25">
        <v>1582</v>
      </c>
      <c r="V25">
        <v>1.43</v>
      </c>
      <c r="W25">
        <v>1.8385333083859901</v>
      </c>
      <c r="X25">
        <f t="shared" si="4"/>
        <v>-0.40853330838599011</v>
      </c>
    </row>
    <row r="26" spans="1:24" x14ac:dyDescent="0.25">
      <c r="A26">
        <v>1615</v>
      </c>
      <c r="B26">
        <v>1.2</v>
      </c>
      <c r="C26">
        <v>1.21254914377199</v>
      </c>
      <c r="D26">
        <f t="shared" si="0"/>
        <v>-1.2549143771990012E-2</v>
      </c>
      <c r="F26">
        <v>1591</v>
      </c>
      <c r="G26">
        <v>1.89</v>
      </c>
      <c r="H26">
        <v>1.4766379145720101</v>
      </c>
      <c r="I26">
        <f t="shared" si="1"/>
        <v>0.4133620854279898</v>
      </c>
      <c r="K26">
        <v>1622</v>
      </c>
      <c r="L26">
        <v>0.27</v>
      </c>
      <c r="M26">
        <v>0.33534092646478297</v>
      </c>
      <c r="N26">
        <f t="shared" si="2"/>
        <v>-6.5340926464782956E-2</v>
      </c>
      <c r="P26">
        <v>1615</v>
      </c>
      <c r="Q26">
        <v>2.81</v>
      </c>
      <c r="R26">
        <v>2.6145947905880398</v>
      </c>
      <c r="S26">
        <f t="shared" si="3"/>
        <v>0.19540520941196027</v>
      </c>
      <c r="U26">
        <v>1591</v>
      </c>
      <c r="V26">
        <v>1.89</v>
      </c>
      <c r="W26">
        <v>1.4229282371339</v>
      </c>
      <c r="X26">
        <f t="shared" si="4"/>
        <v>0.46707176286609986</v>
      </c>
    </row>
    <row r="27" spans="1:24" x14ac:dyDescent="0.25">
      <c r="A27">
        <v>1622</v>
      </c>
      <c r="B27">
        <v>1</v>
      </c>
      <c r="C27">
        <v>1.01585379753683</v>
      </c>
      <c r="D27">
        <f t="shared" si="0"/>
        <v>-1.5853797536830028E-2</v>
      </c>
      <c r="F27">
        <v>1615</v>
      </c>
      <c r="G27">
        <v>2.7</v>
      </c>
      <c r="H27">
        <v>2.5687184665783001</v>
      </c>
      <c r="I27">
        <f t="shared" si="1"/>
        <v>0.13128153342170013</v>
      </c>
      <c r="K27">
        <v>1632</v>
      </c>
      <c r="L27">
        <v>0.23</v>
      </c>
      <c r="M27">
        <v>0.290545411246804</v>
      </c>
      <c r="N27">
        <f t="shared" si="2"/>
        <v>-6.0545411246803987E-2</v>
      </c>
      <c r="P27">
        <v>1622</v>
      </c>
      <c r="Q27">
        <v>1.73</v>
      </c>
      <c r="R27">
        <v>2.12345908971285</v>
      </c>
      <c r="S27">
        <f t="shared" si="3"/>
        <v>-0.39345908971285004</v>
      </c>
      <c r="U27">
        <v>1615</v>
      </c>
      <c r="V27">
        <v>2.67</v>
      </c>
      <c r="W27">
        <v>2.2631024791968901</v>
      </c>
      <c r="X27">
        <f t="shared" si="4"/>
        <v>0.40689752080310981</v>
      </c>
    </row>
    <row r="28" spans="1:24" x14ac:dyDescent="0.25">
      <c r="A28">
        <v>1632</v>
      </c>
      <c r="B28">
        <v>1.4</v>
      </c>
      <c r="C28">
        <v>1.36755063869622</v>
      </c>
      <c r="D28">
        <f t="shared" si="0"/>
        <v>3.2449361303779956E-2</v>
      </c>
      <c r="F28">
        <v>1622</v>
      </c>
      <c r="G28">
        <v>1.58</v>
      </c>
      <c r="H28">
        <v>1.7853981257720299</v>
      </c>
      <c r="I28">
        <f t="shared" si="1"/>
        <v>-0.20539812577202987</v>
      </c>
      <c r="K28">
        <v>1780</v>
      </c>
      <c r="L28">
        <v>0.14000000000000001</v>
      </c>
      <c r="M28">
        <v>0.23984248511192299</v>
      </c>
      <c r="N28">
        <f t="shared" si="2"/>
        <v>-9.9842485111922979E-2</v>
      </c>
      <c r="P28">
        <v>1632</v>
      </c>
      <c r="Q28">
        <v>3.55</v>
      </c>
      <c r="R28">
        <v>2.6166123097334202</v>
      </c>
      <c r="S28">
        <f t="shared" si="3"/>
        <v>0.93338769026657964</v>
      </c>
      <c r="U28">
        <v>1622</v>
      </c>
      <c r="V28">
        <v>1.44</v>
      </c>
      <c r="W28">
        <v>1.77840952699192</v>
      </c>
      <c r="X28">
        <f t="shared" si="4"/>
        <v>-0.33840952699192006</v>
      </c>
    </row>
    <row r="29" spans="1:24" x14ac:dyDescent="0.25">
      <c r="A29">
        <v>1780</v>
      </c>
      <c r="B29">
        <v>0.82</v>
      </c>
      <c r="C29">
        <v>0.90756697043505596</v>
      </c>
      <c r="D29">
        <f t="shared" si="0"/>
        <v>-8.7566970435056013E-2</v>
      </c>
      <c r="F29">
        <v>1632</v>
      </c>
      <c r="G29">
        <v>2.59</v>
      </c>
      <c r="H29">
        <v>2.5395649610093098</v>
      </c>
      <c r="I29">
        <f t="shared" si="1"/>
        <v>5.0435038990690018E-2</v>
      </c>
      <c r="K29">
        <v>1788</v>
      </c>
      <c r="L29">
        <v>0.13</v>
      </c>
      <c r="M29">
        <v>0.25204804093602901</v>
      </c>
      <c r="N29">
        <f t="shared" si="2"/>
        <v>-0.122048040936029</v>
      </c>
      <c r="P29">
        <v>1780</v>
      </c>
      <c r="Q29">
        <v>1.85</v>
      </c>
      <c r="R29">
        <v>1.9223483818253599</v>
      </c>
      <c r="S29">
        <f t="shared" si="3"/>
        <v>-7.2348381825359853E-2</v>
      </c>
      <c r="U29">
        <v>1632</v>
      </c>
      <c r="V29">
        <v>2.4900000000000002</v>
      </c>
      <c r="W29">
        <v>2.3284457072457001</v>
      </c>
      <c r="X29">
        <f t="shared" si="4"/>
        <v>0.16155429275430011</v>
      </c>
    </row>
    <row r="30" spans="1:24" x14ac:dyDescent="0.25">
      <c r="A30">
        <v>1788</v>
      </c>
      <c r="B30">
        <v>0.86</v>
      </c>
      <c r="C30">
        <v>1.00720858258962</v>
      </c>
      <c r="D30">
        <f t="shared" si="0"/>
        <v>-0.14720858258962</v>
      </c>
      <c r="F30">
        <v>1780</v>
      </c>
      <c r="G30">
        <v>1.78</v>
      </c>
      <c r="H30">
        <v>1.71754496771898</v>
      </c>
      <c r="I30">
        <f t="shared" si="1"/>
        <v>6.2455032281020006E-2</v>
      </c>
      <c r="K30">
        <v>162</v>
      </c>
      <c r="L30">
        <v>0.24</v>
      </c>
      <c r="M30">
        <v>0.27061587796792602</v>
      </c>
      <c r="N30">
        <f t="shared" si="2"/>
        <v>-3.0615877967926031E-2</v>
      </c>
      <c r="P30">
        <v>1788</v>
      </c>
      <c r="Q30">
        <v>2.14</v>
      </c>
      <c r="R30">
        <v>2.1976758140089601</v>
      </c>
      <c r="S30">
        <f t="shared" si="3"/>
        <v>-5.7675814008959936E-2</v>
      </c>
      <c r="U30">
        <v>1780</v>
      </c>
      <c r="V30">
        <v>1.76</v>
      </c>
      <c r="W30">
        <v>1.5297562527388899</v>
      </c>
      <c r="X30">
        <f t="shared" si="4"/>
        <v>0.23024374726111008</v>
      </c>
    </row>
    <row r="31" spans="1:24" x14ac:dyDescent="0.25">
      <c r="A31">
        <v>814</v>
      </c>
      <c r="B31">
        <v>0.28999999999999998</v>
      </c>
      <c r="C31">
        <v>0.32046481878361499</v>
      </c>
      <c r="D31">
        <f t="shared" si="0"/>
        <v>-3.0464818783615011E-2</v>
      </c>
      <c r="F31">
        <v>1788</v>
      </c>
      <c r="G31">
        <v>1.74</v>
      </c>
      <c r="H31">
        <v>2.13030311792809</v>
      </c>
      <c r="I31">
        <f t="shared" si="1"/>
        <v>-0.39030311792809003</v>
      </c>
      <c r="K31">
        <v>814</v>
      </c>
      <c r="L31">
        <v>3.9E-2</v>
      </c>
      <c r="M31">
        <v>4.1529281952317899E-2</v>
      </c>
      <c r="N31">
        <f t="shared" si="2"/>
        <v>-2.5292819523178994E-3</v>
      </c>
      <c r="P31">
        <v>162</v>
      </c>
      <c r="Q31">
        <v>3.0999998999999998</v>
      </c>
      <c r="R31">
        <v>2.1232406045937799</v>
      </c>
      <c r="S31">
        <f t="shared" si="3"/>
        <v>0.97675929540621986</v>
      </c>
      <c r="U31">
        <v>1788</v>
      </c>
      <c r="V31">
        <v>1.62</v>
      </c>
      <c r="W31">
        <v>1.9403443126426001</v>
      </c>
      <c r="X31">
        <f t="shared" si="4"/>
        <v>-0.32034431264259999</v>
      </c>
    </row>
    <row r="32" spans="1:24" x14ac:dyDescent="0.25">
      <c r="A32">
        <v>812</v>
      </c>
      <c r="B32">
        <v>0.31</v>
      </c>
      <c r="C32">
        <v>0.369386307624961</v>
      </c>
      <c r="D32">
        <f t="shared" si="0"/>
        <v>-5.9386307624960999E-2</v>
      </c>
      <c r="F32">
        <v>814</v>
      </c>
      <c r="G32">
        <v>0.6</v>
      </c>
      <c r="H32">
        <v>0.78913546899119003</v>
      </c>
      <c r="I32">
        <f t="shared" si="1"/>
        <v>-0.18913546899119005</v>
      </c>
      <c r="K32">
        <v>812</v>
      </c>
      <c r="L32">
        <v>4.7E-2</v>
      </c>
      <c r="M32">
        <v>4.0210573558389397E-2</v>
      </c>
      <c r="N32">
        <f t="shared" si="2"/>
        <v>6.7894264416106034E-3</v>
      </c>
      <c r="P32">
        <v>814</v>
      </c>
      <c r="Q32">
        <v>0.72</v>
      </c>
      <c r="R32">
        <v>0.86921905819353895</v>
      </c>
      <c r="S32">
        <f t="shared" si="3"/>
        <v>-0.14921905819353898</v>
      </c>
      <c r="U32">
        <v>814</v>
      </c>
      <c r="V32">
        <v>0.47</v>
      </c>
      <c r="W32">
        <v>0.56154446021990101</v>
      </c>
      <c r="X32">
        <f t="shared" si="4"/>
        <v>-9.1544460219901036E-2</v>
      </c>
    </row>
    <row r="33" spans="1:24" x14ac:dyDescent="0.25">
      <c r="A33">
        <v>813</v>
      </c>
      <c r="B33">
        <v>0.31</v>
      </c>
      <c r="C33">
        <v>0.30987885564814399</v>
      </c>
      <c r="D33">
        <f t="shared" si="0"/>
        <v>1.2114435185600625E-4</v>
      </c>
      <c r="F33">
        <v>812</v>
      </c>
      <c r="G33">
        <v>1</v>
      </c>
      <c r="H33">
        <v>0.84266017368447499</v>
      </c>
      <c r="I33">
        <f t="shared" si="1"/>
        <v>0.15733982631552501</v>
      </c>
      <c r="K33">
        <v>813</v>
      </c>
      <c r="L33">
        <v>5.0999999999999997E-2</v>
      </c>
      <c r="M33">
        <v>3.7598989475455001E-2</v>
      </c>
      <c r="N33">
        <f t="shared" si="2"/>
        <v>1.3401010524544996E-2</v>
      </c>
      <c r="P33">
        <v>812</v>
      </c>
      <c r="Q33">
        <v>0.83</v>
      </c>
      <c r="R33">
        <v>0.96935890425990701</v>
      </c>
      <c r="S33">
        <f t="shared" si="3"/>
        <v>-0.13935890425990705</v>
      </c>
      <c r="U33">
        <v>812</v>
      </c>
      <c r="V33">
        <v>0.5</v>
      </c>
      <c r="W33">
        <v>0.572984748008181</v>
      </c>
      <c r="X33">
        <f t="shared" si="4"/>
        <v>-7.2984748008181E-2</v>
      </c>
    </row>
    <row r="34" spans="1:24" x14ac:dyDescent="0.25">
      <c r="A34">
        <v>730</v>
      </c>
      <c r="B34">
        <v>0.34</v>
      </c>
      <c r="C34">
        <v>0.35920154508579399</v>
      </c>
      <c r="D34">
        <f t="shared" si="0"/>
        <v>-1.920154508579397E-2</v>
      </c>
      <c r="F34">
        <v>813</v>
      </c>
      <c r="G34">
        <v>0.6</v>
      </c>
      <c r="H34">
        <v>0.80142238058076798</v>
      </c>
      <c r="I34">
        <f t="shared" si="1"/>
        <v>-0.201422380580768</v>
      </c>
      <c r="K34">
        <v>730</v>
      </c>
      <c r="L34">
        <v>4.9000000000000002E-2</v>
      </c>
      <c r="M34">
        <v>5.9880269853040603E-2</v>
      </c>
      <c r="N34">
        <f t="shared" si="2"/>
        <v>-1.0880269853040601E-2</v>
      </c>
      <c r="P34">
        <v>813</v>
      </c>
      <c r="Q34">
        <v>0.86</v>
      </c>
      <c r="R34">
        <v>0.84989135100572299</v>
      </c>
      <c r="S34">
        <f t="shared" si="3"/>
        <v>1.0108648994276992E-2</v>
      </c>
      <c r="U34">
        <v>813</v>
      </c>
      <c r="V34">
        <v>0.47</v>
      </c>
      <c r="W34">
        <v>0.55384406537272801</v>
      </c>
      <c r="X34">
        <f t="shared" si="4"/>
        <v>-8.3844065372728038E-2</v>
      </c>
    </row>
    <row r="35" spans="1:24" x14ac:dyDescent="0.25">
      <c r="A35">
        <v>442</v>
      </c>
      <c r="B35">
        <v>0.37</v>
      </c>
      <c r="C35">
        <v>0.470647118861659</v>
      </c>
      <c r="D35">
        <f t="shared" si="0"/>
        <v>-0.100647118861659</v>
      </c>
      <c r="F35">
        <v>730</v>
      </c>
      <c r="G35">
        <v>0.8</v>
      </c>
      <c r="H35">
        <v>0.82999139196316196</v>
      </c>
      <c r="I35">
        <f t="shared" si="1"/>
        <v>-2.9991391963161917E-2</v>
      </c>
      <c r="K35">
        <v>442</v>
      </c>
      <c r="L35">
        <v>0.16</v>
      </c>
      <c r="M35">
        <v>8.1085634405666906E-2</v>
      </c>
      <c r="N35">
        <f t="shared" si="2"/>
        <v>7.8914365594333097E-2</v>
      </c>
      <c r="P35">
        <v>730</v>
      </c>
      <c r="Q35">
        <v>0.78</v>
      </c>
      <c r="R35">
        <v>0.92484916660049499</v>
      </c>
      <c r="S35">
        <f t="shared" si="3"/>
        <v>-0.14484916660049496</v>
      </c>
      <c r="U35">
        <v>730</v>
      </c>
      <c r="V35">
        <v>0.36</v>
      </c>
      <c r="W35">
        <v>0.417970256510314</v>
      </c>
      <c r="X35">
        <f t="shared" si="4"/>
        <v>-5.7970256510314011E-2</v>
      </c>
    </row>
    <row r="36" spans="1:24" x14ac:dyDescent="0.25">
      <c r="A36">
        <v>395</v>
      </c>
      <c r="B36">
        <v>0.4</v>
      </c>
      <c r="C36">
        <v>0.43684965980902302</v>
      </c>
      <c r="D36">
        <f t="shared" si="0"/>
        <v>-3.6849659809022994E-2</v>
      </c>
      <c r="F36">
        <v>442</v>
      </c>
      <c r="G36">
        <v>0.6</v>
      </c>
      <c r="H36">
        <v>0.51758052773975705</v>
      </c>
      <c r="I36">
        <f t="shared" si="1"/>
        <v>8.2419472260242932E-2</v>
      </c>
      <c r="K36">
        <v>395</v>
      </c>
      <c r="L36">
        <v>7.0000000000000007E-2</v>
      </c>
      <c r="M36">
        <v>4.2371179724218E-2</v>
      </c>
      <c r="N36">
        <f t="shared" si="2"/>
        <v>2.7628820275782007E-2</v>
      </c>
      <c r="P36">
        <v>442</v>
      </c>
      <c r="Q36">
        <v>0.54</v>
      </c>
      <c r="R36">
        <v>0.87171564289418202</v>
      </c>
      <c r="S36">
        <f t="shared" si="3"/>
        <v>-0.33171564289418198</v>
      </c>
      <c r="U36">
        <v>442</v>
      </c>
      <c r="V36">
        <v>0.48</v>
      </c>
      <c r="W36">
        <v>0.44245311636443402</v>
      </c>
      <c r="X36">
        <f t="shared" si="4"/>
        <v>3.7546883635565964E-2</v>
      </c>
    </row>
    <row r="37" spans="1:24" x14ac:dyDescent="0.25">
      <c r="A37">
        <v>664</v>
      </c>
      <c r="B37">
        <v>0.4</v>
      </c>
      <c r="C37">
        <v>0.39846789000073601</v>
      </c>
      <c r="D37">
        <f t="shared" si="0"/>
        <v>1.5321099992640086E-3</v>
      </c>
      <c r="F37">
        <v>395</v>
      </c>
      <c r="G37">
        <v>1</v>
      </c>
      <c r="H37">
        <v>0.76725662180363796</v>
      </c>
      <c r="I37">
        <f t="shared" si="1"/>
        <v>0.23274337819636204</v>
      </c>
      <c r="K37">
        <v>664</v>
      </c>
      <c r="L37">
        <v>6.6000000000000003E-2</v>
      </c>
      <c r="M37">
        <v>5.5222295971414301E-2</v>
      </c>
      <c r="N37">
        <f t="shared" si="2"/>
        <v>1.0777704028585702E-2</v>
      </c>
      <c r="P37">
        <v>395</v>
      </c>
      <c r="Q37">
        <v>0.97</v>
      </c>
      <c r="R37">
        <v>1.0166940539304401</v>
      </c>
      <c r="S37">
        <f t="shared" si="3"/>
        <v>-4.6694053930440127E-2</v>
      </c>
      <c r="U37">
        <v>395</v>
      </c>
      <c r="V37">
        <v>0.95</v>
      </c>
      <c r="W37">
        <v>0.74644971276749195</v>
      </c>
      <c r="X37">
        <f t="shared" si="4"/>
        <v>0.20355028723250801</v>
      </c>
    </row>
    <row r="38" spans="1:24" x14ac:dyDescent="0.25">
      <c r="A38">
        <v>545</v>
      </c>
      <c r="B38">
        <v>0.41</v>
      </c>
      <c r="C38">
        <v>0.46170437444379497</v>
      </c>
      <c r="D38">
        <f t="shared" si="0"/>
        <v>-5.1704374443794998E-2</v>
      </c>
      <c r="F38">
        <v>664</v>
      </c>
      <c r="G38">
        <v>0.5</v>
      </c>
      <c r="H38">
        <v>0.42717051494634001</v>
      </c>
      <c r="I38">
        <f t="shared" si="1"/>
        <v>7.2829485053659992E-2</v>
      </c>
      <c r="K38">
        <v>545</v>
      </c>
      <c r="L38">
        <v>7.0999999999999994E-2</v>
      </c>
      <c r="M38">
        <v>9.4659894867830802E-2</v>
      </c>
      <c r="N38">
        <f t="shared" si="2"/>
        <v>-2.3659894867830808E-2</v>
      </c>
      <c r="P38">
        <v>664</v>
      </c>
      <c r="Q38">
        <v>0.95</v>
      </c>
      <c r="R38">
        <v>0.99482175027630004</v>
      </c>
      <c r="S38">
        <f t="shared" si="3"/>
        <v>-4.4821750276300087E-2</v>
      </c>
      <c r="U38">
        <v>664</v>
      </c>
      <c r="V38">
        <v>0.3</v>
      </c>
      <c r="W38">
        <v>0.20611592589974501</v>
      </c>
      <c r="X38">
        <f t="shared" si="4"/>
        <v>9.3884074100254983E-2</v>
      </c>
    </row>
    <row r="39" spans="1:24" x14ac:dyDescent="0.25">
      <c r="A39">
        <v>13</v>
      </c>
      <c r="B39">
        <v>0.44</v>
      </c>
      <c r="C39">
        <v>0.398935211778364</v>
      </c>
      <c r="D39">
        <f t="shared" si="0"/>
        <v>4.1064788221636006E-2</v>
      </c>
      <c r="F39">
        <v>545</v>
      </c>
      <c r="G39">
        <v>1</v>
      </c>
      <c r="H39">
        <v>0.89454092817469999</v>
      </c>
      <c r="I39">
        <f t="shared" si="1"/>
        <v>0.10545907182530001</v>
      </c>
      <c r="K39">
        <v>13</v>
      </c>
      <c r="L39">
        <v>6.8000000000000005E-2</v>
      </c>
      <c r="M39">
        <v>6.3842069853911901E-2</v>
      </c>
      <c r="N39">
        <f t="shared" si="2"/>
        <v>4.1579301460881041E-3</v>
      </c>
      <c r="P39">
        <v>545</v>
      </c>
      <c r="Q39">
        <v>0.92</v>
      </c>
      <c r="R39">
        <v>0.87057366590547502</v>
      </c>
      <c r="S39">
        <f t="shared" si="3"/>
        <v>4.9426334094525015E-2</v>
      </c>
      <c r="U39">
        <v>545</v>
      </c>
      <c r="V39">
        <v>1</v>
      </c>
      <c r="W39">
        <v>0.90079631446333697</v>
      </c>
      <c r="X39">
        <f t="shared" si="4"/>
        <v>9.9203685536663033E-2</v>
      </c>
    </row>
    <row r="40" spans="1:24" x14ac:dyDescent="0.25">
      <c r="A40">
        <v>20</v>
      </c>
      <c r="B40">
        <v>0.44</v>
      </c>
      <c r="C40">
        <v>0.481088105535116</v>
      </c>
      <c r="D40">
        <f t="shared" si="0"/>
        <v>-4.1088105535115993E-2</v>
      </c>
      <c r="F40">
        <v>13</v>
      </c>
      <c r="G40">
        <v>0.7</v>
      </c>
      <c r="H40">
        <v>0.60852819838127004</v>
      </c>
      <c r="I40">
        <f t="shared" si="1"/>
        <v>9.147180161872992E-2</v>
      </c>
      <c r="K40">
        <v>20</v>
      </c>
      <c r="L40">
        <v>0.12</v>
      </c>
      <c r="M40">
        <v>0.11880491836285</v>
      </c>
      <c r="N40">
        <f t="shared" si="2"/>
        <v>1.19508163715E-3</v>
      </c>
      <c r="P40">
        <v>13</v>
      </c>
      <c r="Q40">
        <v>1.1000000000000001</v>
      </c>
      <c r="R40">
        <v>0.84062393077517406</v>
      </c>
      <c r="S40">
        <f t="shared" si="3"/>
        <v>0.25937606922482603</v>
      </c>
      <c r="U40">
        <v>13</v>
      </c>
      <c r="V40">
        <v>0.66</v>
      </c>
      <c r="W40">
        <v>0.48889148101762803</v>
      </c>
      <c r="X40">
        <f t="shared" si="4"/>
        <v>0.171108518982372</v>
      </c>
    </row>
    <row r="41" spans="1:24" x14ac:dyDescent="0.25">
      <c r="A41">
        <v>564</v>
      </c>
      <c r="B41">
        <v>0.44</v>
      </c>
      <c r="C41">
        <v>0.61521002848610395</v>
      </c>
      <c r="D41">
        <f t="shared" si="0"/>
        <v>-0.17521002848610395</v>
      </c>
      <c r="F41">
        <v>20</v>
      </c>
      <c r="G41">
        <v>0.8</v>
      </c>
      <c r="H41">
        <v>0.864228734022089</v>
      </c>
      <c r="I41">
        <f t="shared" si="1"/>
        <v>-6.4228734022088951E-2</v>
      </c>
      <c r="K41">
        <v>564</v>
      </c>
      <c r="L41">
        <v>0.11</v>
      </c>
      <c r="M41">
        <v>0.167021123821081</v>
      </c>
      <c r="N41">
        <f t="shared" si="2"/>
        <v>-5.7021123821081002E-2</v>
      </c>
      <c r="P41">
        <v>20</v>
      </c>
      <c r="Q41">
        <v>0.67</v>
      </c>
      <c r="R41">
        <v>0.77277281690101696</v>
      </c>
      <c r="S41">
        <f t="shared" si="3"/>
        <v>-0.10277281690101692</v>
      </c>
      <c r="U41">
        <v>20</v>
      </c>
      <c r="V41">
        <v>0.64</v>
      </c>
      <c r="W41">
        <v>0.69862557470472197</v>
      </c>
      <c r="X41">
        <f t="shared" si="4"/>
        <v>-5.8625574704721961E-2</v>
      </c>
    </row>
    <row r="42" spans="1:24" x14ac:dyDescent="0.25">
      <c r="A42">
        <v>21</v>
      </c>
      <c r="B42">
        <v>0.45</v>
      </c>
      <c r="C42">
        <v>0.49772171424702499</v>
      </c>
      <c r="D42">
        <f t="shared" si="0"/>
        <v>-4.7721714247024982E-2</v>
      </c>
      <c r="F42">
        <v>564</v>
      </c>
      <c r="G42">
        <v>1.1000000000000001</v>
      </c>
      <c r="H42">
        <v>1.3391197171272899</v>
      </c>
      <c r="I42">
        <f t="shared" si="1"/>
        <v>-0.23911971712728985</v>
      </c>
      <c r="K42">
        <v>21</v>
      </c>
      <c r="L42">
        <v>0.17</v>
      </c>
      <c r="M42">
        <v>0.14849939044883501</v>
      </c>
      <c r="N42">
        <f t="shared" si="2"/>
        <v>2.1500609551165006E-2</v>
      </c>
      <c r="P42">
        <v>564</v>
      </c>
      <c r="Q42">
        <v>0.73</v>
      </c>
      <c r="R42">
        <v>1.0542551147758299</v>
      </c>
      <c r="S42">
        <f t="shared" si="3"/>
        <v>-0.32425511477582991</v>
      </c>
      <c r="U42">
        <v>564</v>
      </c>
      <c r="V42">
        <v>0.82</v>
      </c>
      <c r="W42">
        <v>1.14769562006293</v>
      </c>
      <c r="X42">
        <f t="shared" si="4"/>
        <v>-0.32769562006293007</v>
      </c>
    </row>
    <row r="43" spans="1:24" x14ac:dyDescent="0.25">
      <c r="A43">
        <v>165</v>
      </c>
      <c r="B43">
        <v>0.45</v>
      </c>
      <c r="C43">
        <v>0.47046974326148899</v>
      </c>
      <c r="D43">
        <f t="shared" si="0"/>
        <v>-2.0469743261488982E-2</v>
      </c>
      <c r="F43">
        <v>21</v>
      </c>
      <c r="G43">
        <v>0.8</v>
      </c>
      <c r="H43">
        <v>0.88866591357018698</v>
      </c>
      <c r="I43">
        <f t="shared" si="1"/>
        <v>-8.8665913570186938E-2</v>
      </c>
      <c r="K43">
        <v>165</v>
      </c>
      <c r="L43">
        <v>7.2999999999999995E-2</v>
      </c>
      <c r="M43">
        <v>6.6384427613946195E-2</v>
      </c>
      <c r="N43">
        <f t="shared" si="2"/>
        <v>6.6155723860538002E-3</v>
      </c>
      <c r="P43">
        <v>21</v>
      </c>
      <c r="Q43">
        <v>0.61</v>
      </c>
      <c r="R43">
        <v>0.72108982216478201</v>
      </c>
      <c r="S43">
        <f t="shared" si="3"/>
        <v>-0.11108982216478203</v>
      </c>
      <c r="U43">
        <v>21</v>
      </c>
      <c r="V43">
        <v>0.72</v>
      </c>
      <c r="W43">
        <v>0.81901121987146297</v>
      </c>
      <c r="X43">
        <f t="shared" si="4"/>
        <v>-9.9011219871462997E-2</v>
      </c>
    </row>
    <row r="44" spans="1:24" x14ac:dyDescent="0.25">
      <c r="A44">
        <v>649</v>
      </c>
      <c r="B44">
        <v>0.46</v>
      </c>
      <c r="C44">
        <v>0.46457672760364199</v>
      </c>
      <c r="D44">
        <f t="shared" si="0"/>
        <v>-4.5767276036419724E-3</v>
      </c>
      <c r="F44">
        <v>165</v>
      </c>
      <c r="G44">
        <v>1.1000000000000001</v>
      </c>
      <c r="H44">
        <v>1.04173946557987</v>
      </c>
      <c r="I44">
        <f t="shared" si="1"/>
        <v>5.8260534420130128E-2</v>
      </c>
      <c r="K44">
        <v>649</v>
      </c>
      <c r="L44">
        <v>9.1999999999999998E-2</v>
      </c>
      <c r="M44">
        <v>0.103943268969013</v>
      </c>
      <c r="N44">
        <f t="shared" si="2"/>
        <v>-1.1943268969013002E-2</v>
      </c>
      <c r="P44">
        <v>165</v>
      </c>
      <c r="Q44">
        <v>0.85</v>
      </c>
      <c r="R44">
        <v>0.93199549608188903</v>
      </c>
      <c r="S44">
        <f t="shared" si="3"/>
        <v>-8.1995496081889052E-2</v>
      </c>
      <c r="U44">
        <v>165</v>
      </c>
      <c r="V44">
        <v>0.88</v>
      </c>
      <c r="W44">
        <v>0.815703021625381</v>
      </c>
      <c r="X44">
        <f t="shared" si="4"/>
        <v>6.4296978374619007E-2</v>
      </c>
    </row>
    <row r="45" spans="1:24" x14ac:dyDescent="0.25">
      <c r="A45">
        <v>659</v>
      </c>
      <c r="B45">
        <v>0.48</v>
      </c>
      <c r="C45">
        <v>0.46855041019663601</v>
      </c>
      <c r="D45">
        <f t="shared" si="0"/>
        <v>1.1449589803363969E-2</v>
      </c>
      <c r="F45">
        <v>649</v>
      </c>
      <c r="G45">
        <v>1.1000000000000001</v>
      </c>
      <c r="H45">
        <v>1.0634311116991499</v>
      </c>
      <c r="I45">
        <f t="shared" si="1"/>
        <v>3.6568888300850144E-2</v>
      </c>
      <c r="K45">
        <v>659</v>
      </c>
      <c r="L45">
        <v>4.8000000000000001E-2</v>
      </c>
      <c r="M45">
        <v>6.2834218051266696E-2</v>
      </c>
      <c r="N45">
        <f t="shared" si="2"/>
        <v>-1.4834218051266695E-2</v>
      </c>
      <c r="P45">
        <v>649</v>
      </c>
      <c r="Q45">
        <v>1.1000000000000001</v>
      </c>
      <c r="R45">
        <v>1.0320291531958901</v>
      </c>
      <c r="S45">
        <f t="shared" si="3"/>
        <v>6.797084680411003E-2</v>
      </c>
      <c r="U45">
        <v>649</v>
      </c>
      <c r="V45">
        <v>1.1000000000000001</v>
      </c>
      <c r="W45">
        <v>0.83338166151126902</v>
      </c>
      <c r="X45">
        <f t="shared" si="4"/>
        <v>0.26661833848873107</v>
      </c>
    </row>
    <row r="46" spans="1:24" x14ac:dyDescent="0.25">
      <c r="A46">
        <v>728</v>
      </c>
      <c r="B46">
        <v>0.48</v>
      </c>
      <c r="C46">
        <v>0.47522379564360701</v>
      </c>
      <c r="D46">
        <f t="shared" si="0"/>
        <v>4.7762043563929768E-3</v>
      </c>
      <c r="F46">
        <v>659</v>
      </c>
      <c r="G46">
        <v>0.7</v>
      </c>
      <c r="H46">
        <v>0.93832692498329595</v>
      </c>
      <c r="I46">
        <f t="shared" si="1"/>
        <v>-0.238326924983296</v>
      </c>
      <c r="K46">
        <v>728</v>
      </c>
      <c r="L46">
        <v>0.12</v>
      </c>
      <c r="M46">
        <v>0.110769822431666</v>
      </c>
      <c r="N46">
        <f t="shared" si="2"/>
        <v>9.2301775683339971E-3</v>
      </c>
      <c r="P46">
        <v>659</v>
      </c>
      <c r="Q46">
        <v>0.98</v>
      </c>
      <c r="R46">
        <v>1.23982616577557</v>
      </c>
      <c r="S46">
        <f t="shared" si="3"/>
        <v>-0.25982616577557005</v>
      </c>
      <c r="U46">
        <v>659</v>
      </c>
      <c r="V46">
        <v>0.36</v>
      </c>
      <c r="W46">
        <v>0.75406340724551801</v>
      </c>
      <c r="X46">
        <f t="shared" si="4"/>
        <v>-0.39406340724551803</v>
      </c>
    </row>
    <row r="47" spans="1:24" x14ac:dyDescent="0.25">
      <c r="A47">
        <v>809</v>
      </c>
      <c r="B47">
        <v>0.48</v>
      </c>
      <c r="C47">
        <v>0.39491506984291103</v>
      </c>
      <c r="D47">
        <f t="shared" ref="D47:D78" si="5">B47-C47</f>
        <v>8.5084930157088956E-2</v>
      </c>
      <c r="F47">
        <v>728</v>
      </c>
      <c r="G47">
        <v>1.2</v>
      </c>
      <c r="H47">
        <v>1.3006951965923199</v>
      </c>
      <c r="I47">
        <f t="shared" ref="I47:I78" si="6">G47-H47</f>
        <v>-0.10069519659231996</v>
      </c>
      <c r="K47">
        <v>809</v>
      </c>
      <c r="L47">
        <v>4.8000000000000001E-2</v>
      </c>
      <c r="M47">
        <v>4.02086934205396E-2</v>
      </c>
      <c r="N47">
        <f t="shared" ref="N47:N78" si="7">L47-M47</f>
        <v>7.7913065794604011E-3</v>
      </c>
      <c r="P47">
        <v>728</v>
      </c>
      <c r="Q47">
        <v>0.97</v>
      </c>
      <c r="R47">
        <v>1.03867758334878</v>
      </c>
      <c r="S47">
        <f t="shared" ref="S47:S78" si="8">Q47-R47</f>
        <v>-6.8677583348780047E-2</v>
      </c>
      <c r="U47">
        <v>728</v>
      </c>
      <c r="V47">
        <v>0.91</v>
      </c>
      <c r="W47">
        <v>1.0108422503538299</v>
      </c>
      <c r="X47">
        <f t="shared" si="4"/>
        <v>-0.10084225035382988</v>
      </c>
    </row>
    <row r="48" spans="1:24" x14ac:dyDescent="0.25">
      <c r="A48">
        <v>305</v>
      </c>
      <c r="B48">
        <v>0.5</v>
      </c>
      <c r="C48">
        <v>0.46631644088962299</v>
      </c>
      <c r="D48">
        <f t="shared" si="5"/>
        <v>3.3683559110377015E-2</v>
      </c>
      <c r="F48">
        <v>809</v>
      </c>
      <c r="G48">
        <v>1.5</v>
      </c>
      <c r="H48">
        <v>1.32886543759913</v>
      </c>
      <c r="I48">
        <f t="shared" si="6"/>
        <v>0.17113456240086999</v>
      </c>
      <c r="K48">
        <v>305</v>
      </c>
      <c r="L48">
        <v>5.1999999999999998E-2</v>
      </c>
      <c r="M48">
        <v>5.7133496486849802E-2</v>
      </c>
      <c r="N48">
        <f t="shared" si="7"/>
        <v>-5.1334964868498048E-3</v>
      </c>
      <c r="P48">
        <v>809</v>
      </c>
      <c r="Q48">
        <v>0.84</v>
      </c>
      <c r="R48">
        <v>1.00409396950721</v>
      </c>
      <c r="S48">
        <f t="shared" si="8"/>
        <v>-0.16409396950721</v>
      </c>
      <c r="U48">
        <v>809</v>
      </c>
      <c r="V48">
        <v>0.9</v>
      </c>
      <c r="W48">
        <v>0.932250506665246</v>
      </c>
      <c r="X48">
        <f t="shared" si="4"/>
        <v>-3.2250506665245982E-2</v>
      </c>
    </row>
    <row r="49" spans="1:24" x14ac:dyDescent="0.25">
      <c r="A49">
        <v>443</v>
      </c>
      <c r="B49">
        <v>0.5</v>
      </c>
      <c r="C49">
        <v>0.61891156493941102</v>
      </c>
      <c r="D49">
        <f t="shared" si="5"/>
        <v>-0.11891156493941102</v>
      </c>
      <c r="F49">
        <v>305</v>
      </c>
      <c r="G49">
        <v>0.8</v>
      </c>
      <c r="H49">
        <v>0.90293387378196599</v>
      </c>
      <c r="I49">
        <f t="shared" si="6"/>
        <v>-0.10293387378196595</v>
      </c>
      <c r="K49">
        <v>443</v>
      </c>
      <c r="L49">
        <v>0.24</v>
      </c>
      <c r="M49">
        <v>0.194386419116297</v>
      </c>
      <c r="N49">
        <f t="shared" si="7"/>
        <v>4.5613580883702987E-2</v>
      </c>
      <c r="P49">
        <v>305</v>
      </c>
      <c r="Q49">
        <v>1.1000000000000001</v>
      </c>
      <c r="R49">
        <v>1.03751895606252</v>
      </c>
      <c r="S49">
        <f t="shared" si="8"/>
        <v>6.2481043937480107E-2</v>
      </c>
      <c r="U49">
        <v>305</v>
      </c>
      <c r="V49">
        <v>0.55000000000000004</v>
      </c>
      <c r="W49">
        <v>0.71162448361942998</v>
      </c>
      <c r="X49">
        <f t="shared" si="4"/>
        <v>-0.16162448361942994</v>
      </c>
    </row>
    <row r="50" spans="1:24" x14ac:dyDescent="0.25">
      <c r="A50">
        <v>597</v>
      </c>
      <c r="B50">
        <v>0.51</v>
      </c>
      <c r="C50">
        <v>0.56471792756818795</v>
      </c>
      <c r="D50">
        <f t="shared" si="5"/>
        <v>-5.4717927568187941E-2</v>
      </c>
      <c r="F50">
        <v>443</v>
      </c>
      <c r="G50">
        <v>0.6</v>
      </c>
      <c r="H50">
        <v>0.63021379471443195</v>
      </c>
      <c r="I50">
        <f t="shared" si="6"/>
        <v>-3.0213794714431974E-2</v>
      </c>
      <c r="K50">
        <v>597</v>
      </c>
      <c r="L50">
        <v>6.0999999999999999E-2</v>
      </c>
      <c r="M50">
        <v>0.123363455210937</v>
      </c>
      <c r="N50">
        <f t="shared" si="7"/>
        <v>-6.2363455210937002E-2</v>
      </c>
      <c r="P50">
        <v>443</v>
      </c>
      <c r="Q50">
        <v>0.53</v>
      </c>
      <c r="R50">
        <v>0.88839309683057899</v>
      </c>
      <c r="S50">
        <f t="shared" si="8"/>
        <v>-0.35839309683057896</v>
      </c>
      <c r="U50">
        <v>443</v>
      </c>
      <c r="V50">
        <v>0.48</v>
      </c>
      <c r="W50">
        <v>0.70068577995485903</v>
      </c>
      <c r="X50">
        <f t="shared" si="4"/>
        <v>-0.22068577995485905</v>
      </c>
    </row>
    <row r="51" spans="1:24" x14ac:dyDescent="0.25">
      <c r="A51">
        <v>386</v>
      </c>
      <c r="B51">
        <v>0.52</v>
      </c>
      <c r="C51">
        <v>0.56998808837826098</v>
      </c>
      <c r="D51">
        <f t="shared" si="5"/>
        <v>-4.9988088378260964E-2</v>
      </c>
      <c r="F51">
        <v>597</v>
      </c>
      <c r="G51">
        <v>1</v>
      </c>
      <c r="H51">
        <v>1.10599328748002</v>
      </c>
      <c r="I51">
        <f t="shared" si="6"/>
        <v>-0.10599328748002002</v>
      </c>
      <c r="K51">
        <v>386</v>
      </c>
      <c r="L51">
        <v>0.11</v>
      </c>
      <c r="M51">
        <v>8.3880793357711494E-2</v>
      </c>
      <c r="N51">
        <f t="shared" si="7"/>
        <v>2.6119206642288506E-2</v>
      </c>
      <c r="P51">
        <v>597</v>
      </c>
      <c r="Q51">
        <v>1.1000000000000001</v>
      </c>
      <c r="R51">
        <v>1.0030520233151099</v>
      </c>
      <c r="S51">
        <f t="shared" si="8"/>
        <v>9.6947976684890191E-2</v>
      </c>
      <c r="U51">
        <v>597</v>
      </c>
      <c r="V51">
        <v>0.66</v>
      </c>
      <c r="W51">
        <v>0.81246341376923603</v>
      </c>
      <c r="X51">
        <f t="shared" si="4"/>
        <v>-0.152463413769236</v>
      </c>
    </row>
    <row r="52" spans="1:24" x14ac:dyDescent="0.25">
      <c r="A52">
        <v>39</v>
      </c>
      <c r="B52">
        <v>0.54</v>
      </c>
      <c r="C52">
        <v>0.584400812761942</v>
      </c>
      <c r="D52">
        <f t="shared" si="5"/>
        <v>-4.4400812761941966E-2</v>
      </c>
      <c r="F52">
        <v>386</v>
      </c>
      <c r="G52">
        <v>1.2</v>
      </c>
      <c r="H52">
        <v>1.36656792056212</v>
      </c>
      <c r="I52">
        <f t="shared" si="6"/>
        <v>-0.16656792056212</v>
      </c>
      <c r="K52">
        <v>39</v>
      </c>
      <c r="L52">
        <v>0.13</v>
      </c>
      <c r="M52">
        <v>0.2090724127562</v>
      </c>
      <c r="N52">
        <f t="shared" si="7"/>
        <v>-7.90724127562E-2</v>
      </c>
      <c r="P52">
        <v>386</v>
      </c>
      <c r="Q52">
        <v>1.1000000000000001</v>
      </c>
      <c r="R52">
        <v>1.2357943145164101</v>
      </c>
      <c r="S52">
        <f t="shared" si="8"/>
        <v>-0.13579431451641</v>
      </c>
      <c r="U52">
        <v>386</v>
      </c>
      <c r="V52">
        <v>1.1000000000000001</v>
      </c>
      <c r="W52">
        <v>1.1096012247043801</v>
      </c>
      <c r="X52">
        <f t="shared" si="4"/>
        <v>-9.6012247043799626E-3</v>
      </c>
    </row>
    <row r="53" spans="1:24" x14ac:dyDescent="0.25">
      <c r="A53">
        <v>290</v>
      </c>
      <c r="B53">
        <v>0.57999999999999996</v>
      </c>
      <c r="C53">
        <v>0.542862167049454</v>
      </c>
      <c r="D53">
        <f t="shared" si="5"/>
        <v>3.7137832950545957E-2</v>
      </c>
      <c r="F53">
        <v>39</v>
      </c>
      <c r="G53">
        <v>1.3</v>
      </c>
      <c r="H53">
        <v>1.1682749712451499</v>
      </c>
      <c r="I53">
        <f t="shared" si="6"/>
        <v>0.13172502875485015</v>
      </c>
      <c r="K53">
        <v>290</v>
      </c>
      <c r="L53">
        <v>9.6000000000000002E-2</v>
      </c>
      <c r="M53">
        <v>7.0673000885040596E-2</v>
      </c>
      <c r="N53">
        <f t="shared" si="7"/>
        <v>2.5326999114959406E-2</v>
      </c>
      <c r="P53">
        <v>39</v>
      </c>
      <c r="Q53">
        <v>0.42</v>
      </c>
      <c r="R53">
        <v>0.572526530837004</v>
      </c>
      <c r="S53">
        <f t="shared" si="8"/>
        <v>-0.15252653083700402</v>
      </c>
      <c r="U53">
        <v>39</v>
      </c>
      <c r="V53">
        <v>1.3</v>
      </c>
      <c r="W53">
        <v>1.1821638813500199</v>
      </c>
      <c r="X53">
        <f t="shared" si="4"/>
        <v>0.11783611864998011</v>
      </c>
    </row>
    <row r="54" spans="1:24" x14ac:dyDescent="0.25">
      <c r="A54">
        <v>39</v>
      </c>
      <c r="B54">
        <v>0.53</v>
      </c>
      <c r="C54">
        <v>0.69943376712496397</v>
      </c>
      <c r="D54">
        <f t="shared" si="5"/>
        <v>-0.16943376712496394</v>
      </c>
      <c r="F54">
        <v>290</v>
      </c>
      <c r="G54">
        <v>1.4</v>
      </c>
      <c r="H54">
        <v>1.2287186168481501</v>
      </c>
      <c r="I54">
        <f t="shared" si="6"/>
        <v>0.17128138315184982</v>
      </c>
      <c r="K54">
        <v>39</v>
      </c>
      <c r="L54">
        <v>0.15</v>
      </c>
      <c r="M54">
        <v>0.121511604978029</v>
      </c>
      <c r="N54">
        <f t="shared" si="7"/>
        <v>2.8488395021970994E-2</v>
      </c>
      <c r="P54">
        <v>290</v>
      </c>
      <c r="Q54">
        <v>1.3</v>
      </c>
      <c r="R54">
        <v>1.2988685370374999</v>
      </c>
      <c r="S54">
        <f t="shared" si="8"/>
        <v>1.1314629625001071E-3</v>
      </c>
      <c r="U54">
        <v>290</v>
      </c>
      <c r="V54">
        <v>0.85</v>
      </c>
      <c r="W54">
        <v>0.85667197510415505</v>
      </c>
      <c r="X54">
        <f t="shared" si="4"/>
        <v>-6.6719751041550701E-3</v>
      </c>
    </row>
    <row r="55" spans="1:24" x14ac:dyDescent="0.25">
      <c r="A55">
        <v>104</v>
      </c>
      <c r="B55">
        <v>0.53</v>
      </c>
      <c r="C55">
        <v>0.44421797378842498</v>
      </c>
      <c r="D55">
        <f t="shared" si="5"/>
        <v>8.5782026211575046E-2</v>
      </c>
      <c r="F55">
        <v>39</v>
      </c>
      <c r="G55">
        <v>1.1000000000000001</v>
      </c>
      <c r="H55">
        <v>1.3161702698077899</v>
      </c>
      <c r="I55">
        <f t="shared" si="6"/>
        <v>-0.21617026980778986</v>
      </c>
      <c r="K55">
        <v>104</v>
      </c>
      <c r="L55">
        <v>9.5000000000000001E-2</v>
      </c>
      <c r="M55">
        <v>0.12103396164979199</v>
      </c>
      <c r="N55">
        <f t="shared" si="7"/>
        <v>-2.6033961649791992E-2</v>
      </c>
      <c r="P55">
        <v>39</v>
      </c>
      <c r="Q55">
        <v>0.74</v>
      </c>
      <c r="R55">
        <v>1.0924295838427001</v>
      </c>
      <c r="S55">
        <f t="shared" si="8"/>
        <v>-0.35242958384270007</v>
      </c>
      <c r="U55">
        <v>39</v>
      </c>
      <c r="V55">
        <v>0.84</v>
      </c>
      <c r="W55">
        <v>1.23747167961619</v>
      </c>
      <c r="X55">
        <f t="shared" si="4"/>
        <v>-0.39747167961619001</v>
      </c>
    </row>
    <row r="56" spans="1:24" x14ac:dyDescent="0.25">
      <c r="A56">
        <v>33</v>
      </c>
      <c r="B56">
        <v>0.54</v>
      </c>
      <c r="C56">
        <v>0.58439987920682801</v>
      </c>
      <c r="D56">
        <f t="shared" si="5"/>
        <v>-4.4399879206827975E-2</v>
      </c>
      <c r="F56">
        <v>104</v>
      </c>
      <c r="G56">
        <v>0.8</v>
      </c>
      <c r="H56">
        <v>0.67646361308094205</v>
      </c>
      <c r="I56">
        <f t="shared" si="6"/>
        <v>0.12353638691905799</v>
      </c>
      <c r="K56">
        <v>33</v>
      </c>
      <c r="L56">
        <v>0.13</v>
      </c>
      <c r="M56">
        <v>0.209072429774012</v>
      </c>
      <c r="N56">
        <f t="shared" si="7"/>
        <v>-7.9072429774011993E-2</v>
      </c>
      <c r="P56">
        <v>104</v>
      </c>
      <c r="Q56">
        <v>1.2</v>
      </c>
      <c r="R56">
        <v>0.92196821965478404</v>
      </c>
      <c r="S56">
        <f t="shared" si="8"/>
        <v>0.27803178034521592</v>
      </c>
      <c r="U56">
        <v>104</v>
      </c>
      <c r="V56">
        <v>0.56000000000000005</v>
      </c>
      <c r="W56">
        <v>0.46832126670148599</v>
      </c>
      <c r="X56">
        <f t="shared" si="4"/>
        <v>9.1678733298514059E-2</v>
      </c>
    </row>
    <row r="57" spans="1:24" x14ac:dyDescent="0.25">
      <c r="A57">
        <v>161</v>
      </c>
      <c r="B57">
        <v>0.54</v>
      </c>
      <c r="C57">
        <v>0.55308810371088202</v>
      </c>
      <c r="D57">
        <f t="shared" si="5"/>
        <v>-1.3088103710881982E-2</v>
      </c>
      <c r="F57">
        <v>33</v>
      </c>
      <c r="G57">
        <v>1.3</v>
      </c>
      <c r="H57">
        <v>1.1682707232485301</v>
      </c>
      <c r="I57">
        <f t="shared" si="6"/>
        <v>0.13172927675146995</v>
      </c>
      <c r="K57">
        <v>161</v>
      </c>
      <c r="L57">
        <v>0.1</v>
      </c>
      <c r="M57">
        <v>9.3302609326699301E-2</v>
      </c>
      <c r="N57">
        <f t="shared" si="7"/>
        <v>6.6973906733007044E-3</v>
      </c>
      <c r="P57">
        <v>33</v>
      </c>
      <c r="Q57">
        <v>0.42</v>
      </c>
      <c r="R57">
        <v>0.57252477486236697</v>
      </c>
      <c r="S57">
        <f t="shared" si="8"/>
        <v>-0.15252477486236699</v>
      </c>
      <c r="U57">
        <v>33</v>
      </c>
      <c r="V57">
        <v>1.3</v>
      </c>
      <c r="W57">
        <v>1.1821604366404499</v>
      </c>
      <c r="X57">
        <f t="shared" si="4"/>
        <v>0.11783956335955015</v>
      </c>
    </row>
    <row r="58" spans="1:24" x14ac:dyDescent="0.25">
      <c r="A58">
        <v>78</v>
      </c>
      <c r="B58">
        <v>0.56000000000000005</v>
      </c>
      <c r="C58">
        <v>0.58023123828567702</v>
      </c>
      <c r="D58">
        <f t="shared" si="5"/>
        <v>-2.0231238285676967E-2</v>
      </c>
      <c r="F58">
        <v>161</v>
      </c>
      <c r="G58">
        <v>2.0999998999999998</v>
      </c>
      <c r="H58">
        <v>1.4114238390698</v>
      </c>
      <c r="I58">
        <f t="shared" si="6"/>
        <v>0.68857606093019985</v>
      </c>
      <c r="K58">
        <v>78</v>
      </c>
      <c r="L58">
        <v>0.24</v>
      </c>
      <c r="M58">
        <v>0.17671600635121301</v>
      </c>
      <c r="N58">
        <f t="shared" si="7"/>
        <v>6.3283993648786979E-2</v>
      </c>
      <c r="P58">
        <v>161</v>
      </c>
      <c r="Q58">
        <v>1.3</v>
      </c>
      <c r="R58">
        <v>1.1755417916798701</v>
      </c>
      <c r="S58">
        <f t="shared" si="8"/>
        <v>0.12445820832012999</v>
      </c>
      <c r="U58">
        <v>161</v>
      </c>
      <c r="V58">
        <v>1.5</v>
      </c>
      <c r="W58">
        <v>1.04481754072752</v>
      </c>
      <c r="X58">
        <f t="shared" si="4"/>
        <v>0.45518245927248002</v>
      </c>
    </row>
    <row r="59" spans="1:24" x14ac:dyDescent="0.25">
      <c r="A59">
        <v>97</v>
      </c>
      <c r="B59">
        <v>0.56000000000000005</v>
      </c>
      <c r="C59">
        <v>0.57122490340632504</v>
      </c>
      <c r="D59">
        <f t="shared" si="5"/>
        <v>-1.1224903406324982E-2</v>
      </c>
      <c r="F59">
        <v>78</v>
      </c>
      <c r="G59">
        <v>1.3</v>
      </c>
      <c r="H59">
        <v>1.5452527134454199</v>
      </c>
      <c r="I59">
        <f t="shared" si="6"/>
        <v>-0.24525271344541988</v>
      </c>
      <c r="K59">
        <v>97</v>
      </c>
      <c r="L59">
        <v>0.14000000000000001</v>
      </c>
      <c r="M59">
        <v>0.146569472188287</v>
      </c>
      <c r="N59">
        <f t="shared" si="7"/>
        <v>-6.56947218828699E-3</v>
      </c>
      <c r="P59">
        <v>78</v>
      </c>
      <c r="Q59">
        <v>1</v>
      </c>
      <c r="R59">
        <v>1.1778303026444401</v>
      </c>
      <c r="S59">
        <f t="shared" si="8"/>
        <v>-0.17783030264444011</v>
      </c>
      <c r="U59">
        <v>97</v>
      </c>
      <c r="V59">
        <v>1.1000000000000001</v>
      </c>
      <c r="W59">
        <v>1.11498120322991</v>
      </c>
      <c r="X59">
        <f t="shared" si="4"/>
        <v>-1.4981203229909923E-2</v>
      </c>
    </row>
    <row r="60" spans="1:24" x14ac:dyDescent="0.25">
      <c r="A60">
        <v>118</v>
      </c>
      <c r="B60">
        <v>0.57999999999999996</v>
      </c>
      <c r="C60">
        <v>0.67233233617287103</v>
      </c>
      <c r="D60">
        <f t="shared" si="5"/>
        <v>-9.2332336172871066E-2</v>
      </c>
      <c r="F60">
        <v>97</v>
      </c>
      <c r="G60">
        <v>1.3</v>
      </c>
      <c r="H60">
        <v>1.3512328655516399</v>
      </c>
      <c r="I60">
        <f t="shared" si="6"/>
        <v>-5.1232865551639861E-2</v>
      </c>
      <c r="K60">
        <v>118</v>
      </c>
      <c r="L60">
        <v>0.15</v>
      </c>
      <c r="M60">
        <v>0.188726089412003</v>
      </c>
      <c r="N60">
        <f t="shared" si="7"/>
        <v>-3.8726089412003006E-2</v>
      </c>
      <c r="P60">
        <v>97</v>
      </c>
      <c r="Q60">
        <v>1</v>
      </c>
      <c r="R60">
        <v>0.97096233924089104</v>
      </c>
      <c r="S60">
        <f t="shared" si="8"/>
        <v>2.9037660759108963E-2</v>
      </c>
      <c r="U60">
        <v>118</v>
      </c>
      <c r="V60">
        <v>1.2</v>
      </c>
      <c r="W60">
        <v>1.4638809271354301</v>
      </c>
      <c r="X60">
        <f t="shared" si="4"/>
        <v>-0.2638809271354301</v>
      </c>
    </row>
    <row r="61" spans="1:24" x14ac:dyDescent="0.25">
      <c r="A61">
        <v>163</v>
      </c>
      <c r="B61">
        <v>0.61</v>
      </c>
      <c r="C61">
        <v>0.74046985697266199</v>
      </c>
      <c r="D61">
        <f t="shared" si="5"/>
        <v>-0.130469856972662</v>
      </c>
      <c r="F61">
        <v>118</v>
      </c>
      <c r="G61">
        <v>1.2</v>
      </c>
      <c r="H61">
        <v>1.66412605765128</v>
      </c>
      <c r="I61">
        <f t="shared" si="6"/>
        <v>-0.46412605765128001</v>
      </c>
      <c r="K61">
        <v>163</v>
      </c>
      <c r="L61">
        <v>8.2000000000000003E-2</v>
      </c>
      <c r="M61">
        <v>0.13964931620347401</v>
      </c>
      <c r="N61">
        <f t="shared" si="7"/>
        <v>-5.7649316203474008E-2</v>
      </c>
      <c r="P61">
        <v>118</v>
      </c>
      <c r="Q61">
        <v>0.95</v>
      </c>
      <c r="R61">
        <v>1.22457831632466</v>
      </c>
      <c r="S61">
        <f t="shared" si="8"/>
        <v>-0.27457831632466001</v>
      </c>
      <c r="U61">
        <v>163</v>
      </c>
      <c r="V61">
        <v>1.1000000000000001</v>
      </c>
      <c r="W61">
        <v>1.5063999006943001</v>
      </c>
      <c r="X61">
        <f t="shared" si="4"/>
        <v>-0.40639990069429999</v>
      </c>
    </row>
    <row r="62" spans="1:24" x14ac:dyDescent="0.25">
      <c r="A62">
        <v>74</v>
      </c>
      <c r="B62">
        <v>0.63</v>
      </c>
      <c r="C62">
        <v>0.64527814976282205</v>
      </c>
      <c r="D62">
        <f t="shared" si="5"/>
        <v>-1.5278149762822046E-2</v>
      </c>
      <c r="F62">
        <v>163</v>
      </c>
      <c r="G62">
        <v>1.6</v>
      </c>
      <c r="H62">
        <v>1.9581850322229599</v>
      </c>
      <c r="I62">
        <f t="shared" si="6"/>
        <v>-0.35818503222295983</v>
      </c>
      <c r="K62">
        <v>74</v>
      </c>
      <c r="L62">
        <v>0.15</v>
      </c>
      <c r="M62">
        <v>0.15515131844089899</v>
      </c>
      <c r="N62">
        <f t="shared" si="7"/>
        <v>-5.1513184408989998E-3</v>
      </c>
      <c r="P62">
        <v>163</v>
      </c>
      <c r="Q62">
        <v>1.3</v>
      </c>
      <c r="R62">
        <v>1.50498145848434</v>
      </c>
      <c r="S62">
        <f t="shared" si="8"/>
        <v>-0.20498145848433991</v>
      </c>
      <c r="U62">
        <v>74</v>
      </c>
      <c r="V62">
        <v>1.4</v>
      </c>
      <c r="W62">
        <v>1.2659562044034101</v>
      </c>
      <c r="X62">
        <f t="shared" si="4"/>
        <v>0.13404379559658985</v>
      </c>
    </row>
    <row r="63" spans="1:24" x14ac:dyDescent="0.25">
      <c r="A63">
        <v>102</v>
      </c>
      <c r="B63">
        <v>0.63</v>
      </c>
      <c r="C63">
        <v>0.65022194182500104</v>
      </c>
      <c r="D63">
        <f t="shared" si="5"/>
        <v>-2.0221941825001033E-2</v>
      </c>
      <c r="F63">
        <v>74</v>
      </c>
      <c r="G63">
        <v>1.8</v>
      </c>
      <c r="H63">
        <v>1.7006850408612699</v>
      </c>
      <c r="I63">
        <f t="shared" si="6"/>
        <v>9.9314959138730119E-2</v>
      </c>
      <c r="K63">
        <v>102</v>
      </c>
      <c r="L63">
        <v>0.15</v>
      </c>
      <c r="M63">
        <v>0.14363883427533</v>
      </c>
      <c r="N63">
        <f t="shared" si="7"/>
        <v>6.3611657246699926E-3</v>
      </c>
      <c r="P63">
        <v>74</v>
      </c>
      <c r="Q63">
        <v>1.2</v>
      </c>
      <c r="R63">
        <v>1.19781761030831</v>
      </c>
      <c r="S63">
        <f t="shared" si="8"/>
        <v>2.1823896916899344E-3</v>
      </c>
      <c r="U63">
        <v>102</v>
      </c>
      <c r="V63">
        <v>0.89</v>
      </c>
      <c r="W63">
        <v>1.14752736762131</v>
      </c>
      <c r="X63">
        <f t="shared" si="4"/>
        <v>-0.25752736762131001</v>
      </c>
    </row>
    <row r="64" spans="1:24" x14ac:dyDescent="0.25">
      <c r="A64">
        <v>157</v>
      </c>
      <c r="B64">
        <v>0.64</v>
      </c>
      <c r="C64">
        <v>0.75056599282458203</v>
      </c>
      <c r="D64">
        <f t="shared" si="5"/>
        <v>-0.11056599282458202</v>
      </c>
      <c r="F64">
        <v>102</v>
      </c>
      <c r="G64">
        <v>1.1000000000000001</v>
      </c>
      <c r="H64">
        <v>1.3656229977855101</v>
      </c>
      <c r="I64">
        <f t="shared" si="6"/>
        <v>-0.26562299778551002</v>
      </c>
      <c r="K64">
        <v>157</v>
      </c>
      <c r="L64">
        <v>0.16</v>
      </c>
      <c r="M64">
        <v>0.16365212323844699</v>
      </c>
      <c r="N64">
        <f t="shared" si="7"/>
        <v>-3.6521232384469915E-3</v>
      </c>
      <c r="P64">
        <v>102</v>
      </c>
      <c r="Q64">
        <v>0.83</v>
      </c>
      <c r="R64">
        <v>1.1249908999176701</v>
      </c>
      <c r="S64">
        <f t="shared" si="8"/>
        <v>-0.29499089991767014</v>
      </c>
      <c r="U64">
        <v>157</v>
      </c>
      <c r="V64">
        <v>1.1000000000000001</v>
      </c>
      <c r="W64">
        <v>1.32164165446477</v>
      </c>
      <c r="X64">
        <f t="shared" si="4"/>
        <v>-0.22164165446476991</v>
      </c>
    </row>
    <row r="65" spans="1:24" x14ac:dyDescent="0.25">
      <c r="A65">
        <v>75</v>
      </c>
      <c r="B65">
        <v>0.64</v>
      </c>
      <c r="C65">
        <v>0.64876806560829003</v>
      </c>
      <c r="D65">
        <f t="shared" si="5"/>
        <v>-8.768065608290021E-3</v>
      </c>
      <c r="F65">
        <v>157</v>
      </c>
      <c r="G65">
        <v>1.7</v>
      </c>
      <c r="H65">
        <v>1.7350724050999899</v>
      </c>
      <c r="I65">
        <f t="shared" si="6"/>
        <v>-3.5072405099989989E-2</v>
      </c>
      <c r="K65">
        <v>75</v>
      </c>
      <c r="L65">
        <v>0.16</v>
      </c>
      <c r="M65">
        <v>0.128856993872663</v>
      </c>
      <c r="N65">
        <f t="shared" si="7"/>
        <v>3.1143006127337003E-2</v>
      </c>
      <c r="P65">
        <v>157</v>
      </c>
      <c r="Q65">
        <v>1.2</v>
      </c>
      <c r="R65">
        <v>1.4036852286929</v>
      </c>
      <c r="S65">
        <f t="shared" si="8"/>
        <v>-0.20368522869290007</v>
      </c>
      <c r="U65">
        <v>75</v>
      </c>
      <c r="V65">
        <v>1.4</v>
      </c>
      <c r="W65">
        <v>1.3236698704029599</v>
      </c>
      <c r="X65">
        <f t="shared" si="4"/>
        <v>7.6330129597039997E-2</v>
      </c>
    </row>
    <row r="66" spans="1:24" x14ac:dyDescent="0.25">
      <c r="A66">
        <v>71</v>
      </c>
      <c r="B66">
        <v>0.64</v>
      </c>
      <c r="C66">
        <v>0.56146431919890005</v>
      </c>
      <c r="D66">
        <f t="shared" si="5"/>
        <v>7.8535680801099961E-2</v>
      </c>
      <c r="F66">
        <v>75</v>
      </c>
      <c r="G66">
        <v>2</v>
      </c>
      <c r="H66">
        <v>1.7800953295718001</v>
      </c>
      <c r="I66">
        <f t="shared" si="6"/>
        <v>0.21990467042819994</v>
      </c>
      <c r="K66">
        <v>71</v>
      </c>
      <c r="L66">
        <v>6.4000000000000001E-2</v>
      </c>
      <c r="M66">
        <v>6.5299176167937803E-2</v>
      </c>
      <c r="N66">
        <f t="shared" si="7"/>
        <v>-1.2991761679378017E-3</v>
      </c>
      <c r="P66">
        <v>75</v>
      </c>
      <c r="Q66">
        <v>1.3</v>
      </c>
      <c r="R66">
        <v>1.2664980008515201</v>
      </c>
      <c r="S66">
        <f t="shared" si="8"/>
        <v>3.3501999148479955E-2</v>
      </c>
      <c r="U66">
        <v>71</v>
      </c>
      <c r="V66">
        <v>0.77</v>
      </c>
      <c r="W66">
        <v>0.66723979728187499</v>
      </c>
      <c r="X66">
        <f t="shared" si="4"/>
        <v>0.10276020271812503</v>
      </c>
    </row>
    <row r="67" spans="1:24" x14ac:dyDescent="0.25">
      <c r="A67">
        <v>54</v>
      </c>
      <c r="B67">
        <v>0.66</v>
      </c>
      <c r="C67">
        <v>0.72681257987254599</v>
      </c>
      <c r="D67">
        <f t="shared" si="5"/>
        <v>-6.6812579872545963E-2</v>
      </c>
      <c r="F67">
        <v>71</v>
      </c>
      <c r="G67">
        <v>0.9</v>
      </c>
      <c r="H67">
        <v>0.91567285765322304</v>
      </c>
      <c r="I67">
        <f t="shared" si="6"/>
        <v>-1.5672857653223016E-2</v>
      </c>
      <c r="K67">
        <v>54</v>
      </c>
      <c r="L67">
        <v>0.2</v>
      </c>
      <c r="M67">
        <v>0.216879458255236</v>
      </c>
      <c r="N67">
        <f t="shared" si="7"/>
        <v>-1.6879458255235985E-2</v>
      </c>
      <c r="P67">
        <v>71</v>
      </c>
      <c r="Q67">
        <v>1.2</v>
      </c>
      <c r="R67">
        <v>1.1152039177524899</v>
      </c>
      <c r="S67">
        <f t="shared" si="8"/>
        <v>8.4796082247510007E-2</v>
      </c>
      <c r="U67">
        <v>54</v>
      </c>
      <c r="V67">
        <v>1.2</v>
      </c>
      <c r="W67">
        <v>1.45939361092677</v>
      </c>
      <c r="X67">
        <f t="shared" si="4"/>
        <v>-0.25939361092677005</v>
      </c>
    </row>
    <row r="68" spans="1:24" x14ac:dyDescent="0.25">
      <c r="A68">
        <v>175</v>
      </c>
      <c r="B68">
        <v>0.68</v>
      </c>
      <c r="C68">
        <v>0.79454672200190302</v>
      </c>
      <c r="D68">
        <f t="shared" si="5"/>
        <v>-0.11454672200190297</v>
      </c>
      <c r="F68">
        <v>54</v>
      </c>
      <c r="G68">
        <v>1.5</v>
      </c>
      <c r="H68">
        <v>1.59994690823444</v>
      </c>
      <c r="I68">
        <f t="shared" si="6"/>
        <v>-9.9946908234439968E-2</v>
      </c>
      <c r="K68">
        <v>175</v>
      </c>
      <c r="L68">
        <v>0.19</v>
      </c>
      <c r="M68">
        <v>0.144742350249249</v>
      </c>
      <c r="N68">
        <f t="shared" si="7"/>
        <v>4.5257649750751E-2</v>
      </c>
      <c r="P68">
        <v>54</v>
      </c>
      <c r="Q68">
        <v>1.2</v>
      </c>
      <c r="R68">
        <v>1.2050871770892599</v>
      </c>
      <c r="S68">
        <f t="shared" si="8"/>
        <v>-5.0871770892599866E-3</v>
      </c>
      <c r="U68">
        <v>175</v>
      </c>
      <c r="V68">
        <v>1.7</v>
      </c>
      <c r="W68">
        <v>1.49245718775516</v>
      </c>
      <c r="X68">
        <f t="shared" si="4"/>
        <v>0.20754281224483995</v>
      </c>
    </row>
    <row r="69" spans="1:24" x14ac:dyDescent="0.25">
      <c r="A69">
        <v>53</v>
      </c>
      <c r="B69">
        <v>0.69</v>
      </c>
      <c r="C69">
        <v>0.718944219850983</v>
      </c>
      <c r="D69">
        <f t="shared" si="5"/>
        <v>-2.8944219850983055E-2</v>
      </c>
      <c r="F69">
        <v>175</v>
      </c>
      <c r="G69">
        <v>1.7</v>
      </c>
      <c r="H69">
        <v>1.7580700440168799</v>
      </c>
      <c r="I69">
        <f t="shared" si="6"/>
        <v>-5.8070044016879985E-2</v>
      </c>
      <c r="K69">
        <v>53</v>
      </c>
      <c r="L69">
        <v>0.17</v>
      </c>
      <c r="M69">
        <v>0.14412660993044499</v>
      </c>
      <c r="N69">
        <f t="shared" si="7"/>
        <v>2.5873390069555025E-2</v>
      </c>
      <c r="P69">
        <v>175</v>
      </c>
      <c r="Q69">
        <v>1.5</v>
      </c>
      <c r="R69">
        <v>1.3850584041676199</v>
      </c>
      <c r="S69">
        <f t="shared" si="8"/>
        <v>0.11494159583238006</v>
      </c>
      <c r="U69">
        <v>53</v>
      </c>
      <c r="V69">
        <v>1.1000000000000001</v>
      </c>
      <c r="W69">
        <v>1.07921361189357</v>
      </c>
      <c r="X69">
        <f t="shared" si="4"/>
        <v>2.0786388106430076E-2</v>
      </c>
    </row>
    <row r="70" spans="1:24" x14ac:dyDescent="0.25">
      <c r="A70">
        <v>119</v>
      </c>
      <c r="B70">
        <v>0.7</v>
      </c>
      <c r="C70">
        <v>0.71275976325587898</v>
      </c>
      <c r="D70">
        <f t="shared" si="5"/>
        <v>-1.275976325587902E-2</v>
      </c>
      <c r="F70">
        <v>53</v>
      </c>
      <c r="G70">
        <v>1.2</v>
      </c>
      <c r="H70">
        <v>1.31412166625267</v>
      </c>
      <c r="I70">
        <f t="shared" si="6"/>
        <v>-0.11412166625267006</v>
      </c>
      <c r="K70">
        <v>119</v>
      </c>
      <c r="L70">
        <v>0.38</v>
      </c>
      <c r="M70">
        <v>0.19564588991246001</v>
      </c>
      <c r="N70">
        <f t="shared" si="7"/>
        <v>0.18435411008753999</v>
      </c>
      <c r="P70">
        <v>53</v>
      </c>
      <c r="Q70">
        <v>1.1000000000000001</v>
      </c>
      <c r="R70">
        <v>1.1823612833439101</v>
      </c>
      <c r="S70">
        <f t="shared" si="8"/>
        <v>-8.2361283343910019E-2</v>
      </c>
      <c r="U70">
        <v>119</v>
      </c>
      <c r="V70">
        <v>1.2</v>
      </c>
      <c r="W70">
        <v>1.06546278576211</v>
      </c>
      <c r="X70">
        <f t="shared" si="4"/>
        <v>0.13453721423789</v>
      </c>
    </row>
    <row r="71" spans="1:24" x14ac:dyDescent="0.25">
      <c r="A71">
        <v>88</v>
      </c>
      <c r="B71">
        <v>0.72</v>
      </c>
      <c r="C71">
        <v>0.80505923191742301</v>
      </c>
      <c r="D71">
        <f t="shared" si="5"/>
        <v>-8.5059231917423039E-2</v>
      </c>
      <c r="F71">
        <v>119</v>
      </c>
      <c r="G71">
        <v>1.3</v>
      </c>
      <c r="H71">
        <v>1.2531649781235099</v>
      </c>
      <c r="I71">
        <f t="shared" si="6"/>
        <v>4.6835021876490135E-2</v>
      </c>
      <c r="K71">
        <v>88</v>
      </c>
      <c r="L71">
        <v>0.28999999999999998</v>
      </c>
      <c r="M71">
        <v>0.24613815002625899</v>
      </c>
      <c r="N71">
        <f t="shared" si="7"/>
        <v>4.3861849973740985E-2</v>
      </c>
      <c r="P71">
        <v>119</v>
      </c>
      <c r="Q71">
        <v>0.77</v>
      </c>
      <c r="R71">
        <v>1.1508953560325399</v>
      </c>
      <c r="S71">
        <f t="shared" si="8"/>
        <v>-0.38089535603253988</v>
      </c>
      <c r="U71">
        <v>88</v>
      </c>
      <c r="V71">
        <v>1.3</v>
      </c>
      <c r="W71">
        <v>1.33771333347551</v>
      </c>
      <c r="X71">
        <f t="shared" si="4"/>
        <v>-3.771333347550998E-2</v>
      </c>
    </row>
    <row r="72" spans="1:24" x14ac:dyDescent="0.25">
      <c r="A72">
        <v>44</v>
      </c>
      <c r="B72">
        <v>0.72</v>
      </c>
      <c r="C72">
        <v>0.64326487151733103</v>
      </c>
      <c r="D72">
        <f t="shared" si="5"/>
        <v>7.6735128482668946E-2</v>
      </c>
      <c r="F72">
        <v>88</v>
      </c>
      <c r="G72">
        <v>1.8</v>
      </c>
      <c r="H72">
        <v>1.62228243754062</v>
      </c>
      <c r="I72">
        <f t="shared" si="6"/>
        <v>0.17771756245938009</v>
      </c>
      <c r="K72">
        <v>44</v>
      </c>
      <c r="L72">
        <v>7.0999999999999994E-2</v>
      </c>
      <c r="M72">
        <v>9.8759200576650705E-2</v>
      </c>
      <c r="N72">
        <f t="shared" si="7"/>
        <v>-2.7759200576650711E-2</v>
      </c>
      <c r="P72">
        <v>88</v>
      </c>
      <c r="Q72">
        <v>1.2</v>
      </c>
      <c r="R72">
        <v>1.2509504015155599</v>
      </c>
      <c r="S72">
        <f t="shared" si="8"/>
        <v>-5.0950401515559962E-2</v>
      </c>
      <c r="U72">
        <v>44</v>
      </c>
      <c r="V72">
        <v>0.98</v>
      </c>
      <c r="W72">
        <v>0.88232221487983398</v>
      </c>
      <c r="X72">
        <f t="shared" si="4"/>
        <v>9.7677785120166005E-2</v>
      </c>
    </row>
    <row r="73" spans="1:24" x14ac:dyDescent="0.25">
      <c r="A73">
        <v>146</v>
      </c>
      <c r="B73">
        <v>0.73</v>
      </c>
      <c r="C73">
        <v>0.740201815626648</v>
      </c>
      <c r="D73">
        <f t="shared" si="5"/>
        <v>-1.0201815626648014E-2</v>
      </c>
      <c r="F73">
        <v>44</v>
      </c>
      <c r="G73">
        <v>1.2</v>
      </c>
      <c r="H73">
        <v>1.1996589541398801</v>
      </c>
      <c r="I73">
        <f t="shared" si="6"/>
        <v>3.410458601198485E-4</v>
      </c>
      <c r="K73">
        <v>146</v>
      </c>
      <c r="L73">
        <v>8.3000000000000004E-2</v>
      </c>
      <c r="M73">
        <v>0.104143685074898</v>
      </c>
      <c r="N73">
        <f t="shared" si="7"/>
        <v>-2.1143685074898E-2</v>
      </c>
      <c r="P73">
        <v>44</v>
      </c>
      <c r="Q73">
        <v>1.3</v>
      </c>
      <c r="R73">
        <v>1.1787070582568899</v>
      </c>
      <c r="S73">
        <f t="shared" si="8"/>
        <v>0.12129294174311012</v>
      </c>
      <c r="U73">
        <v>146</v>
      </c>
      <c r="V73">
        <v>2</v>
      </c>
      <c r="W73">
        <v>1.5899268306087999</v>
      </c>
      <c r="X73">
        <f t="shared" si="4"/>
        <v>0.41007316939120009</v>
      </c>
    </row>
    <row r="74" spans="1:24" x14ac:dyDescent="0.25">
      <c r="A74">
        <v>28</v>
      </c>
      <c r="B74">
        <v>0.73</v>
      </c>
      <c r="C74">
        <v>0.72753112861957303</v>
      </c>
      <c r="D74">
        <f t="shared" si="5"/>
        <v>2.4688713804269513E-3</v>
      </c>
      <c r="F74">
        <v>146</v>
      </c>
      <c r="G74">
        <v>2.0999998999999998</v>
      </c>
      <c r="H74">
        <v>2.1542098157391201</v>
      </c>
      <c r="I74">
        <f t="shared" si="6"/>
        <v>-5.4209915739120262E-2</v>
      </c>
      <c r="K74">
        <v>28</v>
      </c>
      <c r="L74">
        <v>0.27</v>
      </c>
      <c r="M74">
        <v>0.21221956970441799</v>
      </c>
      <c r="N74">
        <f t="shared" si="7"/>
        <v>5.7780430295582025E-2</v>
      </c>
      <c r="P74">
        <v>146</v>
      </c>
      <c r="Q74">
        <v>1.9</v>
      </c>
      <c r="R74">
        <v>1.63032713793692</v>
      </c>
      <c r="S74">
        <f t="shared" si="8"/>
        <v>0.26967286206307994</v>
      </c>
      <c r="U74">
        <v>28</v>
      </c>
      <c r="V74">
        <v>1.5</v>
      </c>
      <c r="W74">
        <v>1.4878647321599401</v>
      </c>
      <c r="X74">
        <f t="shared" si="4"/>
        <v>1.2135267840059916E-2</v>
      </c>
    </row>
    <row r="75" spans="1:24" x14ac:dyDescent="0.25">
      <c r="A75">
        <v>167</v>
      </c>
      <c r="B75">
        <v>0.75</v>
      </c>
      <c r="C75">
        <v>0.74089417833858096</v>
      </c>
      <c r="D75">
        <f t="shared" si="5"/>
        <v>9.1058216614190446E-3</v>
      </c>
      <c r="F75">
        <v>28</v>
      </c>
      <c r="G75">
        <v>1.4</v>
      </c>
      <c r="H75">
        <v>1.5605321210066001</v>
      </c>
      <c r="I75">
        <f t="shared" si="6"/>
        <v>-0.16053212100660019</v>
      </c>
      <c r="K75">
        <v>167</v>
      </c>
      <c r="L75">
        <v>0.33</v>
      </c>
      <c r="M75">
        <v>0.34119962767621898</v>
      </c>
      <c r="N75">
        <f t="shared" si="7"/>
        <v>-1.1199627676218959E-2</v>
      </c>
      <c r="P75">
        <v>28</v>
      </c>
      <c r="Q75">
        <v>0.83</v>
      </c>
      <c r="R75">
        <v>0.91873573317986401</v>
      </c>
      <c r="S75">
        <f t="shared" si="8"/>
        <v>-8.8735733179864051E-2</v>
      </c>
      <c r="U75">
        <v>167</v>
      </c>
      <c r="V75">
        <v>1.2</v>
      </c>
      <c r="W75">
        <v>1.2092243752057299</v>
      </c>
      <c r="X75">
        <f t="shared" si="4"/>
        <v>-9.22437520572994E-3</v>
      </c>
    </row>
    <row r="76" spans="1:24" x14ac:dyDescent="0.25">
      <c r="A76">
        <v>153</v>
      </c>
      <c r="B76">
        <v>0.75</v>
      </c>
      <c r="C76">
        <v>0.73788745185924698</v>
      </c>
      <c r="D76">
        <f t="shared" si="5"/>
        <v>1.2112548140753021E-2</v>
      </c>
      <c r="F76">
        <v>167</v>
      </c>
      <c r="G76">
        <v>1.5</v>
      </c>
      <c r="H76">
        <v>1.40268461131883</v>
      </c>
      <c r="I76">
        <f t="shared" si="6"/>
        <v>9.7315388681169956E-2</v>
      </c>
      <c r="K76">
        <v>153</v>
      </c>
      <c r="L76">
        <v>0.16</v>
      </c>
      <c r="M76">
        <v>0.17284677004307999</v>
      </c>
      <c r="N76">
        <f t="shared" si="7"/>
        <v>-1.2846770043079991E-2</v>
      </c>
      <c r="P76">
        <v>72</v>
      </c>
      <c r="Q76">
        <v>1.4</v>
      </c>
      <c r="R76">
        <v>1.4307779136055401</v>
      </c>
      <c r="S76">
        <f t="shared" si="8"/>
        <v>-3.0777913605540164E-2</v>
      </c>
      <c r="U76">
        <v>153</v>
      </c>
      <c r="V76">
        <v>1.4</v>
      </c>
      <c r="W76">
        <v>1.5049124811194701</v>
      </c>
      <c r="X76">
        <f t="shared" si="4"/>
        <v>-0.10491248111947016</v>
      </c>
    </row>
    <row r="77" spans="1:24" x14ac:dyDescent="0.25">
      <c r="A77">
        <v>72</v>
      </c>
      <c r="B77">
        <v>0.77</v>
      </c>
      <c r="C77">
        <v>0.74598906860996095</v>
      </c>
      <c r="D77">
        <f t="shared" si="5"/>
        <v>2.401093139003907E-2</v>
      </c>
      <c r="F77">
        <v>153</v>
      </c>
      <c r="G77">
        <v>2.9000001000000002</v>
      </c>
      <c r="H77">
        <v>2.0667925586467599</v>
      </c>
      <c r="I77">
        <f t="shared" si="6"/>
        <v>0.83320754135324027</v>
      </c>
      <c r="K77">
        <v>72</v>
      </c>
      <c r="L77">
        <v>4.4999999999999998E-2</v>
      </c>
      <c r="M77">
        <v>0.15818671383670199</v>
      </c>
      <c r="N77">
        <f t="shared" si="7"/>
        <v>-0.11318671383670199</v>
      </c>
      <c r="P77">
        <v>48</v>
      </c>
      <c r="Q77">
        <v>0.94</v>
      </c>
      <c r="R77">
        <v>0.97192354573038997</v>
      </c>
      <c r="S77">
        <f t="shared" si="8"/>
        <v>-3.1923545730390024E-2</v>
      </c>
      <c r="U77">
        <v>72</v>
      </c>
      <c r="V77">
        <v>1.2</v>
      </c>
      <c r="W77">
        <v>1.2658962125009201</v>
      </c>
      <c r="X77">
        <f t="shared" si="4"/>
        <v>-6.5896212500920148E-2</v>
      </c>
    </row>
    <row r="78" spans="1:24" x14ac:dyDescent="0.25">
      <c r="A78">
        <v>48</v>
      </c>
      <c r="B78">
        <v>0.78</v>
      </c>
      <c r="C78">
        <v>0.78544480655394799</v>
      </c>
      <c r="D78">
        <f t="shared" si="5"/>
        <v>-5.4448065539479673E-3</v>
      </c>
      <c r="F78">
        <v>72</v>
      </c>
      <c r="G78">
        <v>1.4</v>
      </c>
      <c r="H78">
        <v>1.50364942567713</v>
      </c>
      <c r="I78">
        <f t="shared" si="6"/>
        <v>-0.10364942567713009</v>
      </c>
      <c r="K78">
        <v>48</v>
      </c>
      <c r="L78">
        <v>0.24</v>
      </c>
      <c r="M78">
        <v>0.22746573682022</v>
      </c>
      <c r="N78">
        <f t="shared" si="7"/>
        <v>1.2534263179779986E-2</v>
      </c>
      <c r="P78">
        <v>47</v>
      </c>
      <c r="Q78">
        <v>1.1000000000000001</v>
      </c>
      <c r="R78">
        <v>1.25630144165164</v>
      </c>
      <c r="S78">
        <f t="shared" si="8"/>
        <v>-0.15630144165163995</v>
      </c>
      <c r="U78">
        <v>48</v>
      </c>
      <c r="V78">
        <v>0.84</v>
      </c>
      <c r="W78">
        <v>1.2515975564731701</v>
      </c>
      <c r="X78">
        <f t="shared" si="4"/>
        <v>-0.41159755647317009</v>
      </c>
    </row>
    <row r="79" spans="1:24" x14ac:dyDescent="0.25">
      <c r="A79">
        <v>133</v>
      </c>
      <c r="B79">
        <v>0.81</v>
      </c>
      <c r="C79">
        <v>1.1477712608483499</v>
      </c>
      <c r="D79">
        <f t="shared" ref="D79:D110" si="9">B79-C79</f>
        <v>-0.33777126084834985</v>
      </c>
      <c r="F79">
        <v>48</v>
      </c>
      <c r="G79">
        <v>1.1000000000000001</v>
      </c>
      <c r="H79">
        <v>1.49176152963751</v>
      </c>
      <c r="I79">
        <f t="shared" ref="I79:I110" si="10">G79-H79</f>
        <v>-0.39176152963750988</v>
      </c>
      <c r="K79">
        <v>133</v>
      </c>
      <c r="L79">
        <v>0.3</v>
      </c>
      <c r="M79">
        <v>0.30507676400206202</v>
      </c>
      <c r="N79">
        <f t="shared" ref="N79:N110" si="11">L79-M79</f>
        <v>-5.0767640020620286E-3</v>
      </c>
      <c r="P79">
        <v>63</v>
      </c>
      <c r="Q79">
        <v>1.1000000000000001</v>
      </c>
      <c r="R79">
        <v>1.69682094085707</v>
      </c>
      <c r="S79">
        <f t="shared" ref="S79:S110" si="12">Q79-R79</f>
        <v>-0.59682094085706994</v>
      </c>
      <c r="U79">
        <v>133</v>
      </c>
      <c r="V79">
        <v>1.3</v>
      </c>
      <c r="W79">
        <v>1.78014610719837</v>
      </c>
      <c r="X79">
        <f t="shared" si="4"/>
        <v>-0.48014610719836992</v>
      </c>
    </row>
    <row r="80" spans="1:24" x14ac:dyDescent="0.25">
      <c r="A80">
        <v>47</v>
      </c>
      <c r="B80">
        <v>0.82</v>
      </c>
      <c r="C80">
        <v>0.76811928284976505</v>
      </c>
      <c r="D80">
        <f t="shared" si="9"/>
        <v>5.1880717150234901E-2</v>
      </c>
      <c r="F80">
        <v>133</v>
      </c>
      <c r="G80">
        <v>1.5</v>
      </c>
      <c r="H80">
        <v>2.3348093949862698</v>
      </c>
      <c r="I80">
        <f t="shared" si="10"/>
        <v>-0.83480939498626983</v>
      </c>
      <c r="K80">
        <v>47</v>
      </c>
      <c r="L80">
        <v>0.14000000000000001</v>
      </c>
      <c r="M80">
        <v>0.13155897883502499</v>
      </c>
      <c r="N80">
        <f t="shared" si="11"/>
        <v>8.4410211649750266E-3</v>
      </c>
      <c r="P80">
        <v>50</v>
      </c>
      <c r="Q80">
        <v>1.3</v>
      </c>
      <c r="R80">
        <v>1.47342733998694</v>
      </c>
      <c r="S80">
        <f t="shared" si="12"/>
        <v>-0.17342733998693993</v>
      </c>
      <c r="U80">
        <v>47</v>
      </c>
      <c r="V80">
        <v>1.4</v>
      </c>
      <c r="W80">
        <v>1.4686274405915001</v>
      </c>
      <c r="X80">
        <f t="shared" ref="X80:X109" si="13">V80-W80</f>
        <v>-6.8627440591500166E-2</v>
      </c>
    </row>
    <row r="81" spans="1:24" x14ac:dyDescent="0.25">
      <c r="A81">
        <v>63</v>
      </c>
      <c r="B81">
        <v>0.83</v>
      </c>
      <c r="C81">
        <v>1.0278163099994699</v>
      </c>
      <c r="D81">
        <f t="shared" si="9"/>
        <v>-0.19781630999946997</v>
      </c>
      <c r="F81">
        <v>47</v>
      </c>
      <c r="G81">
        <v>1.7</v>
      </c>
      <c r="H81">
        <v>1.80689582436859</v>
      </c>
      <c r="I81">
        <f t="shared" si="10"/>
        <v>-0.10689582436859002</v>
      </c>
      <c r="K81">
        <v>63</v>
      </c>
      <c r="L81">
        <v>0.43</v>
      </c>
      <c r="M81">
        <v>0.25857979110190499</v>
      </c>
      <c r="N81">
        <f t="shared" si="11"/>
        <v>0.17142020889809501</v>
      </c>
      <c r="P81">
        <v>151</v>
      </c>
      <c r="Q81">
        <v>1.6</v>
      </c>
      <c r="R81">
        <v>1.69683230346323</v>
      </c>
      <c r="S81">
        <f t="shared" si="12"/>
        <v>-9.6832303463229907E-2</v>
      </c>
      <c r="U81">
        <v>63</v>
      </c>
      <c r="V81">
        <v>1.4</v>
      </c>
      <c r="W81">
        <v>1.6445976647259699</v>
      </c>
      <c r="X81">
        <f t="shared" si="13"/>
        <v>-0.24459766472597</v>
      </c>
    </row>
    <row r="82" spans="1:24" x14ac:dyDescent="0.25">
      <c r="A82">
        <v>50</v>
      </c>
      <c r="B82">
        <v>0.86</v>
      </c>
      <c r="C82">
        <v>0.80906337047916099</v>
      </c>
      <c r="D82">
        <f t="shared" si="9"/>
        <v>5.0936629520838994E-2</v>
      </c>
      <c r="F82">
        <v>63</v>
      </c>
      <c r="G82">
        <v>1.8</v>
      </c>
      <c r="H82">
        <v>2.0996293063687199</v>
      </c>
      <c r="I82">
        <f t="shared" si="10"/>
        <v>-0.29962930636871987</v>
      </c>
      <c r="K82">
        <v>50</v>
      </c>
      <c r="L82">
        <v>0.27</v>
      </c>
      <c r="M82">
        <v>0.16362093378609399</v>
      </c>
      <c r="N82">
        <f t="shared" si="11"/>
        <v>0.10637906621390603</v>
      </c>
      <c r="P82">
        <v>38</v>
      </c>
      <c r="Q82">
        <v>1.2</v>
      </c>
      <c r="R82">
        <v>1.1329879718453399</v>
      </c>
      <c r="S82">
        <f t="shared" si="12"/>
        <v>6.7012028154660008E-2</v>
      </c>
      <c r="U82">
        <v>50</v>
      </c>
      <c r="V82">
        <v>1.7</v>
      </c>
      <c r="W82">
        <v>1.6574462060517501</v>
      </c>
      <c r="X82">
        <f t="shared" si="13"/>
        <v>4.2553793948249874E-2</v>
      </c>
    </row>
    <row r="83" spans="1:24" x14ac:dyDescent="0.25">
      <c r="A83">
        <v>151</v>
      </c>
      <c r="B83">
        <v>0.86</v>
      </c>
      <c r="C83">
        <v>0.781439846038952</v>
      </c>
      <c r="D83">
        <f t="shared" si="9"/>
        <v>7.8560153961047985E-2</v>
      </c>
      <c r="F83">
        <v>50</v>
      </c>
      <c r="G83">
        <v>2.2000000000000002</v>
      </c>
      <c r="H83">
        <v>1.9407844485504899</v>
      </c>
      <c r="I83">
        <f t="shared" si="10"/>
        <v>0.25921555144951025</v>
      </c>
      <c r="K83">
        <v>151</v>
      </c>
      <c r="L83">
        <v>2.7E-2</v>
      </c>
      <c r="M83">
        <v>8.0197332448830094E-2</v>
      </c>
      <c r="N83">
        <f t="shared" si="11"/>
        <v>-5.3197332448830098E-2</v>
      </c>
      <c r="P83">
        <v>67</v>
      </c>
      <c r="Q83">
        <v>1.4</v>
      </c>
      <c r="R83">
        <v>1.3810606861478301</v>
      </c>
      <c r="S83">
        <f t="shared" si="12"/>
        <v>1.8939313852169848E-2</v>
      </c>
      <c r="U83">
        <v>151</v>
      </c>
      <c r="V83">
        <v>1.1000000000000001</v>
      </c>
      <c r="W83">
        <v>1.20273137953183</v>
      </c>
      <c r="X83">
        <f t="shared" si="13"/>
        <v>-0.10273137953182987</v>
      </c>
    </row>
    <row r="84" spans="1:24" x14ac:dyDescent="0.25">
      <c r="A84">
        <v>38</v>
      </c>
      <c r="B84">
        <v>0.86</v>
      </c>
      <c r="C84">
        <v>0.72593963337327205</v>
      </c>
      <c r="D84">
        <f t="shared" si="9"/>
        <v>0.13406036662672793</v>
      </c>
      <c r="F84">
        <v>151</v>
      </c>
      <c r="G84">
        <v>2</v>
      </c>
      <c r="H84">
        <v>2.0939240739123401</v>
      </c>
      <c r="I84">
        <f t="shared" si="10"/>
        <v>-9.3924073912340145E-2</v>
      </c>
      <c r="K84">
        <v>38</v>
      </c>
      <c r="L84">
        <v>0.18</v>
      </c>
      <c r="M84">
        <v>0.112059230863745</v>
      </c>
      <c r="N84">
        <f t="shared" si="11"/>
        <v>6.7940769136254991E-2</v>
      </c>
      <c r="P84">
        <v>62</v>
      </c>
      <c r="Q84">
        <v>1.3</v>
      </c>
      <c r="R84">
        <v>1.28654375642439</v>
      </c>
      <c r="S84">
        <f t="shared" si="12"/>
        <v>1.3456243575610038E-2</v>
      </c>
      <c r="U84">
        <v>38</v>
      </c>
      <c r="V84">
        <v>1.7</v>
      </c>
      <c r="W84">
        <v>1.5716345514555401</v>
      </c>
      <c r="X84">
        <f t="shared" si="13"/>
        <v>0.12836544854445986</v>
      </c>
    </row>
    <row r="85" spans="1:24" x14ac:dyDescent="0.25">
      <c r="A85">
        <v>67</v>
      </c>
      <c r="B85">
        <v>0.87</v>
      </c>
      <c r="C85">
        <v>0.79122392378892403</v>
      </c>
      <c r="D85">
        <f t="shared" si="9"/>
        <v>7.8776076211075963E-2</v>
      </c>
      <c r="F85">
        <v>38</v>
      </c>
      <c r="G85">
        <v>2</v>
      </c>
      <c r="H85">
        <v>1.78357765511719</v>
      </c>
      <c r="I85">
        <f t="shared" si="10"/>
        <v>0.21642234488280998</v>
      </c>
      <c r="K85">
        <v>67</v>
      </c>
      <c r="L85">
        <v>0.13</v>
      </c>
      <c r="M85">
        <v>0.13093066399314501</v>
      </c>
      <c r="N85">
        <f t="shared" si="11"/>
        <v>-9.3066399314500892E-4</v>
      </c>
      <c r="P85">
        <v>77</v>
      </c>
      <c r="Q85">
        <v>1.3</v>
      </c>
      <c r="R85">
        <v>1.9111918486909201</v>
      </c>
      <c r="S85">
        <f t="shared" si="12"/>
        <v>-0.61119184869092003</v>
      </c>
      <c r="U85">
        <v>67</v>
      </c>
      <c r="V85">
        <v>1.2</v>
      </c>
      <c r="W85">
        <v>1.3929168353005701</v>
      </c>
      <c r="X85">
        <f t="shared" si="13"/>
        <v>-0.19291683530057013</v>
      </c>
    </row>
    <row r="86" spans="1:24" x14ac:dyDescent="0.25">
      <c r="A86">
        <v>62</v>
      </c>
      <c r="B86">
        <v>0.87</v>
      </c>
      <c r="C86">
        <v>0.77035729967315403</v>
      </c>
      <c r="D86">
        <f t="shared" si="9"/>
        <v>9.9642700326845968E-2</v>
      </c>
      <c r="F86">
        <v>67</v>
      </c>
      <c r="G86">
        <v>1.6</v>
      </c>
      <c r="H86">
        <v>1.5663588131494799</v>
      </c>
      <c r="I86">
        <f t="shared" si="10"/>
        <v>3.3641186850520199E-2</v>
      </c>
      <c r="K86">
        <v>62</v>
      </c>
      <c r="L86">
        <v>0.17</v>
      </c>
      <c r="M86">
        <v>0.13174553880745399</v>
      </c>
      <c r="N86">
        <f t="shared" si="11"/>
        <v>3.8254461192546024E-2</v>
      </c>
      <c r="P86">
        <v>124</v>
      </c>
      <c r="Q86">
        <v>0.97</v>
      </c>
      <c r="R86">
        <v>1.1866463920859001</v>
      </c>
      <c r="S86">
        <f t="shared" si="12"/>
        <v>-0.21664639208590009</v>
      </c>
      <c r="U86">
        <v>62</v>
      </c>
      <c r="V86">
        <v>1.8</v>
      </c>
      <c r="W86">
        <v>1.5871114280896499</v>
      </c>
      <c r="X86">
        <f t="shared" si="13"/>
        <v>0.21288857191035016</v>
      </c>
    </row>
    <row r="87" spans="1:24" x14ac:dyDescent="0.25">
      <c r="A87">
        <v>77</v>
      </c>
      <c r="B87">
        <v>0.88</v>
      </c>
      <c r="C87">
        <v>0.90755436347097795</v>
      </c>
      <c r="D87">
        <f t="shared" si="9"/>
        <v>-2.7554363470977949E-2</v>
      </c>
      <c r="F87">
        <v>62</v>
      </c>
      <c r="G87">
        <v>2.0999998999999998</v>
      </c>
      <c r="H87">
        <v>1.9313960694764301</v>
      </c>
      <c r="I87">
        <f t="shared" si="10"/>
        <v>0.16860383052356975</v>
      </c>
      <c r="K87">
        <v>77</v>
      </c>
      <c r="L87">
        <v>0.38</v>
      </c>
      <c r="M87">
        <v>0.247949027277477</v>
      </c>
      <c r="N87">
        <f t="shared" si="11"/>
        <v>0.132050972722523</v>
      </c>
      <c r="P87">
        <v>95</v>
      </c>
      <c r="Q87">
        <v>1.8</v>
      </c>
      <c r="R87">
        <v>1.74513833225138</v>
      </c>
      <c r="S87">
        <f t="shared" si="12"/>
        <v>5.4861667748620002E-2</v>
      </c>
      <c r="U87">
        <v>77</v>
      </c>
      <c r="V87">
        <v>1.7</v>
      </c>
      <c r="W87">
        <v>1.90324575334475</v>
      </c>
      <c r="X87">
        <f t="shared" si="13"/>
        <v>-0.20324575334475004</v>
      </c>
    </row>
    <row r="88" spans="1:24" x14ac:dyDescent="0.25">
      <c r="A88">
        <v>124</v>
      </c>
      <c r="B88">
        <v>0.88</v>
      </c>
      <c r="C88">
        <v>0.73094176822590595</v>
      </c>
      <c r="D88">
        <f t="shared" si="9"/>
        <v>0.14905823177409405</v>
      </c>
      <c r="F88">
        <v>77</v>
      </c>
      <c r="G88">
        <v>2.2999999999999998</v>
      </c>
      <c r="H88">
        <v>2.29549499379607</v>
      </c>
      <c r="I88">
        <f t="shared" si="10"/>
        <v>4.5050062039297956E-3</v>
      </c>
      <c r="K88">
        <v>124</v>
      </c>
      <c r="L88">
        <v>0.17</v>
      </c>
      <c r="M88">
        <v>0.190178450712891</v>
      </c>
      <c r="N88">
        <f t="shared" si="11"/>
        <v>-2.0178450712890983E-2</v>
      </c>
      <c r="P88">
        <v>23</v>
      </c>
      <c r="Q88">
        <v>0.75</v>
      </c>
      <c r="R88">
        <v>0.93429367427525001</v>
      </c>
      <c r="S88">
        <f t="shared" si="12"/>
        <v>-0.18429367427525001</v>
      </c>
      <c r="U88">
        <v>124</v>
      </c>
      <c r="V88">
        <v>1.7</v>
      </c>
      <c r="W88">
        <v>1.53409345065014</v>
      </c>
      <c r="X88">
        <f t="shared" si="13"/>
        <v>0.16590654934985993</v>
      </c>
    </row>
    <row r="89" spans="1:24" x14ac:dyDescent="0.25">
      <c r="A89">
        <v>95</v>
      </c>
      <c r="B89">
        <v>0.89</v>
      </c>
      <c r="C89">
        <v>0.91714212753369295</v>
      </c>
      <c r="D89">
        <f t="shared" si="9"/>
        <v>-2.7142127533692939E-2</v>
      </c>
      <c r="F89">
        <v>124</v>
      </c>
      <c r="G89">
        <v>1.8</v>
      </c>
      <c r="H89">
        <v>1.83716090709709</v>
      </c>
      <c r="I89">
        <f t="shared" si="10"/>
        <v>-3.7160907097089968E-2</v>
      </c>
      <c r="K89">
        <v>95</v>
      </c>
      <c r="L89">
        <v>0.2</v>
      </c>
      <c r="M89">
        <v>0.24752687861081399</v>
      </c>
      <c r="N89">
        <f t="shared" si="11"/>
        <v>-4.7526878610813977E-2</v>
      </c>
      <c r="P89">
        <v>122</v>
      </c>
      <c r="Q89">
        <v>1.7</v>
      </c>
      <c r="R89">
        <v>1.4233860800561</v>
      </c>
      <c r="S89">
        <f t="shared" si="12"/>
        <v>0.27661391994389994</v>
      </c>
      <c r="U89">
        <v>95</v>
      </c>
      <c r="V89">
        <v>1.5</v>
      </c>
      <c r="W89">
        <v>1.5651748637036</v>
      </c>
      <c r="X89">
        <f t="shared" si="13"/>
        <v>-6.5174863703600039E-2</v>
      </c>
    </row>
    <row r="90" spans="1:24" x14ac:dyDescent="0.25">
      <c r="A90">
        <v>23</v>
      </c>
      <c r="B90">
        <v>0.9</v>
      </c>
      <c r="C90">
        <v>0.94095427895870398</v>
      </c>
      <c r="D90">
        <f t="shared" si="9"/>
        <v>-4.095427895870396E-2</v>
      </c>
      <c r="F90">
        <v>95</v>
      </c>
      <c r="G90">
        <v>1.8</v>
      </c>
      <c r="H90">
        <v>1.98404723384237</v>
      </c>
      <c r="I90">
        <f t="shared" si="10"/>
        <v>-0.18404723384236998</v>
      </c>
      <c r="K90">
        <v>23</v>
      </c>
      <c r="L90">
        <v>0.28000000000000003</v>
      </c>
      <c r="M90">
        <v>0.27494237626710399</v>
      </c>
      <c r="N90">
        <f t="shared" si="11"/>
        <v>5.0576237328960327E-3</v>
      </c>
      <c r="P90">
        <v>166</v>
      </c>
      <c r="Q90">
        <v>1.3</v>
      </c>
      <c r="R90">
        <v>1.3982875952979399</v>
      </c>
      <c r="S90">
        <f t="shared" si="12"/>
        <v>-9.8287595297939845E-2</v>
      </c>
      <c r="U90">
        <v>23</v>
      </c>
      <c r="V90">
        <v>1.3</v>
      </c>
      <c r="W90">
        <v>1.5636686363864001</v>
      </c>
      <c r="X90">
        <f t="shared" si="13"/>
        <v>-0.26366863638640003</v>
      </c>
    </row>
    <row r="91" spans="1:24" x14ac:dyDescent="0.25">
      <c r="A91">
        <v>122</v>
      </c>
      <c r="B91">
        <v>0.9</v>
      </c>
      <c r="C91">
        <v>0.79040684443341802</v>
      </c>
      <c r="D91">
        <f t="shared" si="9"/>
        <v>0.109593155566582</v>
      </c>
      <c r="F91">
        <v>23</v>
      </c>
      <c r="G91">
        <v>1.4</v>
      </c>
      <c r="H91">
        <v>1.79833689681969</v>
      </c>
      <c r="I91">
        <f t="shared" si="10"/>
        <v>-0.39833689681969009</v>
      </c>
      <c r="K91">
        <v>122</v>
      </c>
      <c r="L91">
        <v>0.08</v>
      </c>
      <c r="M91">
        <v>0.13359225470123501</v>
      </c>
      <c r="N91">
        <f t="shared" si="11"/>
        <v>-5.3592254701235006E-2</v>
      </c>
      <c r="P91">
        <v>70</v>
      </c>
      <c r="Q91">
        <v>1.7</v>
      </c>
      <c r="R91">
        <v>1.86334819907234</v>
      </c>
      <c r="S91">
        <f t="shared" si="12"/>
        <v>-0.16334819907233999</v>
      </c>
      <c r="U91">
        <v>122</v>
      </c>
      <c r="V91">
        <v>2</v>
      </c>
      <c r="W91">
        <v>1.6637391199432301</v>
      </c>
      <c r="X91">
        <f t="shared" si="13"/>
        <v>0.33626088005676991</v>
      </c>
    </row>
    <row r="92" spans="1:24" x14ac:dyDescent="0.25">
      <c r="A92">
        <v>166</v>
      </c>
      <c r="B92">
        <v>0.9</v>
      </c>
      <c r="C92">
        <v>0.80454071055203602</v>
      </c>
      <c r="D92">
        <f t="shared" si="9"/>
        <v>9.5459289447964002E-2</v>
      </c>
      <c r="F92">
        <v>122</v>
      </c>
      <c r="G92">
        <v>2.2000000000000002</v>
      </c>
      <c r="H92">
        <v>1.8608778187533399</v>
      </c>
      <c r="I92">
        <f t="shared" si="10"/>
        <v>0.33912218124666027</v>
      </c>
      <c r="K92">
        <v>166</v>
      </c>
      <c r="L92">
        <v>0.24</v>
      </c>
      <c r="M92">
        <v>0.152727239545636</v>
      </c>
      <c r="N92">
        <f t="shared" si="11"/>
        <v>8.7272760454363996E-2</v>
      </c>
      <c r="P92">
        <v>37</v>
      </c>
      <c r="Q92">
        <v>1.3</v>
      </c>
      <c r="R92">
        <v>1.3335057368519601</v>
      </c>
      <c r="S92">
        <f t="shared" si="12"/>
        <v>-3.3505736851960011E-2</v>
      </c>
      <c r="U92">
        <v>166</v>
      </c>
      <c r="V92">
        <v>1.8</v>
      </c>
      <c r="W92">
        <v>1.5180000205513</v>
      </c>
      <c r="X92">
        <f t="shared" si="13"/>
        <v>0.28199997944870003</v>
      </c>
    </row>
    <row r="93" spans="1:24" x14ac:dyDescent="0.25">
      <c r="A93">
        <v>70</v>
      </c>
      <c r="B93">
        <v>0.91</v>
      </c>
      <c r="C93">
        <v>0.92605902097032999</v>
      </c>
      <c r="D93">
        <f t="shared" si="9"/>
        <v>-1.6059020970329962E-2</v>
      </c>
      <c r="F93">
        <v>166</v>
      </c>
      <c r="G93">
        <v>1.9</v>
      </c>
      <c r="H93">
        <v>1.9700367406599</v>
      </c>
      <c r="I93">
        <f t="shared" si="10"/>
        <v>-7.0036740659900065E-2</v>
      </c>
      <c r="K93">
        <v>70</v>
      </c>
      <c r="L93">
        <v>0.18</v>
      </c>
      <c r="M93">
        <v>0.19143412122032</v>
      </c>
      <c r="N93">
        <f t="shared" si="11"/>
        <v>-1.1434121220320004E-2</v>
      </c>
      <c r="P93">
        <v>147</v>
      </c>
      <c r="Q93">
        <v>1.8</v>
      </c>
      <c r="R93">
        <v>1.4173089916575701</v>
      </c>
      <c r="S93">
        <f t="shared" si="12"/>
        <v>0.38269100834242997</v>
      </c>
      <c r="U93">
        <v>70</v>
      </c>
      <c r="V93">
        <v>1.9</v>
      </c>
      <c r="W93">
        <v>1.89594183872116</v>
      </c>
      <c r="X93">
        <f t="shared" si="13"/>
        <v>4.0581612788399557E-3</v>
      </c>
    </row>
    <row r="94" spans="1:24" x14ac:dyDescent="0.25">
      <c r="A94">
        <v>37</v>
      </c>
      <c r="B94">
        <v>0.92</v>
      </c>
      <c r="C94">
        <v>0.81666871701463295</v>
      </c>
      <c r="D94">
        <f t="shared" si="9"/>
        <v>0.10333128298536709</v>
      </c>
      <c r="F94">
        <v>70</v>
      </c>
      <c r="G94">
        <v>2.2000000000000002</v>
      </c>
      <c r="H94">
        <v>2.30537326185636</v>
      </c>
      <c r="I94">
        <f t="shared" si="10"/>
        <v>-0.10537326185635987</v>
      </c>
      <c r="K94">
        <v>37</v>
      </c>
      <c r="L94">
        <v>0.2</v>
      </c>
      <c r="M94">
        <v>0.12192777229323599</v>
      </c>
      <c r="N94">
        <f t="shared" si="11"/>
        <v>7.8072227706764016E-2</v>
      </c>
      <c r="P94">
        <v>58</v>
      </c>
      <c r="Q94">
        <v>1.4</v>
      </c>
      <c r="R94">
        <v>1.85301409840923</v>
      </c>
      <c r="S94">
        <f t="shared" si="12"/>
        <v>-0.45301409840923013</v>
      </c>
      <c r="U94">
        <v>37</v>
      </c>
      <c r="V94">
        <v>1.9</v>
      </c>
      <c r="W94">
        <v>1.7377668307031999</v>
      </c>
      <c r="X94">
        <f t="shared" si="13"/>
        <v>0.16223316929679998</v>
      </c>
    </row>
    <row r="95" spans="1:24" x14ac:dyDescent="0.25">
      <c r="A95">
        <v>147</v>
      </c>
      <c r="B95">
        <v>1</v>
      </c>
      <c r="C95">
        <v>0.81674080073920596</v>
      </c>
      <c r="D95">
        <f t="shared" si="9"/>
        <v>0.18325919926079404</v>
      </c>
      <c r="F95">
        <v>37</v>
      </c>
      <c r="G95">
        <v>2.2999999999999998</v>
      </c>
      <c r="H95">
        <v>1.94305289863992</v>
      </c>
      <c r="I95">
        <f t="shared" si="10"/>
        <v>0.35694710136007979</v>
      </c>
      <c r="K95">
        <v>147</v>
      </c>
      <c r="L95">
        <v>7.8E-2</v>
      </c>
      <c r="M95">
        <v>0.18056370205988101</v>
      </c>
      <c r="N95">
        <f t="shared" si="11"/>
        <v>-0.10256370205988101</v>
      </c>
      <c r="P95">
        <v>149</v>
      </c>
      <c r="Q95">
        <v>1.7</v>
      </c>
      <c r="R95">
        <v>1.2705053765090799</v>
      </c>
      <c r="S95">
        <f t="shared" si="12"/>
        <v>0.42949462349092005</v>
      </c>
      <c r="U95">
        <v>147</v>
      </c>
      <c r="V95">
        <v>1.5</v>
      </c>
      <c r="W95">
        <v>1.40689125517624</v>
      </c>
      <c r="X95">
        <f t="shared" si="13"/>
        <v>9.310874482375997E-2</v>
      </c>
    </row>
    <row r="96" spans="1:24" x14ac:dyDescent="0.25">
      <c r="A96">
        <v>58</v>
      </c>
      <c r="B96">
        <v>1</v>
      </c>
      <c r="C96">
        <v>1.15796277946981</v>
      </c>
      <c r="D96">
        <f t="shared" si="9"/>
        <v>-0.15796277946980997</v>
      </c>
      <c r="F96">
        <v>147</v>
      </c>
      <c r="G96">
        <v>2.9000001000000002</v>
      </c>
      <c r="H96">
        <v>2.1087494076362199</v>
      </c>
      <c r="I96">
        <f t="shared" si="10"/>
        <v>0.79125069236378032</v>
      </c>
      <c r="K96">
        <v>58</v>
      </c>
      <c r="L96">
        <v>0.36</v>
      </c>
      <c r="M96">
        <v>0.26328099968382901</v>
      </c>
      <c r="N96">
        <f t="shared" si="11"/>
        <v>9.6719000316170978E-2</v>
      </c>
      <c r="P96">
        <v>152</v>
      </c>
      <c r="Q96">
        <v>1.9</v>
      </c>
      <c r="R96">
        <v>1.5408984183118399</v>
      </c>
      <c r="S96">
        <f t="shared" si="12"/>
        <v>0.35910158168815998</v>
      </c>
      <c r="U96">
        <v>58</v>
      </c>
      <c r="V96">
        <v>1.6</v>
      </c>
      <c r="W96">
        <v>1.94130251592938</v>
      </c>
      <c r="X96">
        <f t="shared" si="13"/>
        <v>-0.34130251592937988</v>
      </c>
    </row>
    <row r="97" spans="1:24" x14ac:dyDescent="0.25">
      <c r="A97">
        <v>149</v>
      </c>
      <c r="B97">
        <v>1.1000000000000001</v>
      </c>
      <c r="C97">
        <v>0.829436083481635</v>
      </c>
      <c r="D97">
        <f t="shared" si="9"/>
        <v>0.27056391651836509</v>
      </c>
      <c r="F97">
        <v>58</v>
      </c>
      <c r="G97">
        <v>1.8</v>
      </c>
      <c r="H97">
        <v>2.3129049586219699</v>
      </c>
      <c r="I97">
        <f t="shared" si="10"/>
        <v>-0.51290495862196983</v>
      </c>
      <c r="K97">
        <v>149</v>
      </c>
      <c r="L97">
        <v>0.23</v>
      </c>
      <c r="M97">
        <v>0.23754787209436601</v>
      </c>
      <c r="N97">
        <f t="shared" si="11"/>
        <v>-7.5478720943659983E-3</v>
      </c>
      <c r="P97">
        <v>115</v>
      </c>
      <c r="Q97">
        <v>1.9</v>
      </c>
      <c r="R97">
        <v>1.82269059517597</v>
      </c>
      <c r="S97">
        <f t="shared" si="12"/>
        <v>7.7309404824029926E-2</v>
      </c>
      <c r="U97">
        <v>149</v>
      </c>
      <c r="V97">
        <v>2.0999998999999998</v>
      </c>
      <c r="W97">
        <v>1.39981818521415</v>
      </c>
      <c r="X97">
        <f t="shared" si="13"/>
        <v>0.70018171478584978</v>
      </c>
    </row>
    <row r="98" spans="1:24" x14ac:dyDescent="0.25">
      <c r="A98">
        <v>152</v>
      </c>
      <c r="B98">
        <v>1.1000000000000001</v>
      </c>
      <c r="C98">
        <v>0.82016016319968998</v>
      </c>
      <c r="D98">
        <f t="shared" si="9"/>
        <v>0.2798398368003101</v>
      </c>
      <c r="F98">
        <v>152</v>
      </c>
      <c r="G98">
        <v>2.4000001000000002</v>
      </c>
      <c r="H98">
        <v>2.0152571176412799</v>
      </c>
      <c r="I98">
        <f t="shared" si="10"/>
        <v>0.38474298235872029</v>
      </c>
      <c r="K98">
        <v>152</v>
      </c>
      <c r="L98">
        <v>4.9000000000000002E-2</v>
      </c>
      <c r="M98">
        <v>0.14201703771700699</v>
      </c>
      <c r="N98">
        <f t="shared" si="11"/>
        <v>-9.3017037717006992E-2</v>
      </c>
      <c r="P98">
        <v>73</v>
      </c>
      <c r="Q98">
        <v>1.8</v>
      </c>
      <c r="R98">
        <v>1.8495335046085</v>
      </c>
      <c r="S98">
        <f t="shared" si="12"/>
        <v>-4.9533504608499923E-2</v>
      </c>
      <c r="U98">
        <v>152</v>
      </c>
      <c r="V98">
        <v>1.4</v>
      </c>
      <c r="W98">
        <v>1.2222308497107399</v>
      </c>
      <c r="X98">
        <f t="shared" si="13"/>
        <v>0.17776915028925999</v>
      </c>
    </row>
    <row r="99" spans="1:24" x14ac:dyDescent="0.25">
      <c r="A99">
        <v>115</v>
      </c>
      <c r="B99">
        <v>1.1000000000000001</v>
      </c>
      <c r="C99">
        <v>1.0952096958145801</v>
      </c>
      <c r="D99">
        <f t="shared" si="9"/>
        <v>4.7903041854200357E-3</v>
      </c>
      <c r="F99">
        <v>115</v>
      </c>
      <c r="G99">
        <v>2.4000001000000002</v>
      </c>
      <c r="H99">
        <v>2.1886735298528501</v>
      </c>
      <c r="I99">
        <f t="shared" si="10"/>
        <v>0.21132657014715006</v>
      </c>
      <c r="K99">
        <v>115</v>
      </c>
      <c r="L99">
        <v>0.22</v>
      </c>
      <c r="M99">
        <v>0.25076198657006199</v>
      </c>
      <c r="N99">
        <f t="shared" si="11"/>
        <v>-3.0761986570061989E-2</v>
      </c>
      <c r="P99">
        <v>21</v>
      </c>
      <c r="Q99">
        <v>2</v>
      </c>
      <c r="R99">
        <v>1.6827012661440099</v>
      </c>
      <c r="S99">
        <f t="shared" si="12"/>
        <v>0.31729873385599006</v>
      </c>
      <c r="U99">
        <v>115</v>
      </c>
      <c r="V99">
        <v>1.3</v>
      </c>
      <c r="W99">
        <v>1.5017450583182901</v>
      </c>
      <c r="X99">
        <f t="shared" si="13"/>
        <v>-0.20174505831829004</v>
      </c>
    </row>
    <row r="100" spans="1:24" x14ac:dyDescent="0.25">
      <c r="A100">
        <v>73</v>
      </c>
      <c r="B100">
        <v>1.2</v>
      </c>
      <c r="C100">
        <v>1.1419877971649</v>
      </c>
      <c r="D100">
        <f t="shared" si="9"/>
        <v>5.8012202835100002E-2</v>
      </c>
      <c r="F100">
        <v>73</v>
      </c>
      <c r="G100">
        <v>2.5999998999999998</v>
      </c>
      <c r="H100">
        <v>2.2784312477553699</v>
      </c>
      <c r="I100">
        <f t="shared" si="10"/>
        <v>0.32156865224462994</v>
      </c>
      <c r="K100">
        <v>73</v>
      </c>
      <c r="L100">
        <v>0.16</v>
      </c>
      <c r="M100">
        <v>0.29600745878118101</v>
      </c>
      <c r="N100">
        <f t="shared" si="11"/>
        <v>-0.13600745878118101</v>
      </c>
      <c r="P100">
        <v>84</v>
      </c>
      <c r="Q100">
        <v>2.5</v>
      </c>
      <c r="R100">
        <v>2.4127204236136301</v>
      </c>
      <c r="S100">
        <f t="shared" si="12"/>
        <v>8.727957638636985E-2</v>
      </c>
      <c r="U100">
        <v>73</v>
      </c>
      <c r="V100">
        <v>2.2999999999999998</v>
      </c>
      <c r="W100">
        <v>1.8490901883480699</v>
      </c>
      <c r="X100">
        <f t="shared" si="13"/>
        <v>0.45090981165192989</v>
      </c>
    </row>
    <row r="101" spans="1:24" x14ac:dyDescent="0.25">
      <c r="A101">
        <v>169</v>
      </c>
      <c r="B101">
        <v>1.2</v>
      </c>
      <c r="C101">
        <v>1.02402103514095</v>
      </c>
      <c r="D101">
        <f t="shared" si="9"/>
        <v>0.17597896485904996</v>
      </c>
      <c r="F101">
        <v>169</v>
      </c>
      <c r="G101">
        <v>1.8</v>
      </c>
      <c r="H101">
        <v>1.50248437833437</v>
      </c>
      <c r="I101">
        <f t="shared" si="10"/>
        <v>0.29751562166563006</v>
      </c>
      <c r="K101">
        <v>169</v>
      </c>
      <c r="L101">
        <v>0.22</v>
      </c>
      <c r="M101">
        <v>0.24218025685442701</v>
      </c>
      <c r="N101">
        <f t="shared" si="11"/>
        <v>-2.2180256854427011E-2</v>
      </c>
      <c r="P101">
        <v>41</v>
      </c>
      <c r="Q101">
        <v>2</v>
      </c>
      <c r="R101">
        <v>2.2130178669798002</v>
      </c>
      <c r="S101">
        <f t="shared" si="12"/>
        <v>-0.21301786697980019</v>
      </c>
      <c r="U101">
        <v>169</v>
      </c>
      <c r="V101">
        <v>1.4</v>
      </c>
      <c r="W101">
        <v>1.3026032526522</v>
      </c>
      <c r="X101">
        <f t="shared" si="13"/>
        <v>9.7396747347799906E-2</v>
      </c>
    </row>
    <row r="102" spans="1:24" x14ac:dyDescent="0.25">
      <c r="A102">
        <v>26</v>
      </c>
      <c r="B102">
        <v>1.2</v>
      </c>
      <c r="C102">
        <v>1.1279603998021599</v>
      </c>
      <c r="D102">
        <f t="shared" si="9"/>
        <v>7.2039600197840059E-2</v>
      </c>
      <c r="F102">
        <v>26</v>
      </c>
      <c r="G102">
        <v>2.2999999999999998</v>
      </c>
      <c r="H102">
        <v>2.1772489623980902</v>
      </c>
      <c r="I102">
        <f t="shared" si="10"/>
        <v>0.12275103760190964</v>
      </c>
      <c r="K102">
        <v>26</v>
      </c>
      <c r="L102">
        <v>0.32</v>
      </c>
      <c r="M102">
        <v>0.24974480099624599</v>
      </c>
      <c r="N102">
        <f t="shared" si="11"/>
        <v>7.0255199003754015E-2</v>
      </c>
      <c r="P102">
        <v>36</v>
      </c>
      <c r="Q102">
        <v>2.2000000000000002</v>
      </c>
      <c r="R102">
        <v>2.069019658063</v>
      </c>
      <c r="S102">
        <f t="shared" si="12"/>
        <v>0.13098034193700014</v>
      </c>
      <c r="U102">
        <v>26</v>
      </c>
      <c r="V102">
        <v>2.0999998999999998</v>
      </c>
      <c r="W102">
        <v>1.8339515352820499</v>
      </c>
      <c r="X102">
        <f t="shared" si="13"/>
        <v>0.2660483647179499</v>
      </c>
    </row>
    <row r="103" spans="1:24" x14ac:dyDescent="0.25">
      <c r="A103">
        <v>21</v>
      </c>
      <c r="B103">
        <v>1.2</v>
      </c>
      <c r="C103">
        <v>0.92631793425761699</v>
      </c>
      <c r="D103">
        <f t="shared" si="9"/>
        <v>0.27368206574238296</v>
      </c>
      <c r="F103">
        <v>21</v>
      </c>
      <c r="G103">
        <v>2.5</v>
      </c>
      <c r="H103">
        <v>2.2407410830194099</v>
      </c>
      <c r="I103">
        <f t="shared" si="10"/>
        <v>0.25925891698059012</v>
      </c>
      <c r="K103">
        <v>21</v>
      </c>
      <c r="L103">
        <v>0.25</v>
      </c>
      <c r="M103">
        <v>0.20194059581542101</v>
      </c>
      <c r="N103">
        <f t="shared" si="11"/>
        <v>4.8059404184578991E-2</v>
      </c>
      <c r="P103">
        <v>109</v>
      </c>
      <c r="Q103">
        <v>2.5</v>
      </c>
      <c r="R103">
        <v>2.55972872783568</v>
      </c>
      <c r="S103">
        <f t="shared" si="12"/>
        <v>-5.9728727835679951E-2</v>
      </c>
      <c r="U103">
        <v>21</v>
      </c>
      <c r="V103">
        <v>2.2000000000000002</v>
      </c>
      <c r="W103">
        <v>2.0512894337602301</v>
      </c>
      <c r="X103">
        <f t="shared" si="13"/>
        <v>0.14871056623977008</v>
      </c>
    </row>
    <row r="104" spans="1:24" x14ac:dyDescent="0.25">
      <c r="A104">
        <v>84</v>
      </c>
      <c r="B104">
        <v>1.5</v>
      </c>
      <c r="C104">
        <v>1.3468226583996701</v>
      </c>
      <c r="D104">
        <f t="shared" si="9"/>
        <v>0.15317734160032992</v>
      </c>
      <c r="F104">
        <v>84</v>
      </c>
      <c r="G104">
        <v>3.5999998999999998</v>
      </c>
      <c r="H104">
        <v>2.9105854701369598</v>
      </c>
      <c r="I104">
        <f t="shared" si="10"/>
        <v>0.68941442986304002</v>
      </c>
      <c r="K104">
        <v>84</v>
      </c>
      <c r="L104">
        <v>0.33</v>
      </c>
      <c r="M104">
        <v>0.28869234301792401</v>
      </c>
      <c r="N104">
        <f t="shared" si="11"/>
        <v>4.1307656982076002E-2</v>
      </c>
      <c r="P104">
        <v>150</v>
      </c>
      <c r="Q104">
        <v>2.8</v>
      </c>
      <c r="R104">
        <v>2.8002410725976099</v>
      </c>
      <c r="S104">
        <f t="shared" si="12"/>
        <v>-2.4107259761008137E-4</v>
      </c>
      <c r="U104">
        <v>41</v>
      </c>
      <c r="V104">
        <v>2.8</v>
      </c>
      <c r="W104">
        <v>2.4198027038268699</v>
      </c>
      <c r="X104">
        <f t="shared" si="13"/>
        <v>0.38019729617312992</v>
      </c>
    </row>
    <row r="105" spans="1:24" x14ac:dyDescent="0.25">
      <c r="A105">
        <v>41</v>
      </c>
      <c r="B105">
        <v>1.6</v>
      </c>
      <c r="C105">
        <v>1.4440361551030101</v>
      </c>
      <c r="D105">
        <f t="shared" si="9"/>
        <v>0.15596384489699</v>
      </c>
      <c r="F105">
        <v>41</v>
      </c>
      <c r="G105">
        <v>3.2</v>
      </c>
      <c r="H105">
        <v>2.9298688971988098</v>
      </c>
      <c r="I105">
        <f t="shared" si="10"/>
        <v>0.27013110280119035</v>
      </c>
      <c r="K105">
        <v>41</v>
      </c>
      <c r="L105">
        <v>0.35</v>
      </c>
      <c r="M105">
        <v>0.27687147713567201</v>
      </c>
      <c r="N105">
        <f t="shared" si="11"/>
        <v>7.3128522864327972E-2</v>
      </c>
      <c r="P105">
        <v>67</v>
      </c>
      <c r="Q105">
        <v>2</v>
      </c>
      <c r="R105">
        <v>2.2130161665957102</v>
      </c>
      <c r="S105">
        <f t="shared" si="12"/>
        <v>-0.21301616659571021</v>
      </c>
      <c r="U105">
        <v>109</v>
      </c>
      <c r="V105">
        <v>2.4000001000000002</v>
      </c>
      <c r="W105">
        <v>2.40538784377777</v>
      </c>
      <c r="X105">
        <f t="shared" si="13"/>
        <v>-5.3877437777698489E-3</v>
      </c>
    </row>
    <row r="106" spans="1:24" x14ac:dyDescent="0.25">
      <c r="A106">
        <v>36</v>
      </c>
      <c r="B106">
        <v>1.6</v>
      </c>
      <c r="C106">
        <v>1.7097425986285599</v>
      </c>
      <c r="D106">
        <f t="shared" si="9"/>
        <v>-0.10974259862855984</v>
      </c>
      <c r="F106">
        <v>36</v>
      </c>
      <c r="G106">
        <v>3.4000001000000002</v>
      </c>
      <c r="H106">
        <v>3.11524767194022</v>
      </c>
      <c r="I106">
        <f t="shared" si="10"/>
        <v>0.28475242805978018</v>
      </c>
      <c r="K106">
        <v>36</v>
      </c>
      <c r="L106">
        <v>0.26</v>
      </c>
      <c r="M106">
        <v>0.290466890481208</v>
      </c>
      <c r="N106">
        <f t="shared" si="11"/>
        <v>-3.0466890481207987E-2</v>
      </c>
      <c r="P106">
        <v>449</v>
      </c>
      <c r="Q106">
        <v>2.5</v>
      </c>
      <c r="R106">
        <v>2.55972986064844</v>
      </c>
      <c r="S106">
        <f t="shared" si="12"/>
        <v>-5.9729860648439992E-2</v>
      </c>
      <c r="U106">
        <v>150</v>
      </c>
      <c r="V106">
        <v>2.2999999999999998</v>
      </c>
      <c r="W106">
        <v>2.2597136865653602</v>
      </c>
      <c r="X106">
        <f t="shared" si="13"/>
        <v>4.028631343463962E-2</v>
      </c>
    </row>
    <row r="107" spans="1:24" x14ac:dyDescent="0.25">
      <c r="A107">
        <v>109</v>
      </c>
      <c r="B107">
        <v>1.8</v>
      </c>
      <c r="C107">
        <v>1.8180694158944899</v>
      </c>
      <c r="D107">
        <f t="shared" si="9"/>
        <v>-1.8069415894489849E-2</v>
      </c>
      <c r="F107">
        <v>109</v>
      </c>
      <c r="G107">
        <v>2.7</v>
      </c>
      <c r="H107">
        <v>3.1976209151960302</v>
      </c>
      <c r="I107">
        <f t="shared" si="10"/>
        <v>-0.49762091519603002</v>
      </c>
      <c r="K107">
        <v>109</v>
      </c>
      <c r="L107">
        <v>0.32</v>
      </c>
      <c r="M107">
        <v>0.321661704539697</v>
      </c>
      <c r="N107">
        <f t="shared" si="11"/>
        <v>-1.6617045396969954E-3</v>
      </c>
      <c r="P107">
        <v>713</v>
      </c>
      <c r="Q107">
        <v>2.8</v>
      </c>
      <c r="R107">
        <v>2.8002402565190501</v>
      </c>
      <c r="S107">
        <f t="shared" si="12"/>
        <v>-2.4025651905024148E-4</v>
      </c>
      <c r="U107">
        <v>67</v>
      </c>
      <c r="V107">
        <v>2.8</v>
      </c>
      <c r="W107">
        <v>2.4198050571976601</v>
      </c>
      <c r="X107">
        <f t="shared" si="13"/>
        <v>0.38019494280233967</v>
      </c>
    </row>
    <row r="108" spans="1:24" x14ac:dyDescent="0.25">
      <c r="A108">
        <v>150</v>
      </c>
      <c r="B108">
        <v>1.9</v>
      </c>
      <c r="C108">
        <v>1.95022072467645</v>
      </c>
      <c r="D108">
        <f t="shared" si="9"/>
        <v>-5.0220724676450113E-2</v>
      </c>
      <c r="F108">
        <v>150</v>
      </c>
      <c r="G108">
        <v>3.4000001000000002</v>
      </c>
      <c r="H108">
        <v>3.4096227762184399</v>
      </c>
      <c r="I108">
        <f t="shared" si="10"/>
        <v>-9.6226762184397074E-3</v>
      </c>
      <c r="K108">
        <v>150</v>
      </c>
      <c r="L108">
        <v>0.41</v>
      </c>
      <c r="M108">
        <v>0.36305810422342399</v>
      </c>
      <c r="N108">
        <f t="shared" si="11"/>
        <v>4.6941895776575981E-2</v>
      </c>
      <c r="P108">
        <v>86</v>
      </c>
      <c r="Q108">
        <v>2.5</v>
      </c>
      <c r="R108">
        <v>2.4905768956989598</v>
      </c>
      <c r="S108">
        <f t="shared" si="12"/>
        <v>9.4231043010402082E-3</v>
      </c>
      <c r="U108">
        <v>449</v>
      </c>
      <c r="V108">
        <v>2.4</v>
      </c>
      <c r="W108">
        <v>2.4053867751860101</v>
      </c>
      <c r="X108">
        <f t="shared" si="13"/>
        <v>-5.386775186010162E-3</v>
      </c>
    </row>
    <row r="109" spans="1:24" x14ac:dyDescent="0.25">
      <c r="A109">
        <v>67</v>
      </c>
      <c r="B109">
        <v>1.6</v>
      </c>
      <c r="C109">
        <v>1.4440370488278</v>
      </c>
      <c r="D109">
        <f t="shared" si="9"/>
        <v>0.15596295117220005</v>
      </c>
      <c r="F109">
        <v>67</v>
      </c>
      <c r="G109">
        <v>3.2</v>
      </c>
      <c r="H109">
        <v>2.9298696351283899</v>
      </c>
      <c r="I109">
        <f t="shared" si="10"/>
        <v>0.27013036487161024</v>
      </c>
      <c r="K109">
        <v>67</v>
      </c>
      <c r="L109">
        <v>0.35</v>
      </c>
      <c r="M109">
        <v>0.27687150925912601</v>
      </c>
      <c r="N109">
        <f t="shared" si="11"/>
        <v>7.3128490740873964E-2</v>
      </c>
      <c r="P109">
        <v>657</v>
      </c>
      <c r="Q109">
        <v>2.6</v>
      </c>
      <c r="R109">
        <v>2.7123050194105098</v>
      </c>
      <c r="S109">
        <f t="shared" si="12"/>
        <v>-0.11230501941050974</v>
      </c>
      <c r="U109">
        <v>713</v>
      </c>
      <c r="V109">
        <v>2.2999999999999998</v>
      </c>
      <c r="W109">
        <v>2.2597164293947598</v>
      </c>
      <c r="X109">
        <f t="shared" si="13"/>
        <v>4.0283570605240016E-2</v>
      </c>
    </row>
    <row r="110" spans="1:24" x14ac:dyDescent="0.25">
      <c r="A110">
        <v>449</v>
      </c>
      <c r="B110">
        <v>1.8</v>
      </c>
      <c r="C110">
        <v>1.8180692293287199</v>
      </c>
      <c r="D110">
        <f t="shared" si="9"/>
        <v>-1.8069229328719905E-2</v>
      </c>
      <c r="F110">
        <v>449</v>
      </c>
      <c r="G110">
        <v>2.7</v>
      </c>
      <c r="H110">
        <v>3.19762076058892</v>
      </c>
      <c r="I110">
        <f t="shared" si="10"/>
        <v>-0.4976207605889198</v>
      </c>
      <c r="K110">
        <v>449</v>
      </c>
      <c r="L110">
        <v>0.32</v>
      </c>
      <c r="M110">
        <v>0.32166167677702401</v>
      </c>
      <c r="N110">
        <f t="shared" si="11"/>
        <v>-1.6616767770240015E-3</v>
      </c>
    </row>
    <row r="111" spans="1:24" x14ac:dyDescent="0.25">
      <c r="A111">
        <v>713</v>
      </c>
      <c r="B111">
        <v>1.9</v>
      </c>
      <c r="C111">
        <v>1.9502203899430099</v>
      </c>
      <c r="D111">
        <f t="shared" ref="D111:D142" si="14">B111-C111</f>
        <v>-5.0220389943010035E-2</v>
      </c>
      <c r="F111">
        <v>713</v>
      </c>
      <c r="G111">
        <v>3.4</v>
      </c>
      <c r="H111">
        <v>3.4096241051470302</v>
      </c>
      <c r="I111">
        <f t="shared" ref="I111:I142" si="15">G111-H111</f>
        <v>-9.6241051470302708E-3</v>
      </c>
      <c r="K111">
        <v>713</v>
      </c>
      <c r="L111">
        <v>0.41</v>
      </c>
      <c r="M111">
        <v>0.36305812219877098</v>
      </c>
      <c r="N111">
        <f t="shared" ref="N111:N142" si="16">L111-M111</f>
        <v>4.6941877801228993E-2</v>
      </c>
    </row>
    <row r="112" spans="1:24" x14ac:dyDescent="0.25">
      <c r="A112">
        <v>86</v>
      </c>
      <c r="B112">
        <v>2.4</v>
      </c>
      <c r="C112">
        <v>2.0924677665821401</v>
      </c>
      <c r="D112">
        <f t="shared" si="14"/>
        <v>0.30753223341785985</v>
      </c>
      <c r="F112">
        <v>86</v>
      </c>
      <c r="G112">
        <v>4.2</v>
      </c>
      <c r="H112">
        <v>3.69844995557937</v>
      </c>
      <c r="I112">
        <f t="shared" si="15"/>
        <v>0.50155004442063023</v>
      </c>
    </row>
    <row r="113" spans="1:9" x14ac:dyDescent="0.25">
      <c r="A113">
        <v>657</v>
      </c>
      <c r="B113">
        <v>2.4</v>
      </c>
      <c r="C113">
        <v>2.2203716381307901</v>
      </c>
      <c r="D113">
        <f t="shared" si="14"/>
        <v>0.17962836186920983</v>
      </c>
      <c r="F113">
        <v>657</v>
      </c>
      <c r="G113">
        <v>4.3</v>
      </c>
      <c r="H113">
        <v>3.7031716469042499</v>
      </c>
      <c r="I113">
        <f t="shared" si="15"/>
        <v>0.59682835309574989</v>
      </c>
    </row>
  </sheetData>
  <mergeCells count="5">
    <mergeCell ref="A1:D1"/>
    <mergeCell ref="F1:I1"/>
    <mergeCell ref="K1:N1"/>
    <mergeCell ref="P1:S1"/>
    <mergeCell ref="U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tabSelected="1" workbookViewId="0">
      <selection activeCell="F3" sqref="F3"/>
    </sheetView>
  </sheetViews>
  <sheetFormatPr defaultRowHeight="15" x14ac:dyDescent="0.25"/>
  <sheetData>
    <row r="1" spans="1:31" x14ac:dyDescent="0.25">
      <c r="A1" s="22" t="s">
        <v>0</v>
      </c>
      <c r="B1" s="22"/>
      <c r="C1" s="22"/>
      <c r="D1" s="22"/>
      <c r="F1" s="22" t="s">
        <v>1</v>
      </c>
      <c r="G1" s="22"/>
      <c r="H1" s="22"/>
      <c r="I1" s="22"/>
      <c r="K1" s="22" t="s">
        <v>2</v>
      </c>
      <c r="L1" s="22"/>
      <c r="M1" s="22"/>
      <c r="N1" s="22"/>
      <c r="P1" s="22" t="s">
        <v>3</v>
      </c>
      <c r="Q1" s="22"/>
      <c r="R1" s="22"/>
      <c r="S1" s="22"/>
      <c r="U1" s="22" t="s">
        <v>4</v>
      </c>
      <c r="V1" s="22"/>
      <c r="W1" s="22"/>
      <c r="X1" s="22"/>
    </row>
    <row r="3" spans="1:31" x14ac:dyDescent="0.25">
      <c r="A3" s="21" t="s">
        <v>5</v>
      </c>
      <c r="B3">
        <f>SQRT(SUMSQ(D15:D1048576)/COUNTA(D15:D1048576))</f>
        <v>0.42132471092562146</v>
      </c>
      <c r="F3" s="21" t="s">
        <v>5</v>
      </c>
      <c r="G3">
        <f>SQRT(SUMSQ(I15:I1048576)/COUNTA(I15:I1048576))</f>
        <v>0.47971366919454556</v>
      </c>
      <c r="K3" s="21" t="s">
        <v>5</v>
      </c>
      <c r="L3">
        <f>SQRT(SUMSQ(N15:N1048576)/COUNTA(N15:N1048576))</f>
        <v>9.6950025601016385E-2</v>
      </c>
      <c r="P3" s="21" t="s">
        <v>5</v>
      </c>
      <c r="Q3">
        <f>SQRT(SUMSQ(S15:S1048576)/COUNTA(S15:S1048576))</f>
        <v>0.48335660719673318</v>
      </c>
      <c r="U3" s="21" t="s">
        <v>5</v>
      </c>
      <c r="V3">
        <f>SQRT(SUMSQ(X15:X1048576)/COUNTA(X15:X1048576))</f>
        <v>0.46495619942799926</v>
      </c>
    </row>
    <row r="4" spans="1:31" x14ac:dyDescent="0.25">
      <c r="A4" s="21" t="s">
        <v>6</v>
      </c>
      <c r="B4">
        <f>AVERAGE(D15:D1048576)</f>
        <v>0.15662385757605674</v>
      </c>
      <c r="F4" s="21" t="s">
        <v>6</v>
      </c>
      <c r="G4">
        <f>AVERAGE(I15:I1048576)</f>
        <v>0.23389317070803697</v>
      </c>
      <c r="K4" s="21" t="s">
        <v>6</v>
      </c>
      <c r="L4">
        <f>AVERAGE(N15:N1048576)</f>
        <v>-4.7134678376595913E-2</v>
      </c>
      <c r="P4" s="21" t="s">
        <v>6</v>
      </c>
      <c r="Q4">
        <f>AVERAGE(S15:S1048576)</f>
        <v>0.25854404462906466</v>
      </c>
      <c r="U4" s="21" t="s">
        <v>6</v>
      </c>
      <c r="V4">
        <f>AVERAGE(X15:X1048576)</f>
        <v>0.24067615659758776</v>
      </c>
    </row>
    <row r="5" spans="1:31" x14ac:dyDescent="0.25">
      <c r="A5" s="21" t="s">
        <v>7</v>
      </c>
      <c r="B5">
        <f>CORREL(B15:B1048576,C15:C1048576)^2</f>
        <v>0.2558147484829027</v>
      </c>
      <c r="F5" s="21" t="s">
        <v>7</v>
      </c>
      <c r="G5">
        <f>CORREL(G15:G1048576,H15:H1048576)^2</f>
        <v>0.57543700144513887</v>
      </c>
      <c r="K5" s="21" t="s">
        <v>7</v>
      </c>
      <c r="L5">
        <f>CORREL(L15:L1048576,M15:M1048576)^2</f>
        <v>0.63707802098270006</v>
      </c>
      <c r="P5" s="21" t="s">
        <v>7</v>
      </c>
      <c r="Q5">
        <f>CORREL(Q15:Q1048576,R15:R1048576)^2</f>
        <v>0.71021520765473856</v>
      </c>
      <c r="U5" s="21" t="s">
        <v>7</v>
      </c>
      <c r="V5">
        <f>CORREL(V15:V1048576,W15:W1048576)^2</f>
        <v>0.66953538213200559</v>
      </c>
    </row>
    <row r="6" spans="1:31" x14ac:dyDescent="0.25">
      <c r="A6" s="21" t="s">
        <v>8</v>
      </c>
      <c r="B6">
        <f>SLOPE(C15:C1048576,B15:B1048576)</f>
        <v>0.23060163928495378</v>
      </c>
      <c r="F6" s="21" t="s">
        <v>8</v>
      </c>
      <c r="G6">
        <f>SLOPE(H15:H1048576,G15:G1048576)</f>
        <v>0.59861375256846028</v>
      </c>
      <c r="K6" s="21" t="s">
        <v>8</v>
      </c>
      <c r="L6">
        <f>SLOPE(M15:M1048576,L15:L1048576)</f>
        <v>0.45858938585807946</v>
      </c>
      <c r="P6" s="21" t="s">
        <v>8</v>
      </c>
      <c r="Q6">
        <f>SLOPE(R15:R1048576,Q15:Q1048576)</f>
        <v>0.80495610174379351</v>
      </c>
      <c r="U6" s="21" t="s">
        <v>8</v>
      </c>
      <c r="V6">
        <f>SLOPE(W15:W1048576,V15:V1048576)</f>
        <v>0.79865667691304887</v>
      </c>
    </row>
    <row r="7" spans="1:31" x14ac:dyDescent="0.25">
      <c r="A7" s="21"/>
      <c r="F7" s="21"/>
      <c r="K7" s="21"/>
      <c r="P7" s="21"/>
      <c r="U7" s="21"/>
    </row>
    <row r="8" spans="1:31" x14ac:dyDescent="0.25">
      <c r="A8" s="21" t="s">
        <v>9</v>
      </c>
      <c r="B8">
        <f>COUNTA(B14:B1048576)</f>
        <v>12</v>
      </c>
      <c r="F8" s="21" t="s">
        <v>9</v>
      </c>
      <c r="G8">
        <f>COUNTA(G14:G1048576)</f>
        <v>12</v>
      </c>
      <c r="K8" s="21" t="s">
        <v>9</v>
      </c>
      <c r="L8">
        <f>COUNTA(L14:L1048576)</f>
        <v>14</v>
      </c>
      <c r="P8" s="21" t="s">
        <v>9</v>
      </c>
      <c r="Q8">
        <f>COUNTA(Q14:Q1048576)</f>
        <v>13</v>
      </c>
      <c r="U8" s="21" t="s">
        <v>9</v>
      </c>
      <c r="V8">
        <f>COUNTA(V14:V1048576)</f>
        <v>13</v>
      </c>
    </row>
    <row r="9" spans="1:31" x14ac:dyDescent="0.25">
      <c r="A9" s="21" t="s">
        <v>10</v>
      </c>
      <c r="B9">
        <f>MIN(B14:B1048576)</f>
        <v>0.38</v>
      </c>
      <c r="F9" s="21" t="s">
        <v>10</v>
      </c>
      <c r="G9">
        <f>MIN(G14:G1048576)</f>
        <v>0.18</v>
      </c>
      <c r="K9" s="21" t="s">
        <v>10</v>
      </c>
      <c r="L9">
        <f>MIN(L14:L1048576)</f>
        <v>0.06</v>
      </c>
      <c r="P9" s="21" t="s">
        <v>10</v>
      </c>
      <c r="Q9">
        <f>MIN(Q14:Q1048576)</f>
        <v>0.69</v>
      </c>
      <c r="U9" s="21" t="s">
        <v>10</v>
      </c>
      <c r="V9">
        <f>MIN(V14:V1048576)</f>
        <v>0.11</v>
      </c>
    </row>
    <row r="10" spans="1:31" x14ac:dyDescent="0.25">
      <c r="A10" s="21" t="s">
        <v>11</v>
      </c>
      <c r="B10">
        <f>MAX(B14:B1048576)</f>
        <v>2.1</v>
      </c>
      <c r="F10" s="21" t="s">
        <v>11</v>
      </c>
      <c r="G10">
        <f>MAX(G14:G1048576)</f>
        <v>2.57</v>
      </c>
      <c r="K10" s="21" t="s">
        <v>11</v>
      </c>
      <c r="L10">
        <f>MAX(L14:L1048576)</f>
        <v>0.56000000000000005</v>
      </c>
      <c r="P10" s="21" t="s">
        <v>11</v>
      </c>
      <c r="Q10">
        <f>MAX(Q14:Q1048576)</f>
        <v>2.81</v>
      </c>
      <c r="U10" s="21" t="s">
        <v>11</v>
      </c>
      <c r="V10">
        <f>MAX(V14:V1048576)</f>
        <v>2.4</v>
      </c>
    </row>
    <row r="11" spans="1:31" x14ac:dyDescent="0.25">
      <c r="A11" s="21" t="s">
        <v>12</v>
      </c>
      <c r="B11">
        <f>AVERAGE(B14:B1048576)</f>
        <v>1.1018181818181818</v>
      </c>
      <c r="F11" s="21" t="s">
        <v>12</v>
      </c>
      <c r="G11">
        <f>AVERAGE(G14:G1048576)</f>
        <v>1.9881818181818183</v>
      </c>
      <c r="K11" s="21" t="s">
        <v>12</v>
      </c>
      <c r="L11">
        <f>AVERAGE(L14:L1048576)</f>
        <v>0.2084615384615385</v>
      </c>
      <c r="P11" s="21" t="s">
        <v>12</v>
      </c>
      <c r="Q11">
        <f>AVERAGE(Q14:Q1048576)</f>
        <v>1.8291666666666666</v>
      </c>
      <c r="U11" s="21" t="s">
        <v>12</v>
      </c>
      <c r="V11">
        <f>AVERAGE(V14:V1048576)</f>
        <v>1.6949999999999996</v>
      </c>
    </row>
    <row r="12" spans="1:31" x14ac:dyDescent="0.25">
      <c r="A12" s="21" t="s">
        <v>13</v>
      </c>
      <c r="B12">
        <f>STDEV(B14:B1048576)</f>
        <v>0.47473820536835176</v>
      </c>
      <c r="F12" s="21" t="s">
        <v>13</v>
      </c>
      <c r="G12">
        <f>STDEV(G14:G1048576)</f>
        <v>0.67342138638178362</v>
      </c>
      <c r="K12" s="21" t="s">
        <v>13</v>
      </c>
      <c r="L12">
        <f>STDEV(L14:L1048576)</f>
        <v>0.13722524997524777</v>
      </c>
      <c r="P12" s="21" t="s">
        <v>13</v>
      </c>
      <c r="Q12">
        <f>STDEV(Q14:Q1048576)</f>
        <v>0.77565759002906565</v>
      </c>
      <c r="U12" s="21" t="s">
        <v>13</v>
      </c>
      <c r="V12">
        <f>STDEV(V14:V1048576)</f>
        <v>0.6970131080024774</v>
      </c>
      <c r="AA12" s="21"/>
      <c r="AB12" s="21"/>
      <c r="AC12" s="21"/>
      <c r="AD12" s="21"/>
      <c r="AE12" s="21"/>
    </row>
    <row r="13" spans="1:31" x14ac:dyDescent="0.25">
      <c r="Z13" s="21"/>
    </row>
    <row r="14" spans="1:31" x14ac:dyDescent="0.25">
      <c r="A14" s="21" t="s">
        <v>22</v>
      </c>
      <c r="B14" s="21" t="s">
        <v>23</v>
      </c>
      <c r="C14" s="21" t="s">
        <v>24</v>
      </c>
      <c r="D14" s="21" t="s">
        <v>25</v>
      </c>
      <c r="F14" s="21" t="s">
        <v>22</v>
      </c>
      <c r="G14" s="21" t="s">
        <v>23</v>
      </c>
      <c r="H14" s="21" t="s">
        <v>24</v>
      </c>
      <c r="I14" s="21" t="s">
        <v>25</v>
      </c>
      <c r="K14" s="21" t="s">
        <v>22</v>
      </c>
      <c r="L14" s="21" t="s">
        <v>23</v>
      </c>
      <c r="M14" s="21" t="s">
        <v>24</v>
      </c>
      <c r="N14" s="21" t="s">
        <v>25</v>
      </c>
      <c r="P14" s="21" t="s">
        <v>22</v>
      </c>
      <c r="Q14" s="21" t="s">
        <v>23</v>
      </c>
      <c r="R14" s="21" t="s">
        <v>24</v>
      </c>
      <c r="S14" s="21" t="s">
        <v>25</v>
      </c>
      <c r="U14" s="21" t="s">
        <v>22</v>
      </c>
      <c r="V14" s="21" t="s">
        <v>23</v>
      </c>
      <c r="W14" s="21" t="s">
        <v>24</v>
      </c>
      <c r="X14" s="21" t="s">
        <v>25</v>
      </c>
      <c r="Z14" s="21"/>
    </row>
    <row r="15" spans="1:31" x14ac:dyDescent="0.25">
      <c r="A15">
        <v>1815</v>
      </c>
      <c r="B15">
        <v>1.1000000000000001</v>
      </c>
      <c r="C15">
        <v>1.2474642549653201</v>
      </c>
      <c r="D15">
        <f t="shared" ref="D15:D78" si="0">B15-C15</f>
        <v>-0.14746425496532001</v>
      </c>
      <c r="F15">
        <v>1815</v>
      </c>
      <c r="G15">
        <v>2.0499999999999998</v>
      </c>
      <c r="H15">
        <v>1.8097098127264499</v>
      </c>
      <c r="I15">
        <f t="shared" ref="I15:I78" si="1">G15-H15</f>
        <v>0.24029018727354989</v>
      </c>
      <c r="K15">
        <v>1815</v>
      </c>
      <c r="L15">
        <v>0.21</v>
      </c>
      <c r="M15">
        <v>0.26849519298455699</v>
      </c>
      <c r="N15">
        <f t="shared" ref="N15:N78" si="2">L15-M15</f>
        <v>-5.8495192984556993E-2</v>
      </c>
      <c r="P15">
        <v>1815</v>
      </c>
      <c r="Q15">
        <v>2.69</v>
      </c>
      <c r="R15">
        <v>2.2634263476671599</v>
      </c>
      <c r="S15">
        <f t="shared" ref="S15:S78" si="3">Q15-R15</f>
        <v>0.42657365233284006</v>
      </c>
      <c r="U15">
        <v>1815</v>
      </c>
      <c r="V15">
        <v>1.87</v>
      </c>
      <c r="W15">
        <v>1.6867727268864099</v>
      </c>
      <c r="X15">
        <f>V15-W15</f>
        <v>0.18322727311359022</v>
      </c>
      <c r="Z15" s="21"/>
    </row>
    <row r="16" spans="1:31" x14ac:dyDescent="0.25">
      <c r="A16">
        <v>1817</v>
      </c>
      <c r="B16">
        <v>1.5</v>
      </c>
      <c r="C16">
        <v>1.22887809096044</v>
      </c>
      <c r="D16">
        <f t="shared" si="0"/>
        <v>0.27112190903956002</v>
      </c>
      <c r="F16">
        <v>1817</v>
      </c>
      <c r="G16">
        <v>2.48</v>
      </c>
      <c r="H16">
        <v>2.50725180445981</v>
      </c>
      <c r="I16">
        <f t="shared" si="1"/>
        <v>-2.7251804459810014E-2</v>
      </c>
      <c r="K16">
        <v>1817</v>
      </c>
      <c r="L16">
        <v>0.3</v>
      </c>
      <c r="M16">
        <v>0.29740894478861002</v>
      </c>
      <c r="N16">
        <f t="shared" si="2"/>
        <v>2.5910552113899699E-3</v>
      </c>
      <c r="P16">
        <v>1817</v>
      </c>
      <c r="Q16">
        <v>2.81</v>
      </c>
      <c r="R16">
        <v>2.5612540960225698</v>
      </c>
      <c r="S16">
        <f t="shared" si="3"/>
        <v>0.24874590397743024</v>
      </c>
      <c r="U16">
        <v>1817</v>
      </c>
      <c r="V16">
        <v>2.4</v>
      </c>
      <c r="W16">
        <v>2.3179502863642498</v>
      </c>
      <c r="X16">
        <f t="shared" ref="X16:X79" si="4">V16-W16</f>
        <v>8.2049713635750088E-2</v>
      </c>
      <c r="Z16" s="21"/>
    </row>
    <row r="17" spans="1:24" x14ac:dyDescent="0.25">
      <c r="A17">
        <v>1819</v>
      </c>
      <c r="B17">
        <v>1.1000000000000001</v>
      </c>
      <c r="C17">
        <v>1.20911713101773</v>
      </c>
      <c r="D17">
        <f t="shared" si="0"/>
        <v>-0.10911713101772991</v>
      </c>
      <c r="F17">
        <v>1819</v>
      </c>
      <c r="G17">
        <v>2.1800000000000002</v>
      </c>
      <c r="H17">
        <v>1.80890031903653</v>
      </c>
      <c r="I17">
        <f t="shared" si="1"/>
        <v>0.37109968096347012</v>
      </c>
      <c r="K17">
        <v>1819</v>
      </c>
      <c r="L17">
        <v>0.26</v>
      </c>
      <c r="M17">
        <v>0.261213908867162</v>
      </c>
      <c r="N17">
        <f t="shared" si="2"/>
        <v>-1.2139088671619946E-3</v>
      </c>
      <c r="P17">
        <v>1819</v>
      </c>
      <c r="Q17">
        <v>2.69</v>
      </c>
      <c r="R17">
        <v>2.2710548627673099</v>
      </c>
      <c r="S17">
        <f t="shared" si="3"/>
        <v>0.41894513723269</v>
      </c>
      <c r="U17">
        <v>1819</v>
      </c>
      <c r="V17">
        <v>2.12</v>
      </c>
      <c r="W17">
        <v>1.7283103746819</v>
      </c>
      <c r="X17">
        <f t="shared" si="4"/>
        <v>0.39168962531810014</v>
      </c>
    </row>
    <row r="18" spans="1:24" x14ac:dyDescent="0.25">
      <c r="A18">
        <v>1821</v>
      </c>
      <c r="B18">
        <v>2.1</v>
      </c>
      <c r="C18">
        <v>1.17242059414071</v>
      </c>
      <c r="D18">
        <f t="shared" si="0"/>
        <v>0.92757940585929011</v>
      </c>
      <c r="F18">
        <v>1821</v>
      </c>
      <c r="G18">
        <v>2.57</v>
      </c>
      <c r="H18">
        <v>2.5805736427447501</v>
      </c>
      <c r="I18">
        <f t="shared" si="1"/>
        <v>-1.0573642744750256E-2</v>
      </c>
      <c r="K18">
        <v>1821</v>
      </c>
      <c r="L18">
        <v>0.33</v>
      </c>
      <c r="M18">
        <v>0.33411041730517199</v>
      </c>
      <c r="N18">
        <f t="shared" si="2"/>
        <v>-4.1104173051719761E-3</v>
      </c>
      <c r="P18">
        <v>5336</v>
      </c>
      <c r="Q18">
        <v>2.46</v>
      </c>
      <c r="R18">
        <v>2.22482676444681</v>
      </c>
      <c r="S18">
        <f t="shared" si="3"/>
        <v>0.23517323555318992</v>
      </c>
      <c r="U18">
        <v>1821</v>
      </c>
      <c r="V18">
        <v>2.38</v>
      </c>
      <c r="W18">
        <v>2.25615637264143</v>
      </c>
      <c r="X18">
        <f t="shared" si="4"/>
        <v>0.12384362735856991</v>
      </c>
    </row>
    <row r="19" spans="1:24" x14ac:dyDescent="0.25">
      <c r="A19">
        <v>2224</v>
      </c>
      <c r="B19">
        <v>1.4</v>
      </c>
      <c r="C19">
        <v>0.72738464165842098</v>
      </c>
      <c r="D19">
        <f t="shared" si="0"/>
        <v>0.67261535834157893</v>
      </c>
      <c r="F19">
        <v>2224</v>
      </c>
      <c r="G19">
        <v>2.4500000000000002</v>
      </c>
      <c r="H19">
        <v>1.60824905853472</v>
      </c>
      <c r="I19">
        <f t="shared" si="1"/>
        <v>0.84175094146528018</v>
      </c>
      <c r="K19">
        <v>2224</v>
      </c>
      <c r="L19">
        <v>0.12</v>
      </c>
      <c r="M19">
        <v>0.26578540900926201</v>
      </c>
      <c r="N19">
        <f t="shared" si="2"/>
        <v>-0.14578540900926201</v>
      </c>
      <c r="P19">
        <v>5473</v>
      </c>
      <c r="Q19">
        <v>1.22</v>
      </c>
      <c r="R19">
        <v>0.59217108557338005</v>
      </c>
      <c r="S19">
        <f t="shared" si="3"/>
        <v>0.62782891442661992</v>
      </c>
      <c r="U19">
        <v>2224</v>
      </c>
      <c r="V19">
        <v>2.4</v>
      </c>
      <c r="W19">
        <v>1.54491548255969</v>
      </c>
      <c r="X19">
        <f t="shared" si="4"/>
        <v>0.85508451744030989</v>
      </c>
    </row>
    <row r="20" spans="1:24" x14ac:dyDescent="0.25">
      <c r="A20">
        <v>5336</v>
      </c>
      <c r="B20">
        <v>1.3</v>
      </c>
      <c r="C20">
        <v>0.815672891329701</v>
      </c>
      <c r="D20">
        <f t="shared" si="0"/>
        <v>0.48432710867029904</v>
      </c>
      <c r="F20">
        <v>5336</v>
      </c>
      <c r="G20">
        <v>1.98</v>
      </c>
      <c r="H20">
        <v>2.21138652367733</v>
      </c>
      <c r="I20">
        <f t="shared" si="1"/>
        <v>-0.23138652367733004</v>
      </c>
      <c r="K20">
        <v>5336</v>
      </c>
      <c r="L20">
        <v>0.1</v>
      </c>
      <c r="M20">
        <v>0.228111367979041</v>
      </c>
      <c r="N20">
        <f t="shared" si="2"/>
        <v>-0.12811136797904099</v>
      </c>
      <c r="P20">
        <v>5831</v>
      </c>
      <c r="Q20">
        <v>1.92</v>
      </c>
      <c r="R20">
        <v>1.9955729389279899</v>
      </c>
      <c r="S20">
        <f t="shared" si="3"/>
        <v>-7.5572938927989997E-2</v>
      </c>
      <c r="U20">
        <v>5336</v>
      </c>
      <c r="V20">
        <v>1.68</v>
      </c>
      <c r="W20">
        <v>2.0303576093206499</v>
      </c>
      <c r="X20">
        <f t="shared" si="4"/>
        <v>-0.35035760932064997</v>
      </c>
    </row>
    <row r="21" spans="1:24" x14ac:dyDescent="0.25">
      <c r="A21">
        <v>5473</v>
      </c>
      <c r="B21">
        <v>0.53</v>
      </c>
      <c r="C21">
        <v>0.82041928449731405</v>
      </c>
      <c r="D21">
        <f t="shared" si="0"/>
        <v>-0.29041928449731402</v>
      </c>
      <c r="F21">
        <v>5473</v>
      </c>
      <c r="G21">
        <v>1.51</v>
      </c>
      <c r="H21">
        <v>1.1840057318616799</v>
      </c>
      <c r="I21">
        <f t="shared" si="1"/>
        <v>0.32599426813832011</v>
      </c>
      <c r="K21">
        <v>5831</v>
      </c>
      <c r="L21">
        <v>0.13</v>
      </c>
      <c r="M21">
        <v>0.26813567747008399</v>
      </c>
      <c r="N21">
        <f t="shared" si="2"/>
        <v>-0.13813567747008398</v>
      </c>
      <c r="P21">
        <v>5833</v>
      </c>
      <c r="Q21">
        <v>1</v>
      </c>
      <c r="R21">
        <v>1.7402152899774599</v>
      </c>
      <c r="S21">
        <f t="shared" si="3"/>
        <v>-0.74021528997745989</v>
      </c>
      <c r="U21">
        <v>5473</v>
      </c>
      <c r="V21">
        <v>1.51</v>
      </c>
      <c r="W21">
        <v>0.63793248203478903</v>
      </c>
      <c r="X21">
        <f t="shared" si="4"/>
        <v>0.87206751796521098</v>
      </c>
    </row>
    <row r="22" spans="1:24" x14ac:dyDescent="0.25">
      <c r="A22">
        <v>5831</v>
      </c>
      <c r="B22">
        <v>0.85</v>
      </c>
      <c r="C22">
        <v>0.77280506550477901</v>
      </c>
      <c r="D22">
        <f t="shared" si="0"/>
        <v>7.7194934495220968E-2</v>
      </c>
      <c r="F22">
        <v>5831</v>
      </c>
      <c r="G22">
        <v>2.2599999999999998</v>
      </c>
      <c r="H22">
        <v>1.7662272492384199</v>
      </c>
      <c r="I22">
        <f t="shared" si="1"/>
        <v>0.49377275076157989</v>
      </c>
      <c r="K22">
        <v>5833</v>
      </c>
      <c r="L22">
        <v>0.56000000000000005</v>
      </c>
      <c r="M22">
        <v>0.438408572525952</v>
      </c>
      <c r="N22">
        <f t="shared" si="2"/>
        <v>0.12159142747404805</v>
      </c>
      <c r="P22">
        <v>6441</v>
      </c>
      <c r="Q22">
        <v>0.69</v>
      </c>
      <c r="R22">
        <v>0.73398963093599201</v>
      </c>
      <c r="S22">
        <f t="shared" si="3"/>
        <v>-4.3989630935992063E-2</v>
      </c>
      <c r="U22">
        <v>5831</v>
      </c>
      <c r="V22">
        <v>1.64</v>
      </c>
      <c r="W22">
        <v>1.7340485836453901</v>
      </c>
      <c r="X22">
        <f t="shared" si="4"/>
        <v>-9.4048583645390149E-2</v>
      </c>
    </row>
    <row r="23" spans="1:24" x14ac:dyDescent="0.25">
      <c r="A23">
        <v>6441</v>
      </c>
      <c r="B23">
        <v>0.38</v>
      </c>
      <c r="C23">
        <v>0.79368282922294098</v>
      </c>
      <c r="D23">
        <f t="shared" si="0"/>
        <v>-0.41368282922294097</v>
      </c>
      <c r="F23">
        <v>6441</v>
      </c>
      <c r="G23">
        <v>0.18</v>
      </c>
      <c r="H23">
        <v>0.84875740307651304</v>
      </c>
      <c r="I23">
        <f t="shared" si="1"/>
        <v>-0.6687574030765131</v>
      </c>
      <c r="K23">
        <v>6441</v>
      </c>
      <c r="L23">
        <v>0.27</v>
      </c>
      <c r="M23">
        <v>0.166008888993045</v>
      </c>
      <c r="N23">
        <f t="shared" si="2"/>
        <v>0.10399111100695502</v>
      </c>
      <c r="P23">
        <v>6443</v>
      </c>
      <c r="Q23">
        <v>1.02</v>
      </c>
      <c r="R23">
        <v>0.54087627046935505</v>
      </c>
      <c r="S23">
        <f t="shared" si="3"/>
        <v>0.47912372953064497</v>
      </c>
      <c r="U23">
        <v>6441</v>
      </c>
      <c r="V23">
        <v>0.11</v>
      </c>
      <c r="W23">
        <v>0.52173581042262596</v>
      </c>
      <c r="X23">
        <f t="shared" si="4"/>
        <v>-0.41173581042262597</v>
      </c>
    </row>
    <row r="24" spans="1:24" x14ac:dyDescent="0.25">
      <c r="A24">
        <v>6445</v>
      </c>
      <c r="B24">
        <v>0.92</v>
      </c>
      <c r="C24">
        <v>0.84587923892462602</v>
      </c>
      <c r="D24">
        <f t="shared" si="0"/>
        <v>7.412076107537402E-2</v>
      </c>
      <c r="F24">
        <v>6445</v>
      </c>
      <c r="G24">
        <v>2.33</v>
      </c>
      <c r="H24">
        <v>1.64220036922333</v>
      </c>
      <c r="I24">
        <f t="shared" si="1"/>
        <v>0.68779963077667006</v>
      </c>
      <c r="K24">
        <v>6443</v>
      </c>
      <c r="L24">
        <v>0.1</v>
      </c>
      <c r="M24">
        <v>0.15556542921125599</v>
      </c>
      <c r="N24">
        <f t="shared" si="2"/>
        <v>-5.5565429211255984E-2</v>
      </c>
      <c r="P24">
        <v>6444</v>
      </c>
      <c r="Q24">
        <v>1.1100000000000001</v>
      </c>
      <c r="R24">
        <v>0.844330363011907</v>
      </c>
      <c r="S24">
        <f t="shared" si="3"/>
        <v>0.26566963698809309</v>
      </c>
      <c r="U24">
        <v>6444</v>
      </c>
      <c r="V24">
        <v>0.65</v>
      </c>
      <c r="W24">
        <v>0.24761775272043199</v>
      </c>
      <c r="X24">
        <f t="shared" si="4"/>
        <v>0.40238224727956806</v>
      </c>
    </row>
    <row r="25" spans="1:24" x14ac:dyDescent="0.25">
      <c r="A25">
        <v>6569</v>
      </c>
      <c r="B25">
        <v>0.94</v>
      </c>
      <c r="C25">
        <v>0.76341354444139398</v>
      </c>
      <c r="D25">
        <f t="shared" si="0"/>
        <v>0.17658645555860597</v>
      </c>
      <c r="F25">
        <v>6569</v>
      </c>
      <c r="G25">
        <v>1.88</v>
      </c>
      <c r="H25">
        <v>1.3299132076320599</v>
      </c>
      <c r="I25">
        <f t="shared" si="1"/>
        <v>0.55008679236794</v>
      </c>
      <c r="K25">
        <v>6444</v>
      </c>
      <c r="L25">
        <v>0.06</v>
      </c>
      <c r="M25">
        <v>0.17775536910071499</v>
      </c>
      <c r="N25">
        <f t="shared" si="2"/>
        <v>-0.11775536910071499</v>
      </c>
      <c r="P25">
        <v>6445</v>
      </c>
      <c r="Q25">
        <v>2.11</v>
      </c>
      <c r="R25">
        <v>1.8573407640145301</v>
      </c>
      <c r="S25">
        <f t="shared" si="3"/>
        <v>0.2526592359854698</v>
      </c>
      <c r="U25">
        <v>6445</v>
      </c>
      <c r="V25">
        <v>1.86</v>
      </c>
      <c r="W25">
        <v>1.64644049168578</v>
      </c>
      <c r="X25">
        <f t="shared" si="4"/>
        <v>0.2135595083142201</v>
      </c>
    </row>
    <row r="26" spans="1:24" x14ac:dyDescent="0.25">
      <c r="K26">
        <v>6445</v>
      </c>
      <c r="L26">
        <v>0.17</v>
      </c>
      <c r="M26">
        <v>0.28889795267257401</v>
      </c>
      <c r="N26">
        <f t="shared" si="2"/>
        <v>-0.118897952672574</v>
      </c>
      <c r="P26">
        <v>6569</v>
      </c>
      <c r="Q26">
        <v>2.23</v>
      </c>
      <c r="R26">
        <v>1.2224130506367601</v>
      </c>
      <c r="S26">
        <f t="shared" si="3"/>
        <v>1.0075869493632399</v>
      </c>
      <c r="U26">
        <v>6569</v>
      </c>
      <c r="V26">
        <v>1.72</v>
      </c>
      <c r="W26">
        <v>1.0996481478655999</v>
      </c>
      <c r="X26">
        <f t="shared" si="4"/>
        <v>0.62035185213440003</v>
      </c>
    </row>
    <row r="27" spans="1:24" x14ac:dyDescent="0.25">
      <c r="K27">
        <v>6569</v>
      </c>
      <c r="L27">
        <v>0.1</v>
      </c>
      <c r="M27">
        <v>0.17285368798831699</v>
      </c>
      <c r="N27">
        <f t="shared" si="2"/>
        <v>-7.2853687988316984E-2</v>
      </c>
    </row>
  </sheetData>
  <mergeCells count="5">
    <mergeCell ref="A1:D1"/>
    <mergeCell ref="F1:I1"/>
    <mergeCell ref="K1:N1"/>
    <mergeCell ref="P1:S1"/>
    <mergeCell ref="U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statistiche</vt:lpstr>
      <vt:lpstr>Results - Dataset</vt:lpstr>
      <vt:lpstr>Results - Valid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2025-10-15T13:54:37Z</dcterms:modified>
</cp:coreProperties>
</file>