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atistiche" sheetId="1" r:id="rId1"/>
    <sheet name="Results - Dataset" sheetId="2" r:id="rId2"/>
    <sheet name="Results - Valid" sheetId="3" r:id="rId3"/>
    <sheet name="Test_Robustezza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5" i="4" l="1"/>
  <c r="F85" i="4"/>
  <c r="E85" i="4"/>
  <c r="D85" i="4"/>
  <c r="C85" i="4"/>
  <c r="G84" i="4"/>
  <c r="F84" i="4"/>
  <c r="E84" i="4"/>
  <c r="D84" i="4"/>
  <c r="C84" i="4"/>
  <c r="G83" i="4"/>
  <c r="F83" i="4"/>
  <c r="E83" i="4"/>
  <c r="D83" i="4"/>
  <c r="C83" i="4"/>
  <c r="G82" i="4"/>
  <c r="F82" i="4"/>
  <c r="E82" i="4"/>
  <c r="D82" i="4"/>
  <c r="C82" i="4"/>
  <c r="G81" i="4"/>
  <c r="F81" i="4"/>
  <c r="E81" i="4"/>
  <c r="D81" i="4"/>
  <c r="C81" i="4"/>
  <c r="G80" i="4"/>
  <c r="F80" i="4"/>
  <c r="E80" i="4"/>
  <c r="D80" i="4"/>
  <c r="C80" i="4"/>
  <c r="G79" i="4"/>
  <c r="F79" i="4"/>
  <c r="E79" i="4"/>
  <c r="D79" i="4"/>
  <c r="C79" i="4"/>
  <c r="G78" i="4"/>
  <c r="F78" i="4"/>
  <c r="E78" i="4"/>
  <c r="D78" i="4"/>
  <c r="C78" i="4"/>
  <c r="G77" i="4"/>
  <c r="F77" i="4"/>
  <c r="E77" i="4"/>
  <c r="D77" i="4"/>
  <c r="C77" i="4"/>
  <c r="G76" i="4"/>
  <c r="F76" i="4"/>
  <c r="E76" i="4"/>
  <c r="D76" i="4"/>
  <c r="C76" i="4"/>
  <c r="G75" i="4"/>
  <c r="F75" i="4"/>
  <c r="E75" i="4"/>
  <c r="D75" i="4"/>
  <c r="C75" i="4"/>
  <c r="AK63" i="4"/>
  <c r="AU52" i="4"/>
  <c r="AT52" i="4"/>
  <c r="AS52" i="4"/>
  <c r="AR52" i="4"/>
  <c r="AQ52" i="4"/>
  <c r="AP52" i="4"/>
  <c r="AU51" i="4"/>
  <c r="AT51" i="4"/>
  <c r="AS51" i="4"/>
  <c r="AR51" i="4"/>
  <c r="AQ51" i="4"/>
  <c r="AP51" i="4"/>
  <c r="AU50" i="4"/>
  <c r="AT50" i="4"/>
  <c r="AS50" i="4"/>
  <c r="AR50" i="4"/>
  <c r="AQ50" i="4"/>
  <c r="AP50" i="4"/>
  <c r="AU49" i="4"/>
  <c r="AT49" i="4"/>
  <c r="AS49" i="4"/>
  <c r="AR49" i="4"/>
  <c r="AQ49" i="4"/>
  <c r="AP49" i="4"/>
  <c r="AU48" i="4"/>
  <c r="AT48" i="4"/>
  <c r="AS48" i="4"/>
  <c r="AR48" i="4"/>
  <c r="AQ48" i="4"/>
  <c r="AP48" i="4"/>
  <c r="AU47" i="4"/>
  <c r="AT47" i="4"/>
  <c r="AS47" i="4"/>
  <c r="AR47" i="4"/>
  <c r="AQ47" i="4"/>
  <c r="AP47" i="4"/>
  <c r="AU46" i="4"/>
  <c r="AT46" i="4"/>
  <c r="AS46" i="4"/>
  <c r="AR46" i="4"/>
  <c r="AQ46" i="4"/>
  <c r="AP46" i="4"/>
  <c r="AU45" i="4"/>
  <c r="AT45" i="4"/>
  <c r="F32" i="4" s="1"/>
  <c r="AS45" i="4"/>
  <c r="AR45" i="4"/>
  <c r="AQ45" i="4"/>
  <c r="AP45" i="4"/>
  <c r="AU44" i="4"/>
  <c r="AT44" i="4"/>
  <c r="AS44" i="4"/>
  <c r="E31" i="4" s="1"/>
  <c r="AR44" i="4"/>
  <c r="D32" i="4" s="1"/>
  <c r="AQ44" i="4"/>
  <c r="AP44" i="4"/>
  <c r="AU43" i="4"/>
  <c r="AT43" i="4"/>
  <c r="AS43" i="4"/>
  <c r="AR43" i="4"/>
  <c r="D29" i="4" s="1"/>
  <c r="AQ43" i="4"/>
  <c r="C30" i="4" s="1"/>
  <c r="AP43" i="4"/>
  <c r="AU42" i="4"/>
  <c r="G31" i="4" s="1"/>
  <c r="AT42" i="4"/>
  <c r="AS42" i="4"/>
  <c r="AR42" i="4"/>
  <c r="AQ42" i="4"/>
  <c r="C29" i="4" s="1"/>
  <c r="AP42" i="4"/>
  <c r="B33" i="4"/>
  <c r="B32" i="4"/>
  <c r="B31" i="4"/>
  <c r="B30" i="4"/>
  <c r="F29" i="4"/>
  <c r="B27" i="4"/>
  <c r="B26" i="4"/>
  <c r="B25" i="4"/>
  <c r="B24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B17" i="4"/>
  <c r="B16" i="4"/>
  <c r="B15" i="4"/>
  <c r="B14" i="4"/>
  <c r="G12" i="4"/>
  <c r="AM57" i="4" s="1"/>
  <c r="F12" i="4"/>
  <c r="E12" i="4"/>
  <c r="AK55" i="4" s="1"/>
  <c r="D12" i="4"/>
  <c r="C12" i="4"/>
  <c r="AI64" i="4" s="1"/>
  <c r="B12" i="4"/>
  <c r="G11" i="4"/>
  <c r="F11" i="4"/>
  <c r="AD60" i="4" s="1"/>
  <c r="E11" i="4"/>
  <c r="D11" i="4"/>
  <c r="AB59" i="4" s="1"/>
  <c r="C11" i="4"/>
  <c r="B11" i="4"/>
  <c r="G10" i="4"/>
  <c r="W59" i="4" s="1"/>
  <c r="F10" i="4"/>
  <c r="E10" i="4"/>
  <c r="U62" i="4" s="1"/>
  <c r="D10" i="4"/>
  <c r="C10" i="4"/>
  <c r="S62" i="4" s="1"/>
  <c r="B10" i="4"/>
  <c r="G9" i="4"/>
  <c r="F9" i="4"/>
  <c r="E9" i="4"/>
  <c r="D9" i="4"/>
  <c r="L63" i="4" s="1"/>
  <c r="C9" i="4"/>
  <c r="B9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D31" i="4" l="1"/>
  <c r="W57" i="4"/>
  <c r="D33" i="4"/>
  <c r="L59" i="4"/>
  <c r="AE63" i="4"/>
  <c r="AE61" i="4"/>
  <c r="AE59" i="4"/>
  <c r="AE57" i="4"/>
  <c r="AE55" i="4"/>
  <c r="AE64" i="4"/>
  <c r="AE62" i="4"/>
  <c r="AE60" i="4"/>
  <c r="AE58" i="4"/>
  <c r="AE56" i="4"/>
  <c r="AE54" i="4"/>
  <c r="N64" i="4"/>
  <c r="N62" i="4"/>
  <c r="N60" i="4"/>
  <c r="N58" i="4"/>
  <c r="N56" i="4"/>
  <c r="N54" i="4"/>
  <c r="AD63" i="4"/>
  <c r="AD61" i="4"/>
  <c r="AD59" i="4"/>
  <c r="AD57" i="4"/>
  <c r="AD55" i="4"/>
  <c r="C33" i="4"/>
  <c r="C31" i="4"/>
  <c r="E32" i="4"/>
  <c r="E30" i="4"/>
  <c r="E29" i="4"/>
  <c r="G29" i="4"/>
  <c r="G32" i="4"/>
  <c r="G30" i="4"/>
  <c r="AB55" i="4"/>
  <c r="N57" i="4"/>
  <c r="AI58" i="4"/>
  <c r="U60" i="4"/>
  <c r="AM61" i="4"/>
  <c r="AB63" i="4"/>
  <c r="S54" i="4"/>
  <c r="T63" i="4"/>
  <c r="T61" i="4"/>
  <c r="T59" i="4"/>
  <c r="T57" i="4"/>
  <c r="T55" i="4"/>
  <c r="T64" i="4"/>
  <c r="T62" i="4"/>
  <c r="T60" i="4"/>
  <c r="T58" i="4"/>
  <c r="T56" i="4"/>
  <c r="T54" i="4"/>
  <c r="AJ64" i="4"/>
  <c r="AJ62" i="4"/>
  <c r="AJ60" i="4"/>
  <c r="AJ58" i="4"/>
  <c r="AJ56" i="4"/>
  <c r="AJ54" i="4"/>
  <c r="AJ63" i="4"/>
  <c r="AJ61" i="4"/>
  <c r="AJ59" i="4"/>
  <c r="AJ57" i="4"/>
  <c r="AJ55" i="4"/>
  <c r="U54" i="4"/>
  <c r="AM55" i="4"/>
  <c r="AB57" i="4"/>
  <c r="N59" i="4"/>
  <c r="AI60" i="4"/>
  <c r="AM63" i="4"/>
  <c r="U63" i="4"/>
  <c r="U61" i="4"/>
  <c r="U59" i="4"/>
  <c r="U57" i="4"/>
  <c r="U55" i="4"/>
  <c r="AK64" i="4"/>
  <c r="AK62" i="4"/>
  <c r="AK60" i="4"/>
  <c r="AK58" i="4"/>
  <c r="AK56" i="4"/>
  <c r="AK54" i="4"/>
  <c r="E33" i="4"/>
  <c r="AD54" i="4"/>
  <c r="S56" i="4"/>
  <c r="AK57" i="4"/>
  <c r="L61" i="4"/>
  <c r="AD62" i="4"/>
  <c r="S64" i="4"/>
  <c r="V64" i="4"/>
  <c r="V62" i="4"/>
  <c r="V60" i="4"/>
  <c r="V58" i="4"/>
  <c r="V56" i="4"/>
  <c r="V54" i="4"/>
  <c r="V63" i="4"/>
  <c r="V61" i="4"/>
  <c r="V59" i="4"/>
  <c r="V57" i="4"/>
  <c r="V55" i="4"/>
  <c r="AL64" i="4"/>
  <c r="AL62" i="4"/>
  <c r="AL60" i="4"/>
  <c r="AL58" i="4"/>
  <c r="AL56" i="4"/>
  <c r="AL54" i="4"/>
  <c r="AL63" i="4"/>
  <c r="AL61" i="4"/>
  <c r="AL59" i="4"/>
  <c r="AL57" i="4"/>
  <c r="AL55" i="4"/>
  <c r="G33" i="4"/>
  <c r="AI54" i="4"/>
  <c r="U56" i="4"/>
  <c r="N61" i="4"/>
  <c r="AI62" i="4"/>
  <c r="U64" i="4"/>
  <c r="S63" i="4"/>
  <c r="S61" i="4"/>
  <c r="S59" i="4"/>
  <c r="S57" i="4"/>
  <c r="S55" i="4"/>
  <c r="K64" i="4"/>
  <c r="K62" i="4"/>
  <c r="K60" i="4"/>
  <c r="K58" i="4"/>
  <c r="K56" i="4"/>
  <c r="K54" i="4"/>
  <c r="K63" i="4"/>
  <c r="K61" i="4"/>
  <c r="K59" i="4"/>
  <c r="K57" i="4"/>
  <c r="K55" i="4"/>
  <c r="W64" i="4"/>
  <c r="W62" i="4"/>
  <c r="W60" i="4"/>
  <c r="W58" i="4"/>
  <c r="W56" i="4"/>
  <c r="W54" i="4"/>
  <c r="AA64" i="4"/>
  <c r="AA62" i="4"/>
  <c r="AA60" i="4"/>
  <c r="AA58" i="4"/>
  <c r="AA56" i="4"/>
  <c r="AA54" i="4"/>
  <c r="AA63" i="4"/>
  <c r="AA61" i="4"/>
  <c r="AA59" i="4"/>
  <c r="AA57" i="4"/>
  <c r="AA55" i="4"/>
  <c r="AM64" i="4"/>
  <c r="AM62" i="4"/>
  <c r="AM60" i="4"/>
  <c r="AM58" i="4"/>
  <c r="AM56" i="4"/>
  <c r="AM54" i="4"/>
  <c r="C32" i="4"/>
  <c r="L55" i="4"/>
  <c r="AD56" i="4"/>
  <c r="S58" i="4"/>
  <c r="AK59" i="4"/>
  <c r="W61" i="4"/>
  <c r="AD64" i="4"/>
  <c r="L64" i="4"/>
  <c r="L62" i="4"/>
  <c r="L60" i="4"/>
  <c r="L58" i="4"/>
  <c r="L56" i="4"/>
  <c r="L54" i="4"/>
  <c r="AB64" i="4"/>
  <c r="AB62" i="4"/>
  <c r="AB60" i="4"/>
  <c r="AB58" i="4"/>
  <c r="AB56" i="4"/>
  <c r="AB54" i="4"/>
  <c r="N55" i="4"/>
  <c r="AI56" i="4"/>
  <c r="U58" i="4"/>
  <c r="AM59" i="4"/>
  <c r="AB61" i="4"/>
  <c r="N63" i="4"/>
  <c r="O63" i="4"/>
  <c r="O61" i="4"/>
  <c r="O59" i="4"/>
  <c r="O57" i="4"/>
  <c r="O55" i="4"/>
  <c r="O64" i="4"/>
  <c r="O62" i="4"/>
  <c r="O60" i="4"/>
  <c r="O58" i="4"/>
  <c r="O56" i="4"/>
  <c r="O54" i="4"/>
  <c r="AI63" i="4"/>
  <c r="AI61" i="4"/>
  <c r="AI59" i="4"/>
  <c r="AI57" i="4"/>
  <c r="AI55" i="4"/>
  <c r="M64" i="4"/>
  <c r="M62" i="4"/>
  <c r="M60" i="4"/>
  <c r="M58" i="4"/>
  <c r="M56" i="4"/>
  <c r="M54" i="4"/>
  <c r="M63" i="4"/>
  <c r="M61" i="4"/>
  <c r="M59" i="4"/>
  <c r="M57" i="4"/>
  <c r="M55" i="4"/>
  <c r="AC63" i="4"/>
  <c r="AC61" i="4"/>
  <c r="AC59" i="4"/>
  <c r="AC57" i="4"/>
  <c r="AC55" i="4"/>
  <c r="AC64" i="4"/>
  <c r="AC62" i="4"/>
  <c r="AC60" i="4"/>
  <c r="AC58" i="4"/>
  <c r="AC56" i="4"/>
  <c r="AC54" i="4"/>
  <c r="W55" i="4"/>
  <c r="L57" i="4"/>
  <c r="AD58" i="4"/>
  <c r="S60" i="4"/>
  <c r="AK61" i="4"/>
  <c r="W63" i="4"/>
  <c r="F31" i="4"/>
  <c r="F33" i="4"/>
  <c r="D30" i="4"/>
  <c r="F30" i="4"/>
  <c r="D26" i="4" l="1"/>
  <c r="D16" i="4"/>
  <c r="D27" i="4"/>
  <c r="D17" i="4"/>
  <c r="E24" i="4"/>
  <c r="E14" i="4"/>
  <c r="C27" i="4"/>
  <c r="C17" i="4"/>
  <c r="G24" i="4"/>
  <c r="G14" i="4"/>
  <c r="G25" i="4"/>
  <c r="G15" i="4"/>
  <c r="E16" i="4"/>
  <c r="E26" i="4"/>
  <c r="F26" i="4"/>
  <c r="F16" i="4"/>
  <c r="C16" i="4"/>
  <c r="C26" i="4"/>
  <c r="G26" i="4"/>
  <c r="G16" i="4"/>
  <c r="G27" i="4"/>
  <c r="G17" i="4"/>
  <c r="C24" i="4"/>
  <c r="C14" i="4"/>
  <c r="F24" i="4"/>
  <c r="F14" i="4"/>
  <c r="E27" i="4"/>
  <c r="E17" i="4"/>
  <c r="E25" i="4"/>
  <c r="E15" i="4"/>
  <c r="C25" i="4"/>
  <c r="C15" i="4"/>
  <c r="F17" i="4"/>
  <c r="F27" i="4"/>
  <c r="F15" i="4"/>
  <c r="F25" i="4"/>
  <c r="D25" i="4"/>
  <c r="D15" i="4"/>
  <c r="D24" i="4"/>
  <c r="D14" i="4"/>
  <c r="X203" i="2" l="1"/>
  <c r="X202" i="2"/>
  <c r="X201" i="2"/>
  <c r="I201" i="2"/>
  <c r="X200" i="2"/>
  <c r="I200" i="2"/>
  <c r="D200" i="2"/>
  <c r="X199" i="2"/>
  <c r="I199" i="2"/>
  <c r="D199" i="2"/>
  <c r="X198" i="2"/>
  <c r="I198" i="2"/>
  <c r="D198" i="2"/>
  <c r="X197" i="2"/>
  <c r="N197" i="2"/>
  <c r="I197" i="2"/>
  <c r="D197" i="2"/>
  <c r="X196" i="2"/>
  <c r="N196" i="2"/>
  <c r="I196" i="2"/>
  <c r="D196" i="2"/>
  <c r="X195" i="2"/>
  <c r="N195" i="2"/>
  <c r="I195" i="2"/>
  <c r="D195" i="2"/>
  <c r="X194" i="2"/>
  <c r="N194" i="2"/>
  <c r="I194" i="2"/>
  <c r="D194" i="2"/>
  <c r="X193" i="2"/>
  <c r="N193" i="2"/>
  <c r="I193" i="2"/>
  <c r="D193" i="2"/>
  <c r="X192" i="2"/>
  <c r="N192" i="2"/>
  <c r="I192" i="2"/>
  <c r="D192" i="2"/>
  <c r="X191" i="2"/>
  <c r="N191" i="2"/>
  <c r="I191" i="2"/>
  <c r="D191" i="2"/>
  <c r="X190" i="2"/>
  <c r="N190" i="2"/>
  <c r="I190" i="2"/>
  <c r="D190" i="2"/>
  <c r="X189" i="2"/>
  <c r="N189" i="2"/>
  <c r="I189" i="2"/>
  <c r="D189" i="2"/>
  <c r="X188" i="2"/>
  <c r="N188" i="2"/>
  <c r="I188" i="2"/>
  <c r="D188" i="2"/>
  <c r="X187" i="2"/>
  <c r="S187" i="2"/>
  <c r="N187" i="2"/>
  <c r="I187" i="2"/>
  <c r="D187" i="2"/>
  <c r="X186" i="2"/>
  <c r="S186" i="2"/>
  <c r="N186" i="2"/>
  <c r="I186" i="2"/>
  <c r="D186" i="2"/>
  <c r="X185" i="2"/>
  <c r="S185" i="2"/>
  <c r="N185" i="2"/>
  <c r="I185" i="2"/>
  <c r="D185" i="2"/>
  <c r="X184" i="2"/>
  <c r="S184" i="2"/>
  <c r="N184" i="2"/>
  <c r="I184" i="2"/>
  <c r="D184" i="2"/>
  <c r="X183" i="2"/>
  <c r="S183" i="2"/>
  <c r="N183" i="2"/>
  <c r="I183" i="2"/>
  <c r="D183" i="2"/>
  <c r="X182" i="2"/>
  <c r="S182" i="2"/>
  <c r="N182" i="2"/>
  <c r="I182" i="2"/>
  <c r="D182" i="2"/>
  <c r="X181" i="2"/>
  <c r="S181" i="2"/>
  <c r="N181" i="2"/>
  <c r="I181" i="2"/>
  <c r="D181" i="2"/>
  <c r="X180" i="2"/>
  <c r="S180" i="2"/>
  <c r="N180" i="2"/>
  <c r="I180" i="2"/>
  <c r="D180" i="2"/>
  <c r="X179" i="2"/>
  <c r="S179" i="2"/>
  <c r="N179" i="2"/>
  <c r="I179" i="2"/>
  <c r="D179" i="2"/>
  <c r="X178" i="2"/>
  <c r="S178" i="2"/>
  <c r="N178" i="2"/>
  <c r="I178" i="2"/>
  <c r="D178" i="2"/>
  <c r="X177" i="2"/>
  <c r="S177" i="2"/>
  <c r="N177" i="2"/>
  <c r="I177" i="2"/>
  <c r="D177" i="2"/>
  <c r="X176" i="2"/>
  <c r="S176" i="2"/>
  <c r="N176" i="2"/>
  <c r="I176" i="2"/>
  <c r="D176" i="2"/>
  <c r="X175" i="2"/>
  <c r="S175" i="2"/>
  <c r="N175" i="2"/>
  <c r="I175" i="2"/>
  <c r="D175" i="2"/>
  <c r="X174" i="2"/>
  <c r="S174" i="2"/>
  <c r="N174" i="2"/>
  <c r="I174" i="2"/>
  <c r="D174" i="2"/>
  <c r="X173" i="2"/>
  <c r="S173" i="2"/>
  <c r="N173" i="2"/>
  <c r="I173" i="2"/>
  <c r="D173" i="2"/>
  <c r="X172" i="2"/>
  <c r="S172" i="2"/>
  <c r="N172" i="2"/>
  <c r="I172" i="2"/>
  <c r="D172" i="2"/>
  <c r="X171" i="2"/>
  <c r="S171" i="2"/>
  <c r="N171" i="2"/>
  <c r="I171" i="2"/>
  <c r="D171" i="2"/>
  <c r="X170" i="2"/>
  <c r="S170" i="2"/>
  <c r="N170" i="2"/>
  <c r="I170" i="2"/>
  <c r="D170" i="2"/>
  <c r="X169" i="2"/>
  <c r="S169" i="2"/>
  <c r="N169" i="2"/>
  <c r="I169" i="2"/>
  <c r="D169" i="2"/>
  <c r="X168" i="2"/>
  <c r="S168" i="2"/>
  <c r="N168" i="2"/>
  <c r="I168" i="2"/>
  <c r="D168" i="2"/>
  <c r="X167" i="2"/>
  <c r="S167" i="2"/>
  <c r="N167" i="2"/>
  <c r="I167" i="2"/>
  <c r="D167" i="2"/>
  <c r="X166" i="2"/>
  <c r="S166" i="2"/>
  <c r="N166" i="2"/>
  <c r="I166" i="2"/>
  <c r="D166" i="2"/>
  <c r="X165" i="2"/>
  <c r="S165" i="2"/>
  <c r="N165" i="2"/>
  <c r="I165" i="2"/>
  <c r="D165" i="2"/>
  <c r="X164" i="2"/>
  <c r="S164" i="2"/>
  <c r="N164" i="2"/>
  <c r="I164" i="2"/>
  <c r="D164" i="2"/>
  <c r="X163" i="2"/>
  <c r="S163" i="2"/>
  <c r="N163" i="2"/>
  <c r="I163" i="2"/>
  <c r="D163" i="2"/>
  <c r="X162" i="2"/>
  <c r="S162" i="2"/>
  <c r="N162" i="2"/>
  <c r="I162" i="2"/>
  <c r="D162" i="2"/>
  <c r="X161" i="2"/>
  <c r="S161" i="2"/>
  <c r="N161" i="2"/>
  <c r="I161" i="2"/>
  <c r="D161" i="2"/>
  <c r="X160" i="2"/>
  <c r="S160" i="2"/>
  <c r="N160" i="2"/>
  <c r="I160" i="2"/>
  <c r="D160" i="2"/>
  <c r="X159" i="2"/>
  <c r="S159" i="2"/>
  <c r="N159" i="2"/>
  <c r="I159" i="2"/>
  <c r="D159" i="2"/>
  <c r="X158" i="2"/>
  <c r="S158" i="2"/>
  <c r="N158" i="2"/>
  <c r="I158" i="2"/>
  <c r="D158" i="2"/>
  <c r="X157" i="2"/>
  <c r="S157" i="2"/>
  <c r="N157" i="2"/>
  <c r="I157" i="2"/>
  <c r="D157" i="2"/>
  <c r="X156" i="2"/>
  <c r="S156" i="2"/>
  <c r="N156" i="2"/>
  <c r="I156" i="2"/>
  <c r="D156" i="2"/>
  <c r="X155" i="2"/>
  <c r="S155" i="2"/>
  <c r="N155" i="2"/>
  <c r="I155" i="2"/>
  <c r="D155" i="2"/>
  <c r="X154" i="2"/>
  <c r="S154" i="2"/>
  <c r="N154" i="2"/>
  <c r="I154" i="2"/>
  <c r="D154" i="2"/>
  <c r="X153" i="2"/>
  <c r="S153" i="2"/>
  <c r="N153" i="2"/>
  <c r="I153" i="2"/>
  <c r="D153" i="2"/>
  <c r="X152" i="2"/>
  <c r="S152" i="2"/>
  <c r="N152" i="2"/>
  <c r="I152" i="2"/>
  <c r="D152" i="2"/>
  <c r="X151" i="2"/>
  <c r="S151" i="2"/>
  <c r="N151" i="2"/>
  <c r="I151" i="2"/>
  <c r="D151" i="2"/>
  <c r="X150" i="2"/>
  <c r="S150" i="2"/>
  <c r="N150" i="2"/>
  <c r="I150" i="2"/>
  <c r="D150" i="2"/>
  <c r="X149" i="2"/>
  <c r="S149" i="2"/>
  <c r="N149" i="2"/>
  <c r="I149" i="2"/>
  <c r="D149" i="2"/>
  <c r="X148" i="2"/>
  <c r="S148" i="2"/>
  <c r="N148" i="2"/>
  <c r="I148" i="2"/>
  <c r="D148" i="2"/>
  <c r="X147" i="2"/>
  <c r="S147" i="2"/>
  <c r="N147" i="2"/>
  <c r="I147" i="2"/>
  <c r="D147" i="2"/>
  <c r="X146" i="2"/>
  <c r="S146" i="2"/>
  <c r="N146" i="2"/>
  <c r="I146" i="2"/>
  <c r="D146" i="2"/>
  <c r="X145" i="2"/>
  <c r="S145" i="2"/>
  <c r="N145" i="2"/>
  <c r="I145" i="2"/>
  <c r="D145" i="2"/>
  <c r="X144" i="2"/>
  <c r="S144" i="2"/>
  <c r="N144" i="2"/>
  <c r="I144" i="2"/>
  <c r="D144" i="2"/>
  <c r="X143" i="2"/>
  <c r="S143" i="2"/>
  <c r="N143" i="2"/>
  <c r="I143" i="2"/>
  <c r="D143" i="2"/>
  <c r="X142" i="2"/>
  <c r="S142" i="2"/>
  <c r="N142" i="2"/>
  <c r="I142" i="2"/>
  <c r="D142" i="2"/>
  <c r="X141" i="2"/>
  <c r="S141" i="2"/>
  <c r="N141" i="2"/>
  <c r="I141" i="2"/>
  <c r="D141" i="2"/>
  <c r="X140" i="2"/>
  <c r="S140" i="2"/>
  <c r="N140" i="2"/>
  <c r="I140" i="2"/>
  <c r="D140" i="2"/>
  <c r="X139" i="2"/>
  <c r="S139" i="2"/>
  <c r="N139" i="2"/>
  <c r="I139" i="2"/>
  <c r="D139" i="2"/>
  <c r="X138" i="2"/>
  <c r="S138" i="2"/>
  <c r="N138" i="2"/>
  <c r="I138" i="2"/>
  <c r="D138" i="2"/>
  <c r="X137" i="2"/>
  <c r="S137" i="2"/>
  <c r="N137" i="2"/>
  <c r="I137" i="2"/>
  <c r="D137" i="2"/>
  <c r="X136" i="2"/>
  <c r="S136" i="2"/>
  <c r="N136" i="2"/>
  <c r="I136" i="2"/>
  <c r="D136" i="2"/>
  <c r="X135" i="2"/>
  <c r="S135" i="2"/>
  <c r="N135" i="2"/>
  <c r="I135" i="2"/>
  <c r="D135" i="2"/>
  <c r="X134" i="2"/>
  <c r="S134" i="2"/>
  <c r="N134" i="2"/>
  <c r="I134" i="2"/>
  <c r="D134" i="2"/>
  <c r="X133" i="2"/>
  <c r="S133" i="2"/>
  <c r="N133" i="2"/>
  <c r="I133" i="2"/>
  <c r="D133" i="2"/>
  <c r="X132" i="2"/>
  <c r="S132" i="2"/>
  <c r="N132" i="2"/>
  <c r="I132" i="2"/>
  <c r="D132" i="2"/>
  <c r="X131" i="2"/>
  <c r="S131" i="2"/>
  <c r="N131" i="2"/>
  <c r="I131" i="2"/>
  <c r="D131" i="2"/>
  <c r="X130" i="2"/>
  <c r="S130" i="2"/>
  <c r="N130" i="2"/>
  <c r="I130" i="2"/>
  <c r="D130" i="2"/>
  <c r="X129" i="2"/>
  <c r="S129" i="2"/>
  <c r="N129" i="2"/>
  <c r="I129" i="2"/>
  <c r="D129" i="2"/>
  <c r="X128" i="2"/>
  <c r="S128" i="2"/>
  <c r="N128" i="2"/>
  <c r="I128" i="2"/>
  <c r="D128" i="2"/>
  <c r="X127" i="2"/>
  <c r="S127" i="2"/>
  <c r="N127" i="2"/>
  <c r="I127" i="2"/>
  <c r="D127" i="2"/>
  <c r="X126" i="2"/>
  <c r="S126" i="2"/>
  <c r="N126" i="2"/>
  <c r="I126" i="2"/>
  <c r="D126" i="2"/>
  <c r="X125" i="2"/>
  <c r="S125" i="2"/>
  <c r="N125" i="2"/>
  <c r="I125" i="2"/>
  <c r="D125" i="2"/>
  <c r="X124" i="2"/>
  <c r="S124" i="2"/>
  <c r="N124" i="2"/>
  <c r="I124" i="2"/>
  <c r="D124" i="2"/>
  <c r="X123" i="2"/>
  <c r="S123" i="2"/>
  <c r="N123" i="2"/>
  <c r="I123" i="2"/>
  <c r="D123" i="2"/>
  <c r="X122" i="2"/>
  <c r="S122" i="2"/>
  <c r="N122" i="2"/>
  <c r="I122" i="2"/>
  <c r="D122" i="2"/>
  <c r="X121" i="2"/>
  <c r="S121" i="2"/>
  <c r="N121" i="2"/>
  <c r="I121" i="2"/>
  <c r="D121" i="2"/>
  <c r="X120" i="2"/>
  <c r="S120" i="2"/>
  <c r="N120" i="2"/>
  <c r="I120" i="2"/>
  <c r="D120" i="2"/>
  <c r="X119" i="2"/>
  <c r="S119" i="2"/>
  <c r="N119" i="2"/>
  <c r="I119" i="2"/>
  <c r="D119" i="2"/>
  <c r="X118" i="2"/>
  <c r="S118" i="2"/>
  <c r="N118" i="2"/>
  <c r="I118" i="2"/>
  <c r="D118" i="2"/>
  <c r="X117" i="2"/>
  <c r="S117" i="2"/>
  <c r="N117" i="2"/>
  <c r="I117" i="2"/>
  <c r="D117" i="2"/>
  <c r="X116" i="2"/>
  <c r="S116" i="2"/>
  <c r="N116" i="2"/>
  <c r="I116" i="2"/>
  <c r="D116" i="2"/>
  <c r="X115" i="2"/>
  <c r="S115" i="2"/>
  <c r="N115" i="2"/>
  <c r="I115" i="2"/>
  <c r="D115" i="2"/>
  <c r="X114" i="2"/>
  <c r="S114" i="2"/>
  <c r="N114" i="2"/>
  <c r="I114" i="2"/>
  <c r="D114" i="2"/>
  <c r="X113" i="2"/>
  <c r="S113" i="2"/>
  <c r="N113" i="2"/>
  <c r="I113" i="2"/>
  <c r="D113" i="2"/>
  <c r="X112" i="2"/>
  <c r="S112" i="2"/>
  <c r="N112" i="2"/>
  <c r="I112" i="2"/>
  <c r="D112" i="2"/>
  <c r="X111" i="2"/>
  <c r="S111" i="2"/>
  <c r="N111" i="2"/>
  <c r="I111" i="2"/>
  <c r="D111" i="2"/>
  <c r="X110" i="2"/>
  <c r="S110" i="2"/>
  <c r="N110" i="2"/>
  <c r="I110" i="2"/>
  <c r="D110" i="2"/>
  <c r="X109" i="2"/>
  <c r="S109" i="2"/>
  <c r="N109" i="2"/>
  <c r="I109" i="2"/>
  <c r="D109" i="2"/>
  <c r="X108" i="2"/>
  <c r="S108" i="2"/>
  <c r="N108" i="2"/>
  <c r="I108" i="2"/>
  <c r="D108" i="2"/>
  <c r="X107" i="2"/>
  <c r="S107" i="2"/>
  <c r="N107" i="2"/>
  <c r="I107" i="2"/>
  <c r="D107" i="2"/>
  <c r="X106" i="2"/>
  <c r="S106" i="2"/>
  <c r="N106" i="2"/>
  <c r="I106" i="2"/>
  <c r="D106" i="2"/>
  <c r="X105" i="2"/>
  <c r="S105" i="2"/>
  <c r="N105" i="2"/>
  <c r="I105" i="2"/>
  <c r="D105" i="2"/>
  <c r="X104" i="2"/>
  <c r="S104" i="2"/>
  <c r="N104" i="2"/>
  <c r="I104" i="2"/>
  <c r="D104" i="2"/>
  <c r="X103" i="2"/>
  <c r="S103" i="2"/>
  <c r="N103" i="2"/>
  <c r="I103" i="2"/>
  <c r="D103" i="2"/>
  <c r="X102" i="2"/>
  <c r="S102" i="2"/>
  <c r="N102" i="2"/>
  <c r="I102" i="2"/>
  <c r="D102" i="2"/>
  <c r="X101" i="2"/>
  <c r="S101" i="2"/>
  <c r="N101" i="2"/>
  <c r="I101" i="2"/>
  <c r="D101" i="2"/>
  <c r="X100" i="2"/>
  <c r="S100" i="2"/>
  <c r="N100" i="2"/>
  <c r="I100" i="2"/>
  <c r="D100" i="2"/>
  <c r="X99" i="2"/>
  <c r="S99" i="2"/>
  <c r="N99" i="2"/>
  <c r="I99" i="2"/>
  <c r="D99" i="2"/>
  <c r="X98" i="2"/>
  <c r="S98" i="2"/>
  <c r="N98" i="2"/>
  <c r="I98" i="2"/>
  <c r="D98" i="2"/>
  <c r="X97" i="2"/>
  <c r="S97" i="2"/>
  <c r="N97" i="2"/>
  <c r="I97" i="2"/>
  <c r="D97" i="2"/>
  <c r="X96" i="2"/>
  <c r="S96" i="2"/>
  <c r="N96" i="2"/>
  <c r="I96" i="2"/>
  <c r="D96" i="2"/>
  <c r="X95" i="2"/>
  <c r="S95" i="2"/>
  <c r="N95" i="2"/>
  <c r="I95" i="2"/>
  <c r="D95" i="2"/>
  <c r="X94" i="2"/>
  <c r="S94" i="2"/>
  <c r="N94" i="2"/>
  <c r="I94" i="2"/>
  <c r="D94" i="2"/>
  <c r="X93" i="2"/>
  <c r="S93" i="2"/>
  <c r="N93" i="2"/>
  <c r="I93" i="2"/>
  <c r="D93" i="2"/>
  <c r="X92" i="2"/>
  <c r="S92" i="2"/>
  <c r="N92" i="2"/>
  <c r="I92" i="2"/>
  <c r="D92" i="2"/>
  <c r="X91" i="2"/>
  <c r="S91" i="2"/>
  <c r="N91" i="2"/>
  <c r="I91" i="2"/>
  <c r="D91" i="2"/>
  <c r="X90" i="2"/>
  <c r="S90" i="2"/>
  <c r="N90" i="2"/>
  <c r="I90" i="2"/>
  <c r="D90" i="2"/>
  <c r="X89" i="2"/>
  <c r="S89" i="2"/>
  <c r="N89" i="2"/>
  <c r="I89" i="2"/>
  <c r="D89" i="2"/>
  <c r="X88" i="2"/>
  <c r="S88" i="2"/>
  <c r="N88" i="2"/>
  <c r="I88" i="2"/>
  <c r="D88" i="2"/>
  <c r="X87" i="2"/>
  <c r="S87" i="2"/>
  <c r="N87" i="2"/>
  <c r="I87" i="2"/>
  <c r="D87" i="2"/>
  <c r="X86" i="2"/>
  <c r="S86" i="2"/>
  <c r="N86" i="2"/>
  <c r="I86" i="2"/>
  <c r="D86" i="2"/>
  <c r="X85" i="2"/>
  <c r="S85" i="2"/>
  <c r="N85" i="2"/>
  <c r="I85" i="2"/>
  <c r="D85" i="2"/>
  <c r="X84" i="2"/>
  <c r="S84" i="2"/>
  <c r="N84" i="2"/>
  <c r="I84" i="2"/>
  <c r="D84" i="2"/>
  <c r="X83" i="2"/>
  <c r="S83" i="2"/>
  <c r="N83" i="2"/>
  <c r="I83" i="2"/>
  <c r="D83" i="2"/>
  <c r="X82" i="2"/>
  <c r="S82" i="2"/>
  <c r="N82" i="2"/>
  <c r="I82" i="2"/>
  <c r="D82" i="2"/>
  <c r="X81" i="2"/>
  <c r="S81" i="2"/>
  <c r="N81" i="2"/>
  <c r="I81" i="2"/>
  <c r="D81" i="2"/>
  <c r="X80" i="2"/>
  <c r="S80" i="2"/>
  <c r="N80" i="2"/>
  <c r="I80" i="2"/>
  <c r="D80" i="2"/>
  <c r="X79" i="2"/>
  <c r="S79" i="2"/>
  <c r="N79" i="2"/>
  <c r="I79" i="2"/>
  <c r="D79" i="2"/>
  <c r="X78" i="2"/>
  <c r="S78" i="2"/>
  <c r="N78" i="2"/>
  <c r="I78" i="2"/>
  <c r="D78" i="2"/>
  <c r="X77" i="2"/>
  <c r="S77" i="2"/>
  <c r="N77" i="2"/>
  <c r="I77" i="2"/>
  <c r="D77" i="2"/>
  <c r="X76" i="2"/>
  <c r="S76" i="2"/>
  <c r="N76" i="2"/>
  <c r="I76" i="2"/>
  <c r="D76" i="2"/>
  <c r="X75" i="2"/>
  <c r="S75" i="2"/>
  <c r="N75" i="2"/>
  <c r="I75" i="2"/>
  <c r="D75" i="2"/>
  <c r="X74" i="2"/>
  <c r="S74" i="2"/>
  <c r="N74" i="2"/>
  <c r="I74" i="2"/>
  <c r="D74" i="2"/>
  <c r="X73" i="2"/>
  <c r="S73" i="2"/>
  <c r="N73" i="2"/>
  <c r="I73" i="2"/>
  <c r="D73" i="2"/>
  <c r="X72" i="2"/>
  <c r="S72" i="2"/>
  <c r="N72" i="2"/>
  <c r="I72" i="2"/>
  <c r="D72" i="2"/>
  <c r="X71" i="2"/>
  <c r="S71" i="2"/>
  <c r="N71" i="2"/>
  <c r="I71" i="2"/>
  <c r="D71" i="2"/>
  <c r="X70" i="2"/>
  <c r="S70" i="2"/>
  <c r="N70" i="2"/>
  <c r="I70" i="2"/>
  <c r="D70" i="2"/>
  <c r="X69" i="2"/>
  <c r="S69" i="2"/>
  <c r="N69" i="2"/>
  <c r="I69" i="2"/>
  <c r="D69" i="2"/>
  <c r="X68" i="2"/>
  <c r="S68" i="2"/>
  <c r="N68" i="2"/>
  <c r="I68" i="2"/>
  <c r="D68" i="2"/>
  <c r="X67" i="2"/>
  <c r="S67" i="2"/>
  <c r="N67" i="2"/>
  <c r="I67" i="2"/>
  <c r="D67" i="2"/>
  <c r="X66" i="2"/>
  <c r="S66" i="2"/>
  <c r="N66" i="2"/>
  <c r="I66" i="2"/>
  <c r="D66" i="2"/>
  <c r="X65" i="2"/>
  <c r="S65" i="2"/>
  <c r="N65" i="2"/>
  <c r="I65" i="2"/>
  <c r="D65" i="2"/>
  <c r="X64" i="2"/>
  <c r="S64" i="2"/>
  <c r="N64" i="2"/>
  <c r="I64" i="2"/>
  <c r="D64" i="2"/>
  <c r="X63" i="2"/>
  <c r="S63" i="2"/>
  <c r="N63" i="2"/>
  <c r="I63" i="2"/>
  <c r="D63" i="2"/>
  <c r="X62" i="2"/>
  <c r="S62" i="2"/>
  <c r="N62" i="2"/>
  <c r="I62" i="2"/>
  <c r="D62" i="2"/>
  <c r="X61" i="2"/>
  <c r="S61" i="2"/>
  <c r="N61" i="2"/>
  <c r="I61" i="2"/>
  <c r="D61" i="2"/>
  <c r="X60" i="2"/>
  <c r="S60" i="2"/>
  <c r="N60" i="2"/>
  <c r="I60" i="2"/>
  <c r="D60" i="2"/>
  <c r="X59" i="2"/>
  <c r="S59" i="2"/>
  <c r="N59" i="2"/>
  <c r="I59" i="2"/>
  <c r="D59" i="2"/>
  <c r="X58" i="2"/>
  <c r="S58" i="2"/>
  <c r="N58" i="2"/>
  <c r="I58" i="2"/>
  <c r="D58" i="2"/>
  <c r="X57" i="2"/>
  <c r="S57" i="2"/>
  <c r="N57" i="2"/>
  <c r="I57" i="2"/>
  <c r="D57" i="2"/>
  <c r="X56" i="2"/>
  <c r="S56" i="2"/>
  <c r="N56" i="2"/>
  <c r="I56" i="2"/>
  <c r="D56" i="2"/>
  <c r="X55" i="2"/>
  <c r="S55" i="2"/>
  <c r="N55" i="2"/>
  <c r="I55" i="2"/>
  <c r="D55" i="2"/>
  <c r="X54" i="2"/>
  <c r="S54" i="2"/>
  <c r="N54" i="2"/>
  <c r="I54" i="2"/>
  <c r="D54" i="2"/>
  <c r="X53" i="2"/>
  <c r="S53" i="2"/>
  <c r="N53" i="2"/>
  <c r="I53" i="2"/>
  <c r="D53" i="2"/>
  <c r="X52" i="2"/>
  <c r="S52" i="2"/>
  <c r="N52" i="2"/>
  <c r="I52" i="2"/>
  <c r="D52" i="2"/>
  <c r="X51" i="2"/>
  <c r="S51" i="2"/>
  <c r="N51" i="2"/>
  <c r="I51" i="2"/>
  <c r="D51" i="2"/>
  <c r="X50" i="2"/>
  <c r="S50" i="2"/>
  <c r="N50" i="2"/>
  <c r="I50" i="2"/>
  <c r="D50" i="2"/>
  <c r="X49" i="2"/>
  <c r="S49" i="2"/>
  <c r="N49" i="2"/>
  <c r="I49" i="2"/>
  <c r="D49" i="2"/>
  <c r="X48" i="2"/>
  <c r="S48" i="2"/>
  <c r="N48" i="2"/>
  <c r="I48" i="2"/>
  <c r="D48" i="2"/>
  <c r="X47" i="2"/>
  <c r="S47" i="2"/>
  <c r="N47" i="2"/>
  <c r="I47" i="2"/>
  <c r="D47" i="2"/>
  <c r="X46" i="2"/>
  <c r="S46" i="2"/>
  <c r="N46" i="2"/>
  <c r="I46" i="2"/>
  <c r="D46" i="2"/>
  <c r="X45" i="2"/>
  <c r="S45" i="2"/>
  <c r="N45" i="2"/>
  <c r="I45" i="2"/>
  <c r="D45" i="2"/>
  <c r="X44" i="2"/>
  <c r="S44" i="2"/>
  <c r="N44" i="2"/>
  <c r="I44" i="2"/>
  <c r="D44" i="2"/>
  <c r="X43" i="2"/>
  <c r="S43" i="2"/>
  <c r="N43" i="2"/>
  <c r="I43" i="2"/>
  <c r="D43" i="2"/>
  <c r="X42" i="2"/>
  <c r="S42" i="2"/>
  <c r="N42" i="2"/>
  <c r="I42" i="2"/>
  <c r="D42" i="2"/>
  <c r="X41" i="2"/>
  <c r="S41" i="2"/>
  <c r="N41" i="2"/>
  <c r="I41" i="2"/>
  <c r="D41" i="2"/>
  <c r="X40" i="2"/>
  <c r="S40" i="2"/>
  <c r="N40" i="2"/>
  <c r="I40" i="2"/>
  <c r="D40" i="2"/>
  <c r="X39" i="2"/>
  <c r="S39" i="2"/>
  <c r="N39" i="2"/>
  <c r="I39" i="2"/>
  <c r="D39" i="2"/>
  <c r="X38" i="2"/>
  <c r="S38" i="2"/>
  <c r="N38" i="2"/>
  <c r="I38" i="2"/>
  <c r="D38" i="2"/>
  <c r="X37" i="2"/>
  <c r="S37" i="2"/>
  <c r="N37" i="2"/>
  <c r="I37" i="2"/>
  <c r="D37" i="2"/>
  <c r="X36" i="2"/>
  <c r="S36" i="2"/>
  <c r="N36" i="2"/>
  <c r="I36" i="2"/>
  <c r="D36" i="2"/>
  <c r="X35" i="2"/>
  <c r="S35" i="2"/>
  <c r="N35" i="2"/>
  <c r="I35" i="2"/>
  <c r="D35" i="2"/>
  <c r="X34" i="2"/>
  <c r="S34" i="2"/>
  <c r="N34" i="2"/>
  <c r="I34" i="2"/>
  <c r="D34" i="2"/>
  <c r="X33" i="2"/>
  <c r="S33" i="2"/>
  <c r="N33" i="2"/>
  <c r="I33" i="2"/>
  <c r="D33" i="2"/>
  <c r="X32" i="2"/>
  <c r="S32" i="2"/>
  <c r="N32" i="2"/>
  <c r="I32" i="2"/>
  <c r="D32" i="2"/>
  <c r="X31" i="2"/>
  <c r="S31" i="2"/>
  <c r="N31" i="2"/>
  <c r="I31" i="2"/>
  <c r="D31" i="2"/>
  <c r="X30" i="2"/>
  <c r="S30" i="2"/>
  <c r="N30" i="2"/>
  <c r="I30" i="2"/>
  <c r="D30" i="2"/>
  <c r="X29" i="2"/>
  <c r="S29" i="2"/>
  <c r="N29" i="2"/>
  <c r="I29" i="2"/>
  <c r="D29" i="2"/>
  <c r="X28" i="2"/>
  <c r="S28" i="2"/>
  <c r="N28" i="2"/>
  <c r="I28" i="2"/>
  <c r="D28" i="2"/>
  <c r="X27" i="2"/>
  <c r="S27" i="2"/>
  <c r="N27" i="2"/>
  <c r="I27" i="2"/>
  <c r="D27" i="2"/>
  <c r="X26" i="2"/>
  <c r="S26" i="2"/>
  <c r="N26" i="2"/>
  <c r="I26" i="2"/>
  <c r="D26" i="2"/>
  <c r="X25" i="2"/>
  <c r="S25" i="2"/>
  <c r="N25" i="2"/>
  <c r="I25" i="2"/>
  <c r="D25" i="2"/>
  <c r="X24" i="2"/>
  <c r="S24" i="2"/>
  <c r="N24" i="2"/>
  <c r="I24" i="2"/>
  <c r="D24" i="2"/>
  <c r="X23" i="2"/>
  <c r="S23" i="2"/>
  <c r="N23" i="2"/>
  <c r="I23" i="2"/>
  <c r="D23" i="2"/>
  <c r="X22" i="2"/>
  <c r="S22" i="2"/>
  <c r="N22" i="2"/>
  <c r="I22" i="2"/>
  <c r="D22" i="2"/>
  <c r="X21" i="2"/>
  <c r="S21" i="2"/>
  <c r="N21" i="2"/>
  <c r="I21" i="2"/>
  <c r="D21" i="2"/>
  <c r="X20" i="2"/>
  <c r="S20" i="2"/>
  <c r="N20" i="2"/>
  <c r="I20" i="2"/>
  <c r="D20" i="2"/>
  <c r="X19" i="2"/>
  <c r="S19" i="2"/>
  <c r="N19" i="2"/>
  <c r="I19" i="2"/>
  <c r="D19" i="2"/>
  <c r="X18" i="2"/>
  <c r="S18" i="2"/>
  <c r="N18" i="2"/>
  <c r="I18" i="2"/>
  <c r="D18" i="2"/>
  <c r="X17" i="2"/>
  <c r="S17" i="2"/>
  <c r="N17" i="2"/>
  <c r="I17" i="2"/>
  <c r="D17" i="2"/>
  <c r="X16" i="2"/>
  <c r="S16" i="2"/>
  <c r="N16" i="2"/>
  <c r="I16" i="2"/>
  <c r="D16" i="2"/>
  <c r="X15" i="2"/>
  <c r="S15" i="2"/>
  <c r="N15" i="2"/>
  <c r="I15" i="2"/>
  <c r="D15" i="2"/>
  <c r="V12" i="2"/>
  <c r="Q12" i="2"/>
  <c r="L12" i="2"/>
  <c r="G12" i="2"/>
  <c r="B12" i="2"/>
  <c r="V11" i="2"/>
  <c r="Q11" i="2"/>
  <c r="L11" i="2"/>
  <c r="G11" i="2"/>
  <c r="B11" i="2"/>
  <c r="V10" i="2"/>
  <c r="Q10" i="2"/>
  <c r="L10" i="2"/>
  <c r="G10" i="2"/>
  <c r="B10" i="2"/>
  <c r="V9" i="2"/>
  <c r="Q9" i="2"/>
  <c r="L9" i="2"/>
  <c r="G9" i="2"/>
  <c r="B9" i="2"/>
  <c r="V8" i="2"/>
  <c r="Q8" i="2"/>
  <c r="L8" i="2"/>
  <c r="G8" i="2"/>
  <c r="B8" i="2"/>
  <c r="V6" i="2"/>
  <c r="Q6" i="2"/>
  <c r="L6" i="2"/>
  <c r="G6" i="2"/>
  <c r="B6" i="2"/>
  <c r="V5" i="2"/>
  <c r="Q5" i="2"/>
  <c r="L5" i="2"/>
  <c r="G5" i="2"/>
  <c r="B5" i="2"/>
  <c r="V4" i="2"/>
  <c r="Q4" i="2"/>
  <c r="L4" i="2"/>
  <c r="G4" i="2"/>
  <c r="B4" i="2"/>
  <c r="V3" i="2"/>
  <c r="Q3" i="2"/>
  <c r="L3" i="2"/>
  <c r="G3" i="2"/>
  <c r="B3" i="2"/>
</calcChain>
</file>

<file path=xl/sharedStrings.xml><?xml version="1.0" encoding="utf-8"?>
<sst xmlns="http://schemas.openxmlformats.org/spreadsheetml/2006/main" count="218" uniqueCount="49">
  <si>
    <t>SEP</t>
  </si>
  <si>
    <t>Bias</t>
  </si>
  <si>
    <t>R2</t>
  </si>
  <si>
    <t>SLOPE</t>
  </si>
  <si>
    <t>n.</t>
  </si>
  <si>
    <t>MIN</t>
  </si>
  <si>
    <t>MAX</t>
  </si>
  <si>
    <t>AVG</t>
  </si>
  <si>
    <t>DEV.ST</t>
  </si>
  <si>
    <t>ID</t>
  </si>
  <si>
    <t>Lab</t>
  </si>
  <si>
    <t>Pred</t>
  </si>
  <si>
    <t>Err</t>
  </si>
  <si>
    <t>DM</t>
  </si>
  <si>
    <t xml:space="preserve">N </t>
  </si>
  <si>
    <t>P2O5</t>
  </si>
  <si>
    <t>K2O</t>
  </si>
  <si>
    <t>NH4</t>
  </si>
  <si>
    <t>N</t>
  </si>
  <si>
    <t>KERNEL</t>
  </si>
  <si>
    <t>RBF</t>
  </si>
  <si>
    <t>NO</t>
  </si>
  <si>
    <t>SNV</t>
  </si>
  <si>
    <t>WL ex.</t>
  </si>
  <si>
    <t>PC</t>
  </si>
  <si>
    <t>MT</t>
  </si>
  <si>
    <t>1ZZ545MT STD</t>
  </si>
  <si>
    <t>Pred.</t>
  </si>
  <si>
    <t>Pred+Bias</t>
  </si>
  <si>
    <t>bias</t>
  </si>
  <si>
    <t>SEPC</t>
  </si>
  <si>
    <t xml:space="preserve"> </t>
  </si>
  <si>
    <t>SEP:</t>
  </si>
  <si>
    <t>bias:</t>
  </si>
  <si>
    <t>SEPC:</t>
  </si>
  <si>
    <t>R2:</t>
  </si>
  <si>
    <t>REV918 - DS</t>
  </si>
  <si>
    <t>REV918 - VALID</t>
  </si>
  <si>
    <t>SN Master vs. Slave REV 918</t>
  </si>
  <si>
    <t>Sensor</t>
  </si>
  <si>
    <t>CORR.</t>
  </si>
  <si>
    <t>BIAS</t>
  </si>
  <si>
    <t>SEP -  MASTER</t>
  </si>
  <si>
    <t>SEPC -  MASTER</t>
  </si>
  <si>
    <t>SEP - AVG.</t>
  </si>
  <si>
    <t>MASTER</t>
  </si>
  <si>
    <t>REV 918</t>
  </si>
  <si>
    <t>AVG.</t>
  </si>
  <si>
    <t>STD REV 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</si>
</sst>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3" fillId="0" borderId="0" xfId="0" applyFont="1"/>
    <xf numFmtId="0" fontId="1" fillId="6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4" borderId="0" xfId="0" applyFont="1" applyFill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/>
    <xf numFmtId="0" fontId="0" fillId="4" borderId="0" xfId="0" applyFill="1"/>
    <xf numFmtId="2" fontId="0" fillId="0" borderId="0" xfId="0" applyNumberFormat="1"/>
    <xf numFmtId="0" fontId="1" fillId="6" borderId="12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Test_Robustezza!$B$40</c:f>
              <c:strCache>
                <c:ptCount val="1"/>
                <c:pt idx="0">
                  <c:v>MASTER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Test_Robustezza!$E$42:$E$52</c:f>
              <c:numCache>
                <c:formatCode>0.00</c:formatCode>
                <c:ptCount val="11"/>
                <c:pt idx="0">
                  <c:v>3.7776988634291899</c:v>
                </c:pt>
                <c:pt idx="1">
                  <c:v>1.9155098775374899</c:v>
                </c:pt>
                <c:pt idx="2">
                  <c:v>1.8361134145097799</c:v>
                </c:pt>
                <c:pt idx="3">
                  <c:v>0.86021633306401102</c:v>
                </c:pt>
                <c:pt idx="4">
                  <c:v>3.7844248574092898</c:v>
                </c:pt>
                <c:pt idx="5">
                  <c:v>1.71929167576957</c:v>
                </c:pt>
                <c:pt idx="6">
                  <c:v>4.2124744921846498</c:v>
                </c:pt>
                <c:pt idx="7">
                  <c:v>4.1965251026155803</c:v>
                </c:pt>
                <c:pt idx="8">
                  <c:v>2.86530173619296</c:v>
                </c:pt>
                <c:pt idx="9">
                  <c:v>0.84745277288347098</c:v>
                </c:pt>
                <c:pt idx="10">
                  <c:v>2.11784345405048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1-478C-BC8D-169E709A05AC}"/>
            </c:ext>
          </c:extLst>
        </c:ser>
        <c:ser>
          <c:idx val="1"/>
          <c:order val="1"/>
          <c:tx>
            <c:strRef>
              <c:f>Test_Robustezza!$J$40</c:f>
              <c:strCache>
                <c:ptCount val="1"/>
                <c:pt idx="0">
                  <c:v>189009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Test_Robustezza!$M$42:$M$52</c:f>
              <c:numCache>
                <c:formatCode>0.00</c:formatCode>
                <c:ptCount val="11"/>
                <c:pt idx="0">
                  <c:v>3.8412934384711499</c:v>
                </c:pt>
                <c:pt idx="1">
                  <c:v>1.92947944192037</c:v>
                </c:pt>
                <c:pt idx="2">
                  <c:v>1.8317104167699501</c:v>
                </c:pt>
                <c:pt idx="3">
                  <c:v>0.69941076191760798</c:v>
                </c:pt>
                <c:pt idx="4">
                  <c:v>4.5602133969468301</c:v>
                </c:pt>
                <c:pt idx="5">
                  <c:v>1.7314482466274299</c:v>
                </c:pt>
                <c:pt idx="6">
                  <c:v>4.5810508805189301</c:v>
                </c:pt>
                <c:pt idx="7">
                  <c:v>4.46969642791771</c:v>
                </c:pt>
                <c:pt idx="8">
                  <c:v>2.8582932302440298</c:v>
                </c:pt>
                <c:pt idx="9">
                  <c:v>3.41273554691415</c:v>
                </c:pt>
                <c:pt idx="10">
                  <c:v>2.3561993463620898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1-478C-BC8D-169E709A05AC}"/>
            </c:ext>
          </c:extLst>
        </c:ser>
        <c:ser>
          <c:idx val="2"/>
          <c:order val="2"/>
          <c:tx>
            <c:strRef>
              <c:f>Test_Robustezza!$R$40</c:f>
              <c:strCache>
                <c:ptCount val="1"/>
                <c:pt idx="0">
                  <c:v>189013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Test_Robustezza!$U$42:$U$52</c:f>
              <c:numCache>
                <c:formatCode>0.00</c:formatCode>
                <c:ptCount val="11"/>
                <c:pt idx="0">
                  <c:v>3.3458133162245298</c:v>
                </c:pt>
                <c:pt idx="1">
                  <c:v>1.82042085679969</c:v>
                </c:pt>
                <c:pt idx="2">
                  <c:v>1.32367581404722</c:v>
                </c:pt>
                <c:pt idx="3">
                  <c:v>0.97566980634099698</c:v>
                </c:pt>
                <c:pt idx="4">
                  <c:v>3.9106566207558502</c:v>
                </c:pt>
                <c:pt idx="5">
                  <c:v>1.5342746045600599</c:v>
                </c:pt>
                <c:pt idx="6">
                  <c:v>4.03566525423751</c:v>
                </c:pt>
                <c:pt idx="7">
                  <c:v>4.06413701797889</c:v>
                </c:pt>
                <c:pt idx="8">
                  <c:v>2.8457326572701702</c:v>
                </c:pt>
                <c:pt idx="9">
                  <c:v>2.8367853098182598</c:v>
                </c:pt>
                <c:pt idx="10">
                  <c:v>2.31315473826827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1-478C-BC8D-169E709A0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6239519"/>
        <c:axId val="1986256159"/>
      </c:lineChart>
      <c:catAx>
        <c:axId val="1986239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56159"/>
        <c:crosses val="autoZero"/>
        <c:auto val="1"/>
        <c:lblAlgn val="ctr"/>
        <c:lblOffset val="100"/>
        <c:noMultiLvlLbl val="0"/>
      </c:catAx>
      <c:valAx>
        <c:axId val="19862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623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REV918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Test_Robustezza!$C$41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Test_Robustezza!$C$42:$C$52</c:f>
              <c:numCache>
                <c:formatCode>0.00</c:formatCode>
                <c:ptCount val="11"/>
                <c:pt idx="0">
                  <c:v>7.9485363316852302</c:v>
                </c:pt>
                <c:pt idx="1">
                  <c:v>4.3604882966338501</c:v>
                </c:pt>
                <c:pt idx="2">
                  <c:v>3.3457135529450999</c:v>
                </c:pt>
                <c:pt idx="3">
                  <c:v>0.91294947477871202</c:v>
                </c:pt>
                <c:pt idx="4">
                  <c:v>7.8571477646964798</c:v>
                </c:pt>
                <c:pt idx="5">
                  <c:v>0.26027448671956999</c:v>
                </c:pt>
                <c:pt idx="6">
                  <c:v>7.3025569273606799</c:v>
                </c:pt>
                <c:pt idx="7">
                  <c:v>9.0125548225085499</c:v>
                </c:pt>
                <c:pt idx="8">
                  <c:v>6.5816695483707202</c:v>
                </c:pt>
                <c:pt idx="9">
                  <c:v>2.3606326504094501</c:v>
                </c:pt>
                <c:pt idx="10">
                  <c:v>5.2292989152064404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2-46DC-9915-13B17B791245}"/>
            </c:ext>
          </c:extLst>
        </c:ser>
        <c:ser>
          <c:idx val="1"/>
          <c:order val="1"/>
          <c:tx>
            <c:strRef>
              <c:f>Test_Robustezza!$K$41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Test_Robustezza!$K$42:$K$52</c:f>
              <c:numCache>
                <c:formatCode>0.00</c:formatCode>
                <c:ptCount val="11"/>
                <c:pt idx="0">
                  <c:v>6.7601996030012703</c:v>
                </c:pt>
                <c:pt idx="1">
                  <c:v>3.6549886578455002</c:v>
                </c:pt>
                <c:pt idx="2">
                  <c:v>3.0316963842047699</c:v>
                </c:pt>
                <c:pt idx="3">
                  <c:v>1.0607946218374</c:v>
                </c:pt>
                <c:pt idx="4">
                  <c:v>8.16182629249864</c:v>
                </c:pt>
                <c:pt idx="5">
                  <c:v>0.50475965261936995</c:v>
                </c:pt>
                <c:pt idx="6">
                  <c:v>8.6780077351253198</c:v>
                </c:pt>
                <c:pt idx="7">
                  <c:v>9.3353688272801598</c:v>
                </c:pt>
                <c:pt idx="8">
                  <c:v>7.8963409775136704</c:v>
                </c:pt>
                <c:pt idx="9">
                  <c:v>3.7598260801586099</c:v>
                </c:pt>
                <c:pt idx="10">
                  <c:v>5.93673267911264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2-46DC-9915-13B17B791245}"/>
            </c:ext>
          </c:extLst>
        </c:ser>
        <c:ser>
          <c:idx val="2"/>
          <c:order val="2"/>
          <c:tx>
            <c:strRef>
              <c:f>Test_Robustezza!$S$41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Test_Robustezza!$S$42:$S$52</c:f>
              <c:numCache>
                <c:formatCode>0.00</c:formatCode>
                <c:ptCount val="11"/>
                <c:pt idx="0">
                  <c:v>6.58675568659286</c:v>
                </c:pt>
                <c:pt idx="1">
                  <c:v>3.6551662975363</c:v>
                </c:pt>
                <c:pt idx="2">
                  <c:v>2.44212391305657</c:v>
                </c:pt>
                <c:pt idx="3">
                  <c:v>0.88987436508242401</c:v>
                </c:pt>
                <c:pt idx="4">
                  <c:v>7.7343855470704801</c:v>
                </c:pt>
                <c:pt idx="5">
                  <c:v>0.39134215680661999</c:v>
                </c:pt>
                <c:pt idx="6">
                  <c:v>7.1386682134409503</c:v>
                </c:pt>
                <c:pt idx="7">
                  <c:v>8.5531088477135508</c:v>
                </c:pt>
                <c:pt idx="8">
                  <c:v>6.8363588523813599</c:v>
                </c:pt>
                <c:pt idx="9">
                  <c:v>3.9390147605705299</c:v>
                </c:pt>
                <c:pt idx="10">
                  <c:v>5.6164974332401201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72-46DC-9915-13B17B791245}"/>
            </c:ext>
          </c:extLst>
        </c:ser>
        <c:ser>
          <c:idx val="3"/>
          <c:order val="3"/>
          <c:tx>
            <c:strRef>
              <c:f>Test_Robustezza!$AA$41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Test_Robustezza!$AA$42:$AA$52</c:f>
              <c:numCache>
                <c:formatCode>0.00</c:formatCode>
                <c:ptCount val="11"/>
                <c:pt idx="0">
                  <c:v>7.4191909044729201</c:v>
                </c:pt>
                <c:pt idx="1">
                  <c:v>4.56477860280883</c:v>
                </c:pt>
                <c:pt idx="2">
                  <c:v>2.6210433098836301</c:v>
                </c:pt>
                <c:pt idx="3">
                  <c:v>0.81125472937857301</c:v>
                </c:pt>
                <c:pt idx="4">
                  <c:v>7.39893399457371</c:v>
                </c:pt>
                <c:pt idx="5">
                  <c:v>0.65006903260322901</c:v>
                </c:pt>
                <c:pt idx="6">
                  <c:v>7.8125737930939003</c:v>
                </c:pt>
                <c:pt idx="7">
                  <c:v>8.9021128173018997</c:v>
                </c:pt>
                <c:pt idx="8">
                  <c:v>6.3478969109867398</c:v>
                </c:pt>
                <c:pt idx="9">
                  <c:v>5.14237217726415</c:v>
                </c:pt>
                <c:pt idx="10">
                  <c:v>5.7464695921400697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72-46DC-9915-13B17B791245}"/>
            </c:ext>
          </c:extLst>
        </c:ser>
        <c:ser>
          <c:idx val="4"/>
          <c:order val="4"/>
          <c:tx>
            <c:strRef>
              <c:f>Test_Robustezza!$AI$41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Test_Robustezza!$AI$42:$AI$52</c:f>
              <c:numCache>
                <c:formatCode>0.00</c:formatCode>
                <c:ptCount val="11"/>
                <c:pt idx="0">
                  <c:v>6.4959083667383002</c:v>
                </c:pt>
                <c:pt idx="1">
                  <c:v>3.36601967795252</c:v>
                </c:pt>
                <c:pt idx="2">
                  <c:v>2.92735885333708</c:v>
                </c:pt>
                <c:pt idx="3">
                  <c:v>1.0179226343843899</c:v>
                </c:pt>
                <c:pt idx="4">
                  <c:v>7.7828508294179901</c:v>
                </c:pt>
                <c:pt idx="5">
                  <c:v>0.434274683328501</c:v>
                </c:pt>
                <c:pt idx="6">
                  <c:v>8.3750150484183497</c:v>
                </c:pt>
                <c:pt idx="7">
                  <c:v>8.1890020702544106</c:v>
                </c:pt>
                <c:pt idx="8">
                  <c:v>7.2466779907997498</c:v>
                </c:pt>
                <c:pt idx="9">
                  <c:v>2.3466502038263202</c:v>
                </c:pt>
                <c:pt idx="10">
                  <c:v>5.2223203364563702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72-46DC-9915-13B17B79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120448"/>
        <c:axId val="2072127520"/>
      </c:lineChart>
      <c:catAx>
        <c:axId val="2072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7520"/>
        <c:crosses val="autoZero"/>
        <c:auto val="1"/>
        <c:lblAlgn val="ctr"/>
        <c:lblOffset val="100"/>
        <c:noMultiLvlLbl val="0"/>
      </c:catAx>
      <c:valAx>
        <c:axId val="20721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REV918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Test_Robustezza!$C$41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Test_Robustezza!$D$42:$D$52</c:f>
              <c:numCache>
                <c:formatCode>0.00</c:formatCode>
                <c:ptCount val="11"/>
                <c:pt idx="0">
                  <c:v>5.6052136374277497</c:v>
                </c:pt>
                <c:pt idx="1">
                  <c:v>2.5625097293379802</c:v>
                </c:pt>
                <c:pt idx="2">
                  <c:v>3.3930353060471901</c:v>
                </c:pt>
                <c:pt idx="3">
                  <c:v>2.8216188903976098</c:v>
                </c:pt>
                <c:pt idx="4">
                  <c:v>5.6550270291761198</c:v>
                </c:pt>
                <c:pt idx="5">
                  <c:v>3.7786315109999702</c:v>
                </c:pt>
                <c:pt idx="6">
                  <c:v>5.2143557861622103</c:v>
                </c:pt>
                <c:pt idx="7">
                  <c:v>5.44838772574251</c:v>
                </c:pt>
                <c:pt idx="8">
                  <c:v>4.6330455739411596</c:v>
                </c:pt>
                <c:pt idx="9">
                  <c:v>3.67335058792154</c:v>
                </c:pt>
                <c:pt idx="10">
                  <c:v>3.76462857624028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7-485A-B02E-0348787447EB}"/>
            </c:ext>
          </c:extLst>
        </c:ser>
        <c:ser>
          <c:idx val="1"/>
          <c:order val="1"/>
          <c:tx>
            <c:strRef>
              <c:f>Test_Robustezza!$K$41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Test_Robustezza!$L$42:$L$52</c:f>
              <c:numCache>
                <c:formatCode>0.00</c:formatCode>
                <c:ptCount val="11"/>
                <c:pt idx="0">
                  <c:v>5.50323168455561</c:v>
                </c:pt>
                <c:pt idx="1">
                  <c:v>3.1611378648874799</c:v>
                </c:pt>
                <c:pt idx="2">
                  <c:v>3.6483197266505298</c:v>
                </c:pt>
                <c:pt idx="3">
                  <c:v>2.5612817417325502</c:v>
                </c:pt>
                <c:pt idx="4">
                  <c:v>5.6547061388554898</c:v>
                </c:pt>
                <c:pt idx="5">
                  <c:v>3.7755048768527302</c:v>
                </c:pt>
                <c:pt idx="6">
                  <c:v>4.3917607738815496</c:v>
                </c:pt>
                <c:pt idx="7">
                  <c:v>5.2626778731799204</c:v>
                </c:pt>
                <c:pt idx="8">
                  <c:v>3.7990487698453301</c:v>
                </c:pt>
                <c:pt idx="9">
                  <c:v>5.0403633129785899</c:v>
                </c:pt>
                <c:pt idx="10">
                  <c:v>3.7866310262882599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7-485A-B02E-0348787447EB}"/>
            </c:ext>
          </c:extLst>
        </c:ser>
        <c:ser>
          <c:idx val="2"/>
          <c:order val="2"/>
          <c:tx>
            <c:strRef>
              <c:f>Test_Robustezza!$S$41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Test_Robustezza!$T$42:$T$52</c:f>
              <c:numCache>
                <c:formatCode>0.00</c:formatCode>
                <c:ptCount val="11"/>
                <c:pt idx="0">
                  <c:v>5.1150967142055803</c:v>
                </c:pt>
                <c:pt idx="1">
                  <c:v>2.7008708805322299</c:v>
                </c:pt>
                <c:pt idx="2">
                  <c:v>3.4907024161271099</c:v>
                </c:pt>
                <c:pt idx="3">
                  <c:v>2.80519376546038</c:v>
                </c:pt>
                <c:pt idx="4">
                  <c:v>5.8387240623298702</c:v>
                </c:pt>
                <c:pt idx="5">
                  <c:v>3.7596131676074198</c:v>
                </c:pt>
                <c:pt idx="6">
                  <c:v>5.1417011375031603</c:v>
                </c:pt>
                <c:pt idx="7">
                  <c:v>5.4965957383999502</c:v>
                </c:pt>
                <c:pt idx="8">
                  <c:v>4.3526049786924803</c:v>
                </c:pt>
                <c:pt idx="9">
                  <c:v>4.19986649237749</c:v>
                </c:pt>
                <c:pt idx="10">
                  <c:v>3.7839091399234599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C7-485A-B02E-0348787447EB}"/>
            </c:ext>
          </c:extLst>
        </c:ser>
        <c:ser>
          <c:idx val="3"/>
          <c:order val="3"/>
          <c:tx>
            <c:strRef>
              <c:f>Test_Robustezza!$AA$41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Test_Robustezza!$AB$42:$AB$52</c:f>
              <c:numCache>
                <c:formatCode>0.00</c:formatCode>
                <c:ptCount val="11"/>
                <c:pt idx="0">
                  <c:v>4.9695714321488396</c:v>
                </c:pt>
                <c:pt idx="1">
                  <c:v>3.0754720996252298</c:v>
                </c:pt>
                <c:pt idx="2">
                  <c:v>3.8337437655521698</c:v>
                </c:pt>
                <c:pt idx="3">
                  <c:v>3.0691611969416801</c:v>
                </c:pt>
                <c:pt idx="4">
                  <c:v>5.5495038578476397</c:v>
                </c:pt>
                <c:pt idx="5">
                  <c:v>3.77480689934491</c:v>
                </c:pt>
                <c:pt idx="6">
                  <c:v>5.3542928305230104</c:v>
                </c:pt>
                <c:pt idx="7">
                  <c:v>5.6868093388617798</c:v>
                </c:pt>
                <c:pt idx="8">
                  <c:v>4.5866089431830597</c:v>
                </c:pt>
                <c:pt idx="9">
                  <c:v>3.7924846953103399</c:v>
                </c:pt>
                <c:pt idx="10">
                  <c:v>3.7860149483337899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C7-485A-B02E-0348787447EB}"/>
            </c:ext>
          </c:extLst>
        </c:ser>
        <c:ser>
          <c:idx val="4"/>
          <c:order val="4"/>
          <c:tx>
            <c:strRef>
              <c:f>Test_Robustezza!$AI$41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Test_Robustezza!$AJ$42:$AJ$52</c:f>
              <c:numCache>
                <c:formatCode>0.00</c:formatCode>
                <c:ptCount val="11"/>
                <c:pt idx="0">
                  <c:v>5.3786731589528403</c:v>
                </c:pt>
                <c:pt idx="1">
                  <c:v>2.59172777182919</c:v>
                </c:pt>
                <c:pt idx="2">
                  <c:v>3.2800101680117701</c:v>
                </c:pt>
                <c:pt idx="3">
                  <c:v>2.83533948443857</c:v>
                </c:pt>
                <c:pt idx="4">
                  <c:v>6.5127801928888003</c:v>
                </c:pt>
                <c:pt idx="5">
                  <c:v>3.7642951200607899</c:v>
                </c:pt>
                <c:pt idx="6">
                  <c:v>4.6083759967307101</c:v>
                </c:pt>
                <c:pt idx="7">
                  <c:v>5.4293918784119004</c:v>
                </c:pt>
                <c:pt idx="8">
                  <c:v>4.2676160350741501</c:v>
                </c:pt>
                <c:pt idx="9">
                  <c:v>3.74934108572258</c:v>
                </c:pt>
                <c:pt idx="10">
                  <c:v>3.7907335147054999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C7-485A-B02E-034878744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120448"/>
        <c:axId val="2072127520"/>
      </c:lineChart>
      <c:catAx>
        <c:axId val="2072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7520"/>
        <c:crosses val="autoZero"/>
        <c:auto val="1"/>
        <c:lblAlgn val="ctr"/>
        <c:lblOffset val="100"/>
        <c:noMultiLvlLbl val="0"/>
      </c:catAx>
      <c:valAx>
        <c:axId val="20721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REV918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Test_Robustezza!$C$41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Test_Robustezza!$E$42:$E$52</c:f>
              <c:numCache>
                <c:formatCode>0.00</c:formatCode>
                <c:ptCount val="11"/>
                <c:pt idx="0">
                  <c:v>3.7776988634291899</c:v>
                </c:pt>
                <c:pt idx="1">
                  <c:v>1.9155098775374899</c:v>
                </c:pt>
                <c:pt idx="2">
                  <c:v>1.8361134145097799</c:v>
                </c:pt>
                <c:pt idx="3">
                  <c:v>0.86021633306401102</c:v>
                </c:pt>
                <c:pt idx="4">
                  <c:v>3.7844248574092898</c:v>
                </c:pt>
                <c:pt idx="5">
                  <c:v>1.71929167576957</c:v>
                </c:pt>
                <c:pt idx="6">
                  <c:v>4.2124744921846498</c:v>
                </c:pt>
                <c:pt idx="7">
                  <c:v>4.1965251026155803</c:v>
                </c:pt>
                <c:pt idx="8">
                  <c:v>2.86530173619296</c:v>
                </c:pt>
                <c:pt idx="9">
                  <c:v>0.84745277288347098</c:v>
                </c:pt>
                <c:pt idx="10">
                  <c:v>2.11784345405048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93-479A-80BC-DC7A8E870E6A}"/>
            </c:ext>
          </c:extLst>
        </c:ser>
        <c:ser>
          <c:idx val="1"/>
          <c:order val="1"/>
          <c:tx>
            <c:strRef>
              <c:f>Test_Robustezza!$K$41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Test_Robustezza!$M$42:$M$52</c:f>
              <c:numCache>
                <c:formatCode>0.00</c:formatCode>
                <c:ptCount val="11"/>
                <c:pt idx="0">
                  <c:v>3.8412934384711499</c:v>
                </c:pt>
                <c:pt idx="1">
                  <c:v>1.92947944192037</c:v>
                </c:pt>
                <c:pt idx="2">
                  <c:v>1.8317104167699501</c:v>
                </c:pt>
                <c:pt idx="3">
                  <c:v>0.69941076191760798</c:v>
                </c:pt>
                <c:pt idx="4">
                  <c:v>4.5602133969468301</c:v>
                </c:pt>
                <c:pt idx="5">
                  <c:v>1.7314482466274299</c:v>
                </c:pt>
                <c:pt idx="6">
                  <c:v>4.5810508805189301</c:v>
                </c:pt>
                <c:pt idx="7">
                  <c:v>4.46969642791771</c:v>
                </c:pt>
                <c:pt idx="8">
                  <c:v>2.8582932302440298</c:v>
                </c:pt>
                <c:pt idx="9">
                  <c:v>3.41273554691415</c:v>
                </c:pt>
                <c:pt idx="10">
                  <c:v>2.3561993463620898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3-479A-80BC-DC7A8E870E6A}"/>
            </c:ext>
          </c:extLst>
        </c:ser>
        <c:ser>
          <c:idx val="2"/>
          <c:order val="2"/>
          <c:tx>
            <c:strRef>
              <c:f>Test_Robustezza!$S$41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Test_Robustezza!$U$42:$U$52</c:f>
              <c:numCache>
                <c:formatCode>0.00</c:formatCode>
                <c:ptCount val="11"/>
                <c:pt idx="0">
                  <c:v>3.3458133162245298</c:v>
                </c:pt>
                <c:pt idx="1">
                  <c:v>1.82042085679969</c:v>
                </c:pt>
                <c:pt idx="2">
                  <c:v>1.32367581404722</c:v>
                </c:pt>
                <c:pt idx="3">
                  <c:v>0.97566980634099698</c:v>
                </c:pt>
                <c:pt idx="4">
                  <c:v>3.9106566207558502</c:v>
                </c:pt>
                <c:pt idx="5">
                  <c:v>1.5342746045600599</c:v>
                </c:pt>
                <c:pt idx="6">
                  <c:v>4.03566525423751</c:v>
                </c:pt>
                <c:pt idx="7">
                  <c:v>4.06413701797889</c:v>
                </c:pt>
                <c:pt idx="8">
                  <c:v>2.8457326572701702</c:v>
                </c:pt>
                <c:pt idx="9">
                  <c:v>2.8367853098182598</c:v>
                </c:pt>
                <c:pt idx="10">
                  <c:v>2.31315473826827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93-479A-80BC-DC7A8E870E6A}"/>
            </c:ext>
          </c:extLst>
        </c:ser>
        <c:ser>
          <c:idx val="3"/>
          <c:order val="3"/>
          <c:tx>
            <c:strRef>
              <c:f>Test_Robustezza!$AA$41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Test_Robustezza!$AC$42:$AC$52</c:f>
              <c:numCache>
                <c:formatCode>0.00</c:formatCode>
                <c:ptCount val="11"/>
                <c:pt idx="0">
                  <c:v>3.3736531903086799</c:v>
                </c:pt>
                <c:pt idx="1">
                  <c:v>2.30798902492762</c:v>
                </c:pt>
                <c:pt idx="2">
                  <c:v>1.8564717356800899</c:v>
                </c:pt>
                <c:pt idx="3">
                  <c:v>1.4141282625246001</c:v>
                </c:pt>
                <c:pt idx="4">
                  <c:v>3.6386500281073899</c:v>
                </c:pt>
                <c:pt idx="5">
                  <c:v>1.6730928732147501</c:v>
                </c:pt>
                <c:pt idx="6">
                  <c:v>3.9323303545708499</c:v>
                </c:pt>
                <c:pt idx="7">
                  <c:v>3.9315332708768</c:v>
                </c:pt>
                <c:pt idx="8">
                  <c:v>2.8869679855617001</c:v>
                </c:pt>
                <c:pt idx="9">
                  <c:v>2.5122570358346801</c:v>
                </c:pt>
                <c:pt idx="10">
                  <c:v>2.31277760235742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93-479A-80BC-DC7A8E870E6A}"/>
            </c:ext>
          </c:extLst>
        </c:ser>
        <c:ser>
          <c:idx val="4"/>
          <c:order val="4"/>
          <c:tx>
            <c:strRef>
              <c:f>Test_Robustezza!$AI$41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Test_Robustezza!$AK$42:$AK$52</c:f>
              <c:numCache>
                <c:formatCode>0.00</c:formatCode>
                <c:ptCount val="11"/>
                <c:pt idx="0">
                  <c:v>3.6303809352131</c:v>
                </c:pt>
                <c:pt idx="1">
                  <c:v>1.4881637707883399</c:v>
                </c:pt>
                <c:pt idx="2">
                  <c:v>1.6111878274942899</c:v>
                </c:pt>
                <c:pt idx="3">
                  <c:v>0.42922590571760699</c:v>
                </c:pt>
                <c:pt idx="4">
                  <c:v>4.3183782810415297</c:v>
                </c:pt>
                <c:pt idx="5">
                  <c:v>1.6427427009311</c:v>
                </c:pt>
                <c:pt idx="6">
                  <c:v>4.5858615987837199</c:v>
                </c:pt>
                <c:pt idx="7">
                  <c:v>4.3300687308065298</c:v>
                </c:pt>
                <c:pt idx="8">
                  <c:v>3.4173020075600098</c:v>
                </c:pt>
                <c:pt idx="9">
                  <c:v>1.0300032360118601</c:v>
                </c:pt>
                <c:pt idx="10">
                  <c:v>2.4931417364275199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93-479A-80BC-DC7A8E870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120448"/>
        <c:axId val="2072127520"/>
      </c:lineChart>
      <c:catAx>
        <c:axId val="2072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7520"/>
        <c:crosses val="autoZero"/>
        <c:auto val="1"/>
        <c:lblAlgn val="ctr"/>
        <c:lblOffset val="100"/>
        <c:noMultiLvlLbl val="0"/>
      </c:catAx>
      <c:valAx>
        <c:axId val="20721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REV918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Test_Robustezza!$C$41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Test_Robustezza!$F$42:$F$52</c:f>
              <c:numCache>
                <c:formatCode>0.00</c:formatCode>
                <c:ptCount val="11"/>
                <c:pt idx="0">
                  <c:v>3.8144881866742599</c:v>
                </c:pt>
                <c:pt idx="1">
                  <c:v>3.0815923935375098</c:v>
                </c:pt>
                <c:pt idx="2">
                  <c:v>3.07404048998364</c:v>
                </c:pt>
                <c:pt idx="3">
                  <c:v>2.8558845610842098</c:v>
                </c:pt>
                <c:pt idx="4">
                  <c:v>3.60804987997733</c:v>
                </c:pt>
                <c:pt idx="5">
                  <c:v>2.1293067216433998</c:v>
                </c:pt>
                <c:pt idx="6">
                  <c:v>4.1989370665448797</c:v>
                </c:pt>
                <c:pt idx="7">
                  <c:v>4.2123683591516503</c:v>
                </c:pt>
                <c:pt idx="8">
                  <c:v>2.0476028295963702</c:v>
                </c:pt>
                <c:pt idx="9">
                  <c:v>1.35063839753082</c:v>
                </c:pt>
                <c:pt idx="10">
                  <c:v>0.75053772391777196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1-4ADC-888C-F17A7A942791}"/>
            </c:ext>
          </c:extLst>
        </c:ser>
        <c:ser>
          <c:idx val="1"/>
          <c:order val="1"/>
          <c:tx>
            <c:strRef>
              <c:f>Test_Robustezza!$K$41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Test_Robustezza!$N$42:$N$52</c:f>
              <c:numCache>
                <c:formatCode>0.00</c:formatCode>
                <c:ptCount val="11"/>
                <c:pt idx="0">
                  <c:v>3.7011304783144499</c:v>
                </c:pt>
                <c:pt idx="1">
                  <c:v>3.3343163339132</c:v>
                </c:pt>
                <c:pt idx="2">
                  <c:v>3.2710194099141301</c:v>
                </c:pt>
                <c:pt idx="3">
                  <c:v>2.7702107197889099</c:v>
                </c:pt>
                <c:pt idx="4">
                  <c:v>3.9917236156092102</c:v>
                </c:pt>
                <c:pt idx="5">
                  <c:v>1.76867510663159</c:v>
                </c:pt>
                <c:pt idx="6">
                  <c:v>4.4261013789912402</c:v>
                </c:pt>
                <c:pt idx="7">
                  <c:v>4.2423575250924301</c:v>
                </c:pt>
                <c:pt idx="8">
                  <c:v>2.4274474249422902</c:v>
                </c:pt>
                <c:pt idx="9">
                  <c:v>1.2979278374488099</c:v>
                </c:pt>
                <c:pt idx="10">
                  <c:v>1.05702579464511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1-4ADC-888C-F17A7A942791}"/>
            </c:ext>
          </c:extLst>
        </c:ser>
        <c:ser>
          <c:idx val="2"/>
          <c:order val="2"/>
          <c:tx>
            <c:strRef>
              <c:f>Test_Robustezza!$S$41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Test_Robustezza!$V$42:$V$52</c:f>
              <c:numCache>
                <c:formatCode>0.00</c:formatCode>
                <c:ptCount val="11"/>
                <c:pt idx="0">
                  <c:v>3.4733860965645</c:v>
                </c:pt>
                <c:pt idx="1">
                  <c:v>3.13290861862329</c:v>
                </c:pt>
                <c:pt idx="2">
                  <c:v>2.9374976871292202</c:v>
                </c:pt>
                <c:pt idx="3">
                  <c:v>2.5994686998201102</c:v>
                </c:pt>
                <c:pt idx="4">
                  <c:v>3.7359226981431601</c:v>
                </c:pt>
                <c:pt idx="5">
                  <c:v>1.6857089637231599</c:v>
                </c:pt>
                <c:pt idx="6">
                  <c:v>4.0984600442227697</c:v>
                </c:pt>
                <c:pt idx="7">
                  <c:v>4.4920530635364404</c:v>
                </c:pt>
                <c:pt idx="8">
                  <c:v>2.1115832964308798</c:v>
                </c:pt>
                <c:pt idx="9">
                  <c:v>1.17271591072084</c:v>
                </c:pt>
                <c:pt idx="10">
                  <c:v>1.06433828112908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1-4ADC-888C-F17A7A942791}"/>
            </c:ext>
          </c:extLst>
        </c:ser>
        <c:ser>
          <c:idx val="3"/>
          <c:order val="3"/>
          <c:tx>
            <c:strRef>
              <c:f>Test_Robustezza!$AA$41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Test_Robustezza!$AD$42:$AD$52</c:f>
              <c:numCache>
                <c:formatCode>0.00</c:formatCode>
                <c:ptCount val="11"/>
                <c:pt idx="0">
                  <c:v>3.6859829382673999</c:v>
                </c:pt>
                <c:pt idx="1">
                  <c:v>3.2081421801727599</c:v>
                </c:pt>
                <c:pt idx="2">
                  <c:v>3.1803740764534898</c:v>
                </c:pt>
                <c:pt idx="3">
                  <c:v>2.6552821382439</c:v>
                </c:pt>
                <c:pt idx="4">
                  <c:v>3.64490385131317</c:v>
                </c:pt>
                <c:pt idx="5">
                  <c:v>1.94185423562774</c:v>
                </c:pt>
                <c:pt idx="6">
                  <c:v>4.2214248294333299</c:v>
                </c:pt>
                <c:pt idx="7">
                  <c:v>4.6636464603204102</c:v>
                </c:pt>
                <c:pt idx="8">
                  <c:v>2.1734527408947701</c:v>
                </c:pt>
                <c:pt idx="9">
                  <c:v>0.90762145940981598</c:v>
                </c:pt>
                <c:pt idx="10">
                  <c:v>1.04769089452013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F1-4ADC-888C-F17A7A942791}"/>
            </c:ext>
          </c:extLst>
        </c:ser>
        <c:ser>
          <c:idx val="4"/>
          <c:order val="4"/>
          <c:tx>
            <c:strRef>
              <c:f>Test_Robustezza!$AI$41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Test_Robustezza!$AL$42:$AL$52</c:f>
              <c:numCache>
                <c:formatCode>0.00</c:formatCode>
                <c:ptCount val="11"/>
                <c:pt idx="0">
                  <c:v>3.5380751058792401</c:v>
                </c:pt>
                <c:pt idx="1">
                  <c:v>3.0942980808624898</c:v>
                </c:pt>
                <c:pt idx="2">
                  <c:v>2.97802622717946</c:v>
                </c:pt>
                <c:pt idx="3">
                  <c:v>2.9641956653345898</c:v>
                </c:pt>
                <c:pt idx="4">
                  <c:v>3.7626366456229898</c:v>
                </c:pt>
                <c:pt idx="5">
                  <c:v>1.8856253651159101</c:v>
                </c:pt>
                <c:pt idx="6">
                  <c:v>4.4605289546542801</c:v>
                </c:pt>
                <c:pt idx="7">
                  <c:v>3.9107324414205999</c:v>
                </c:pt>
                <c:pt idx="8">
                  <c:v>2.1436553026398699</c:v>
                </c:pt>
                <c:pt idx="9">
                  <c:v>1.3556031839538201</c:v>
                </c:pt>
                <c:pt idx="10">
                  <c:v>0.90129068044815697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F1-4ADC-888C-F17A7A94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120448"/>
        <c:axId val="2072127520"/>
      </c:lineChart>
      <c:catAx>
        <c:axId val="2072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7520"/>
        <c:crosses val="autoZero"/>
        <c:auto val="1"/>
        <c:lblAlgn val="ctr"/>
        <c:lblOffset val="100"/>
        <c:noMultiLvlLbl val="0"/>
      </c:catAx>
      <c:valAx>
        <c:axId val="20721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REV918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Test_Robustezza!$C$41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Test_Robustezza!$G$42:$G$52</c:f>
              <c:numCache>
                <c:formatCode>0.00</c:formatCode>
                <c:ptCount val="11"/>
                <c:pt idx="0">
                  <c:v>4.1655323790694503</c:v>
                </c:pt>
                <c:pt idx="1">
                  <c:v>1.85001892744728</c:v>
                </c:pt>
                <c:pt idx="2">
                  <c:v>2.4459824273377802</c:v>
                </c:pt>
                <c:pt idx="3">
                  <c:v>2.2559661990950599</c:v>
                </c:pt>
                <c:pt idx="4">
                  <c:v>5.0869168947471799</c:v>
                </c:pt>
                <c:pt idx="5">
                  <c:v>2.60061865403731</c:v>
                </c:pt>
                <c:pt idx="6">
                  <c:v>2.8518975461467799</c:v>
                </c:pt>
                <c:pt idx="7">
                  <c:v>2.9842130220137202</c:v>
                </c:pt>
                <c:pt idx="8">
                  <c:v>3.46558909204427</c:v>
                </c:pt>
                <c:pt idx="9">
                  <c:v>2.5698254099676201</c:v>
                </c:pt>
                <c:pt idx="10">
                  <c:v>2.5957080706700801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5-4F13-A291-3B2702AE897D}"/>
            </c:ext>
          </c:extLst>
        </c:ser>
        <c:ser>
          <c:idx val="1"/>
          <c:order val="1"/>
          <c:tx>
            <c:strRef>
              <c:f>Test_Robustezza!$K$41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Test_Robustezza!$O$42:$O$52</c:f>
              <c:numCache>
                <c:formatCode>0.00</c:formatCode>
                <c:ptCount val="11"/>
                <c:pt idx="0">
                  <c:v>4.04916540891832</c:v>
                </c:pt>
                <c:pt idx="1">
                  <c:v>2.3760490815100299</c:v>
                </c:pt>
                <c:pt idx="2">
                  <c:v>2.69390902354196</c:v>
                </c:pt>
                <c:pt idx="3">
                  <c:v>1.9240420968659999</c:v>
                </c:pt>
                <c:pt idx="4">
                  <c:v>4.3307968405175199</c:v>
                </c:pt>
                <c:pt idx="5">
                  <c:v>2.5996494342065599</c:v>
                </c:pt>
                <c:pt idx="6">
                  <c:v>2.7418732726725099</c:v>
                </c:pt>
                <c:pt idx="7">
                  <c:v>2.9789174517789498</c:v>
                </c:pt>
                <c:pt idx="8">
                  <c:v>2.6064987448124</c:v>
                </c:pt>
                <c:pt idx="9">
                  <c:v>3.07365470289625</c:v>
                </c:pt>
                <c:pt idx="10">
                  <c:v>2.6027734439850798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5-4F13-A291-3B2702AE897D}"/>
            </c:ext>
          </c:extLst>
        </c:ser>
        <c:ser>
          <c:idx val="2"/>
          <c:order val="2"/>
          <c:tx>
            <c:strRef>
              <c:f>Test_Robustezza!$S$41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Test_Robustezza!$W$42:$W$52</c:f>
              <c:numCache>
                <c:formatCode>0.00</c:formatCode>
                <c:ptCount val="11"/>
                <c:pt idx="0">
                  <c:v>4.0537601641495398</c:v>
                </c:pt>
                <c:pt idx="1">
                  <c:v>2.11339494777092</c:v>
                </c:pt>
                <c:pt idx="2">
                  <c:v>2.6760426141956302</c:v>
                </c:pt>
                <c:pt idx="3">
                  <c:v>2.1735507402246301</c:v>
                </c:pt>
                <c:pt idx="4">
                  <c:v>5.3815831793985103</c:v>
                </c:pt>
                <c:pt idx="5">
                  <c:v>2.5942668655073202</c:v>
                </c:pt>
                <c:pt idx="6">
                  <c:v>2.72030246611128</c:v>
                </c:pt>
                <c:pt idx="7">
                  <c:v>2.9381445575954501</c:v>
                </c:pt>
                <c:pt idx="8">
                  <c:v>3.1204134427810502</c:v>
                </c:pt>
                <c:pt idx="9">
                  <c:v>2.6803356058969099</c:v>
                </c:pt>
                <c:pt idx="10">
                  <c:v>2.6021072148382398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5-4F13-A291-3B2702AE897D}"/>
            </c:ext>
          </c:extLst>
        </c:ser>
        <c:ser>
          <c:idx val="3"/>
          <c:order val="3"/>
          <c:tx>
            <c:strRef>
              <c:f>Test_Robustezza!$AA$41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Test_Robustezza!$AE$42:$AE$52</c:f>
              <c:numCache>
                <c:formatCode>0.00</c:formatCode>
                <c:ptCount val="11"/>
                <c:pt idx="0">
                  <c:v>3.7430369968701598</c:v>
                </c:pt>
                <c:pt idx="1">
                  <c:v>2.1393755500237699</c:v>
                </c:pt>
                <c:pt idx="2">
                  <c:v>3.1941776389700598</c:v>
                </c:pt>
                <c:pt idx="3">
                  <c:v>2.1990351783976601</c:v>
                </c:pt>
                <c:pt idx="4">
                  <c:v>4.7354335576780304</c:v>
                </c:pt>
                <c:pt idx="5">
                  <c:v>2.5994804129354199</c:v>
                </c:pt>
                <c:pt idx="6">
                  <c:v>2.75572958673252</c:v>
                </c:pt>
                <c:pt idx="7">
                  <c:v>3.0185146302543999</c:v>
                </c:pt>
                <c:pt idx="8">
                  <c:v>3.4288961115033301</c:v>
                </c:pt>
                <c:pt idx="9">
                  <c:v>2.6036138521021202</c:v>
                </c:pt>
                <c:pt idx="10">
                  <c:v>2.6026626708353602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5-4F13-A291-3B2702AE897D}"/>
            </c:ext>
          </c:extLst>
        </c:ser>
        <c:ser>
          <c:idx val="4"/>
          <c:order val="4"/>
          <c:tx>
            <c:strRef>
              <c:f>Test_Robustezza!$AI$41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Test_Robustezza!$AM$42:$AM$52</c:f>
              <c:numCache>
                <c:formatCode>0.00</c:formatCode>
                <c:ptCount val="11"/>
                <c:pt idx="0">
                  <c:v>3.81226654862787</c:v>
                </c:pt>
                <c:pt idx="1">
                  <c:v>2.0942619284416799</c:v>
                </c:pt>
                <c:pt idx="2">
                  <c:v>2.4040445164768798</c:v>
                </c:pt>
                <c:pt idx="3">
                  <c:v>2.53264566162385</c:v>
                </c:pt>
                <c:pt idx="4">
                  <c:v>4.6724985342759897</c:v>
                </c:pt>
                <c:pt idx="5">
                  <c:v>2.5962019362979398</c:v>
                </c:pt>
                <c:pt idx="6">
                  <c:v>2.7975201846172801</c:v>
                </c:pt>
                <c:pt idx="7">
                  <c:v>3.0874789690906801</c:v>
                </c:pt>
                <c:pt idx="8">
                  <c:v>2.79367861302303</c:v>
                </c:pt>
                <c:pt idx="9">
                  <c:v>2.5915167787043498</c:v>
                </c:pt>
                <c:pt idx="10">
                  <c:v>2.6035822332871699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5-4F13-A291-3B2702AE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120448"/>
        <c:axId val="2072127520"/>
      </c:lineChart>
      <c:catAx>
        <c:axId val="2072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7520"/>
        <c:crosses val="autoZero"/>
        <c:auto val="1"/>
        <c:lblAlgn val="ctr"/>
        <c:lblOffset val="100"/>
        <c:noMultiLvlLbl val="0"/>
      </c:catAx>
      <c:valAx>
        <c:axId val="207212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21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0</xdr:row>
      <xdr:rowOff>38100</xdr:rowOff>
    </xdr:from>
    <xdr:to>
      <xdr:col>14</xdr:col>
      <xdr:colOff>276225</xdr:colOff>
      <xdr:row>20</xdr:row>
      <xdr:rowOff>161925</xdr:rowOff>
    </xdr:to>
    <xdr:pic>
      <xdr:nvPicPr>
        <xdr:cNvPr id="2" name="Immagin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38100"/>
          <a:ext cx="5324475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428625</xdr:colOff>
      <xdr:row>22</xdr:row>
      <xdr:rowOff>104775</xdr:rowOff>
    </xdr:from>
    <xdr:to>
      <xdr:col>14</xdr:col>
      <xdr:colOff>266700</xdr:colOff>
      <xdr:row>43</xdr:row>
      <xdr:rowOff>95250</xdr:rowOff>
    </xdr:to>
    <xdr:pic>
      <xdr:nvPicPr>
        <xdr:cNvPr id="3" name="Immagin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900" y="4352925"/>
          <a:ext cx="5324475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48</xdr:row>
      <xdr:rowOff>57150</xdr:rowOff>
    </xdr:from>
    <xdr:to>
      <xdr:col>14</xdr:col>
      <xdr:colOff>466725</xdr:colOff>
      <xdr:row>69</xdr:row>
      <xdr:rowOff>47625</xdr:rowOff>
    </xdr:to>
    <xdr:pic>
      <xdr:nvPicPr>
        <xdr:cNvPr id="4" name="Immagin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9258300"/>
          <a:ext cx="5324475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517071</xdr:colOff>
      <xdr:row>102</xdr:row>
      <xdr:rowOff>54428</xdr:rowOff>
    </xdr:from>
    <xdr:to>
      <xdr:col>14</xdr:col>
      <xdr:colOff>352425</xdr:colOff>
      <xdr:row>123</xdr:row>
      <xdr:rowOff>44903</xdr:rowOff>
    </xdr:to>
    <xdr:pic>
      <xdr:nvPicPr>
        <xdr:cNvPr id="5" name="Immagin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1346" y="19542578"/>
          <a:ext cx="5321754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14</xdr:col>
      <xdr:colOff>447675</xdr:colOff>
      <xdr:row>94</xdr:row>
      <xdr:rowOff>180975</xdr:rowOff>
    </xdr:to>
    <xdr:pic>
      <xdr:nvPicPr>
        <xdr:cNvPr id="6" name="Immagin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4154150"/>
          <a:ext cx="5324475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67830</xdr:colOff>
      <xdr:row>46</xdr:row>
      <xdr:rowOff>75662</xdr:rowOff>
    </xdr:from>
    <xdr:to>
      <xdr:col>93</xdr:col>
      <xdr:colOff>28409</xdr:colOff>
      <xdr:row>52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917863</xdr:colOff>
      <xdr:row>88</xdr:row>
      <xdr:rowOff>100446</xdr:rowOff>
    </xdr:from>
    <xdr:to>
      <xdr:col>12</xdr:col>
      <xdr:colOff>103909</xdr:colOff>
      <xdr:row>109</xdr:row>
      <xdr:rowOff>173182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675410</xdr:colOff>
      <xdr:row>111</xdr:row>
      <xdr:rowOff>173182</xdr:rowOff>
    </xdr:from>
    <xdr:to>
      <xdr:col>11</xdr:col>
      <xdr:colOff>467592</xdr:colOff>
      <xdr:row>133</xdr:row>
      <xdr:rowOff>55418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675409</xdr:colOff>
      <xdr:row>136</xdr:row>
      <xdr:rowOff>0</xdr:rowOff>
    </xdr:from>
    <xdr:to>
      <xdr:col>11</xdr:col>
      <xdr:colOff>467591</xdr:colOff>
      <xdr:row>157</xdr:row>
      <xdr:rowOff>72736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831273</xdr:colOff>
      <xdr:row>161</xdr:row>
      <xdr:rowOff>0</xdr:rowOff>
    </xdr:from>
    <xdr:to>
      <xdr:col>12</xdr:col>
      <xdr:colOff>17319</xdr:colOff>
      <xdr:row>182</xdr:row>
      <xdr:rowOff>72736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185</xdr:row>
      <xdr:rowOff>0</xdr:rowOff>
    </xdr:from>
    <xdr:to>
      <xdr:col>10</xdr:col>
      <xdr:colOff>502228</xdr:colOff>
      <xdr:row>206</xdr:row>
      <xdr:rowOff>72736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lviam\OneDrive%20-%20dinamicagenerale.com\Desktop\REVISIONI\SLURRY\2024\241120_pig2\240916_PIG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G-NEW 101"/>
      <sheetName val="Pred918"/>
      <sheetName val="DATASET"/>
      <sheetName val="VALID"/>
      <sheetName val="Foglio4"/>
      <sheetName val="STAT "/>
      <sheetName val="Stat. Validazione"/>
      <sheetName val="COMPARE "/>
      <sheetName val="COMPARE2"/>
      <sheetName val="Fogli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0">
          <cell r="B40" t="str">
            <v>MASTER</v>
          </cell>
          <cell r="J40">
            <v>189009</v>
          </cell>
          <cell r="R40">
            <v>189013</v>
          </cell>
        </row>
        <row r="41">
          <cell r="C41" t="str">
            <v>DM</v>
          </cell>
          <cell r="K41" t="str">
            <v>DM</v>
          </cell>
          <cell r="S41" t="str">
            <v>DM</v>
          </cell>
          <cell r="AA41" t="str">
            <v>DM</v>
          </cell>
          <cell r="AI41" t="str">
            <v>DM</v>
          </cell>
        </row>
        <row r="42">
          <cell r="C42">
            <v>7.9485363316852302</v>
          </cell>
          <cell r="D42">
            <v>5.6052136374277497</v>
          </cell>
          <cell r="E42">
            <v>3.7776988634291899</v>
          </cell>
          <cell r="F42">
            <v>3.8144881866742599</v>
          </cell>
          <cell r="G42">
            <v>4.1655323790694503</v>
          </cell>
          <cell r="K42">
            <v>6.7601996030012703</v>
          </cell>
          <cell r="L42">
            <v>5.50323168455561</v>
          </cell>
          <cell r="M42">
            <v>3.8412934384711499</v>
          </cell>
          <cell r="N42">
            <v>3.7011304783144499</v>
          </cell>
          <cell r="O42">
            <v>4.04916540891832</v>
          </cell>
          <cell r="S42">
            <v>6.58675568659286</v>
          </cell>
          <cell r="T42">
            <v>5.1150967142055803</v>
          </cell>
          <cell r="U42">
            <v>3.3458133162245298</v>
          </cell>
          <cell r="V42">
            <v>3.4733860965645</v>
          </cell>
          <cell r="W42">
            <v>4.0537601641495398</v>
          </cell>
          <cell r="AA42">
            <v>7.4191909044729201</v>
          </cell>
          <cell r="AB42">
            <v>4.9695714321488396</v>
          </cell>
          <cell r="AC42">
            <v>3.3736531903086799</v>
          </cell>
          <cell r="AD42">
            <v>3.6859829382673999</v>
          </cell>
          <cell r="AE42">
            <v>3.7430369968701598</v>
          </cell>
          <cell r="AI42">
            <v>6.4959083667383002</v>
          </cell>
          <cell r="AJ42">
            <v>5.3786731589528403</v>
          </cell>
          <cell r="AK42">
            <v>3.6303809352131</v>
          </cell>
          <cell r="AL42">
            <v>3.5380751058792401</v>
          </cell>
          <cell r="AM42">
            <v>3.81226654862787</v>
          </cell>
        </row>
        <row r="43">
          <cell r="C43">
            <v>4.3604882966338501</v>
          </cell>
          <cell r="D43">
            <v>2.5625097293379802</v>
          </cell>
          <cell r="E43">
            <v>1.9155098775374899</v>
          </cell>
          <cell r="F43">
            <v>3.0815923935375098</v>
          </cell>
          <cell r="G43">
            <v>1.85001892744728</v>
          </cell>
          <cell r="K43">
            <v>3.6549886578455002</v>
          </cell>
          <cell r="L43">
            <v>3.1611378648874799</v>
          </cell>
          <cell r="M43">
            <v>1.92947944192037</v>
          </cell>
          <cell r="N43">
            <v>3.3343163339132</v>
          </cell>
          <cell r="O43">
            <v>2.3760490815100299</v>
          </cell>
          <cell r="S43">
            <v>3.6551662975363</v>
          </cell>
          <cell r="T43">
            <v>2.7008708805322299</v>
          </cell>
          <cell r="U43">
            <v>1.82042085679969</v>
          </cell>
          <cell r="V43">
            <v>3.13290861862329</v>
          </cell>
          <cell r="W43">
            <v>2.11339494777092</v>
          </cell>
          <cell r="AA43">
            <v>4.56477860280883</v>
          </cell>
          <cell r="AB43">
            <v>3.0754720996252298</v>
          </cell>
          <cell r="AC43">
            <v>2.30798902492762</v>
          </cell>
          <cell r="AD43">
            <v>3.2081421801727599</v>
          </cell>
          <cell r="AE43">
            <v>2.1393755500237699</v>
          </cell>
          <cell r="AI43">
            <v>3.36601967795252</v>
          </cell>
          <cell r="AJ43">
            <v>2.59172777182919</v>
          </cell>
          <cell r="AK43">
            <v>1.4881637707883399</v>
          </cell>
          <cell r="AL43">
            <v>3.0942980808624898</v>
          </cell>
          <cell r="AM43">
            <v>2.0942619284416799</v>
          </cell>
        </row>
        <row r="44">
          <cell r="C44">
            <v>3.3457135529450999</v>
          </cell>
          <cell r="D44">
            <v>3.3930353060471901</v>
          </cell>
          <cell r="E44">
            <v>1.8361134145097799</v>
          </cell>
          <cell r="F44">
            <v>3.07404048998364</v>
          </cell>
          <cell r="G44">
            <v>2.4459824273377802</v>
          </cell>
          <cell r="K44">
            <v>3.0316963842047699</v>
          </cell>
          <cell r="L44">
            <v>3.6483197266505298</v>
          </cell>
          <cell r="M44">
            <v>1.8317104167699501</v>
          </cell>
          <cell r="N44">
            <v>3.2710194099141301</v>
          </cell>
          <cell r="O44">
            <v>2.69390902354196</v>
          </cell>
          <cell r="S44">
            <v>2.44212391305657</v>
          </cell>
          <cell r="T44">
            <v>3.4907024161271099</v>
          </cell>
          <cell r="U44">
            <v>1.32367581404722</v>
          </cell>
          <cell r="V44">
            <v>2.9374976871292202</v>
          </cell>
          <cell r="W44">
            <v>2.6760426141956302</v>
          </cell>
          <cell r="AA44">
            <v>2.6210433098836301</v>
          </cell>
          <cell r="AB44">
            <v>3.8337437655521698</v>
          </cell>
          <cell r="AC44">
            <v>1.8564717356800899</v>
          </cell>
          <cell r="AD44">
            <v>3.1803740764534898</v>
          </cell>
          <cell r="AE44">
            <v>3.1941776389700598</v>
          </cell>
          <cell r="AI44">
            <v>2.92735885333708</v>
          </cell>
          <cell r="AJ44">
            <v>3.2800101680117701</v>
          </cell>
          <cell r="AK44">
            <v>1.6111878274942899</v>
          </cell>
          <cell r="AL44">
            <v>2.97802622717946</v>
          </cell>
          <cell r="AM44">
            <v>2.4040445164768798</v>
          </cell>
        </row>
        <row r="45">
          <cell r="C45">
            <v>0.91294947477871202</v>
          </cell>
          <cell r="D45">
            <v>2.8216188903976098</v>
          </cell>
          <cell r="E45">
            <v>0.86021633306401102</v>
          </cell>
          <cell r="F45">
            <v>2.8558845610842098</v>
          </cell>
          <cell r="G45">
            <v>2.2559661990950599</v>
          </cell>
          <cell r="K45">
            <v>1.0607946218374</v>
          </cell>
          <cell r="L45">
            <v>2.5612817417325502</v>
          </cell>
          <cell r="M45">
            <v>0.69941076191760798</v>
          </cell>
          <cell r="N45">
            <v>2.7702107197889099</v>
          </cell>
          <cell r="O45">
            <v>1.9240420968659999</v>
          </cell>
          <cell r="S45">
            <v>0.88987436508242401</v>
          </cell>
          <cell r="T45">
            <v>2.80519376546038</v>
          </cell>
          <cell r="U45">
            <v>0.97566980634099698</v>
          </cell>
          <cell r="V45">
            <v>2.5994686998201102</v>
          </cell>
          <cell r="W45">
            <v>2.1735507402246301</v>
          </cell>
          <cell r="AA45">
            <v>0.81125472937857301</v>
          </cell>
          <cell r="AB45">
            <v>3.0691611969416801</v>
          </cell>
          <cell r="AC45">
            <v>1.4141282625246001</v>
          </cell>
          <cell r="AD45">
            <v>2.6552821382439</v>
          </cell>
          <cell r="AE45">
            <v>2.1990351783976601</v>
          </cell>
          <cell r="AI45">
            <v>1.0179226343843899</v>
          </cell>
          <cell r="AJ45">
            <v>2.83533948443857</v>
          </cell>
          <cell r="AK45">
            <v>0.42922590571760699</v>
          </cell>
          <cell r="AL45">
            <v>2.9641956653345898</v>
          </cell>
          <cell r="AM45">
            <v>2.53264566162385</v>
          </cell>
        </row>
        <row r="46">
          <cell r="C46">
            <v>7.8571477646964798</v>
          </cell>
          <cell r="D46">
            <v>5.6550270291761198</v>
          </cell>
          <cell r="E46">
            <v>3.7844248574092898</v>
          </cell>
          <cell r="F46">
            <v>3.60804987997733</v>
          </cell>
          <cell r="G46">
            <v>5.0869168947471799</v>
          </cell>
          <cell r="K46">
            <v>8.16182629249864</v>
          </cell>
          <cell r="L46">
            <v>5.6547061388554898</v>
          </cell>
          <cell r="M46">
            <v>4.5602133969468301</v>
          </cell>
          <cell r="N46">
            <v>3.9917236156092102</v>
          </cell>
          <cell r="O46">
            <v>4.3307968405175199</v>
          </cell>
          <cell r="S46">
            <v>7.7343855470704801</v>
          </cell>
          <cell r="T46">
            <v>5.8387240623298702</v>
          </cell>
          <cell r="U46">
            <v>3.9106566207558502</v>
          </cell>
          <cell r="V46">
            <v>3.7359226981431601</v>
          </cell>
          <cell r="W46">
            <v>5.3815831793985103</v>
          </cell>
          <cell r="AA46">
            <v>7.39893399457371</v>
          </cell>
          <cell r="AB46">
            <v>5.5495038578476397</v>
          </cell>
          <cell r="AC46">
            <v>3.6386500281073899</v>
          </cell>
          <cell r="AD46">
            <v>3.64490385131317</v>
          </cell>
          <cell r="AE46">
            <v>4.7354335576780304</v>
          </cell>
          <cell r="AI46">
            <v>7.7828508294179901</v>
          </cell>
          <cell r="AJ46">
            <v>6.5127801928888003</v>
          </cell>
          <cell r="AK46">
            <v>4.3183782810415297</v>
          </cell>
          <cell r="AL46">
            <v>3.7626366456229898</v>
          </cell>
          <cell r="AM46">
            <v>4.6724985342759897</v>
          </cell>
        </row>
        <row r="47">
          <cell r="C47">
            <v>0.26027448671956999</v>
          </cell>
          <cell r="D47">
            <v>3.7786315109999702</v>
          </cell>
          <cell r="E47">
            <v>1.71929167576957</v>
          </cell>
          <cell r="F47">
            <v>2.1293067216433998</v>
          </cell>
          <cell r="G47">
            <v>2.60061865403731</v>
          </cell>
          <cell r="K47">
            <v>0.50475965261936995</v>
          </cell>
          <cell r="L47">
            <v>3.7755048768527302</v>
          </cell>
          <cell r="M47">
            <v>1.7314482466274299</v>
          </cell>
          <cell r="N47">
            <v>1.76867510663159</v>
          </cell>
          <cell r="O47">
            <v>2.5996494342065599</v>
          </cell>
          <cell r="S47">
            <v>0.39134215680661999</v>
          </cell>
          <cell r="T47">
            <v>3.7596131676074198</v>
          </cell>
          <cell r="U47">
            <v>1.5342746045600599</v>
          </cell>
          <cell r="V47">
            <v>1.6857089637231599</v>
          </cell>
          <cell r="W47">
            <v>2.5942668655073202</v>
          </cell>
          <cell r="AA47">
            <v>0.65006903260322901</v>
          </cell>
          <cell r="AB47">
            <v>3.77480689934491</v>
          </cell>
          <cell r="AC47">
            <v>1.6730928732147501</v>
          </cell>
          <cell r="AD47">
            <v>1.94185423562774</v>
          </cell>
          <cell r="AE47">
            <v>2.5994804129354199</v>
          </cell>
          <cell r="AI47">
            <v>0.434274683328501</v>
          </cell>
          <cell r="AJ47">
            <v>3.7642951200607899</v>
          </cell>
          <cell r="AK47">
            <v>1.6427427009311</v>
          </cell>
          <cell r="AL47">
            <v>1.8856253651159101</v>
          </cell>
          <cell r="AM47">
            <v>2.5962019362979398</v>
          </cell>
        </row>
        <row r="48">
          <cell r="C48">
            <v>7.3025569273606799</v>
          </cell>
          <cell r="D48">
            <v>5.2143557861622103</v>
          </cell>
          <cell r="E48">
            <v>4.2124744921846498</v>
          </cell>
          <cell r="F48">
            <v>4.1989370665448797</v>
          </cell>
          <cell r="G48">
            <v>2.8518975461467799</v>
          </cell>
          <cell r="K48">
            <v>8.6780077351253198</v>
          </cell>
          <cell r="L48">
            <v>4.3917607738815496</v>
          </cell>
          <cell r="M48">
            <v>4.5810508805189301</v>
          </cell>
          <cell r="N48">
            <v>4.4261013789912402</v>
          </cell>
          <cell r="O48">
            <v>2.7418732726725099</v>
          </cell>
          <cell r="S48">
            <v>7.1386682134409503</v>
          </cell>
          <cell r="T48">
            <v>5.1417011375031603</v>
          </cell>
          <cell r="U48">
            <v>4.03566525423751</v>
          </cell>
          <cell r="V48">
            <v>4.0984600442227697</v>
          </cell>
          <cell r="W48">
            <v>2.72030246611128</v>
          </cell>
          <cell r="AA48">
            <v>7.8125737930939003</v>
          </cell>
          <cell r="AB48">
            <v>5.3542928305230104</v>
          </cell>
          <cell r="AC48">
            <v>3.9323303545708499</v>
          </cell>
          <cell r="AD48">
            <v>4.2214248294333299</v>
          </cell>
          <cell r="AE48">
            <v>2.75572958673252</v>
          </cell>
          <cell r="AI48">
            <v>8.3750150484183497</v>
          </cell>
          <cell r="AJ48">
            <v>4.6083759967307101</v>
          </cell>
          <cell r="AK48">
            <v>4.5858615987837199</v>
          </cell>
          <cell r="AL48">
            <v>4.4605289546542801</v>
          </cell>
          <cell r="AM48">
            <v>2.7975201846172801</v>
          </cell>
        </row>
        <row r="49">
          <cell r="C49">
            <v>9.0125548225085499</v>
          </cell>
          <cell r="D49">
            <v>5.44838772574251</v>
          </cell>
          <cell r="E49">
            <v>4.1965251026155803</v>
          </cell>
          <cell r="F49">
            <v>4.2123683591516503</v>
          </cell>
          <cell r="G49">
            <v>2.9842130220137202</v>
          </cell>
          <cell r="K49">
            <v>9.3353688272801598</v>
          </cell>
          <cell r="L49">
            <v>5.2626778731799204</v>
          </cell>
          <cell r="M49">
            <v>4.46969642791771</v>
          </cell>
          <cell r="N49">
            <v>4.2423575250924301</v>
          </cell>
          <cell r="O49">
            <v>2.9789174517789498</v>
          </cell>
          <cell r="S49">
            <v>8.5531088477135508</v>
          </cell>
          <cell r="T49">
            <v>5.4965957383999502</v>
          </cell>
          <cell r="U49">
            <v>4.06413701797889</v>
          </cell>
          <cell r="V49">
            <v>4.4920530635364404</v>
          </cell>
          <cell r="W49">
            <v>2.9381445575954501</v>
          </cell>
          <cell r="AA49">
            <v>8.9021128173018997</v>
          </cell>
          <cell r="AB49">
            <v>5.6868093388617798</v>
          </cell>
          <cell r="AC49">
            <v>3.9315332708768</v>
          </cell>
          <cell r="AD49">
            <v>4.6636464603204102</v>
          </cell>
          <cell r="AE49">
            <v>3.0185146302543999</v>
          </cell>
          <cell r="AI49">
            <v>8.1890020702544106</v>
          </cell>
          <cell r="AJ49">
            <v>5.4293918784119004</v>
          </cell>
          <cell r="AK49">
            <v>4.3300687308065298</v>
          </cell>
          <cell r="AL49">
            <v>3.9107324414205999</v>
          </cell>
          <cell r="AM49">
            <v>3.0874789690906801</v>
          </cell>
        </row>
        <row r="50">
          <cell r="C50">
            <v>6.5816695483707202</v>
          </cell>
          <cell r="D50">
            <v>4.6330455739411596</v>
          </cell>
          <cell r="E50">
            <v>2.86530173619296</v>
          </cell>
          <cell r="F50">
            <v>2.0476028295963702</v>
          </cell>
          <cell r="G50">
            <v>3.46558909204427</v>
          </cell>
          <cell r="K50">
            <v>7.8963409775136704</v>
          </cell>
          <cell r="L50">
            <v>3.7990487698453301</v>
          </cell>
          <cell r="M50">
            <v>2.8582932302440298</v>
          </cell>
          <cell r="N50">
            <v>2.4274474249422902</v>
          </cell>
          <cell r="O50">
            <v>2.6064987448124</v>
          </cell>
          <cell r="S50">
            <v>6.8363588523813599</v>
          </cell>
          <cell r="T50">
            <v>4.3526049786924803</v>
          </cell>
          <cell r="U50">
            <v>2.8457326572701702</v>
          </cell>
          <cell r="V50">
            <v>2.1115832964308798</v>
          </cell>
          <cell r="W50">
            <v>3.1204134427810502</v>
          </cell>
          <cell r="AA50">
            <v>6.3478969109867398</v>
          </cell>
          <cell r="AB50">
            <v>4.5866089431830597</v>
          </cell>
          <cell r="AC50">
            <v>2.8869679855617001</v>
          </cell>
          <cell r="AD50">
            <v>2.1734527408947701</v>
          </cell>
          <cell r="AE50">
            <v>3.4288961115033301</v>
          </cell>
          <cell r="AI50">
            <v>7.2466779907997498</v>
          </cell>
          <cell r="AJ50">
            <v>4.2676160350741501</v>
          </cell>
          <cell r="AK50">
            <v>3.4173020075600098</v>
          </cell>
          <cell r="AL50">
            <v>2.1436553026398699</v>
          </cell>
          <cell r="AM50">
            <v>2.79367861302303</v>
          </cell>
        </row>
        <row r="51">
          <cell r="C51">
            <v>2.3606326504094501</v>
          </cell>
          <cell r="D51">
            <v>3.67335058792154</v>
          </cell>
          <cell r="E51">
            <v>0.84745277288347098</v>
          </cell>
          <cell r="F51">
            <v>1.35063839753082</v>
          </cell>
          <cell r="G51">
            <v>2.5698254099676201</v>
          </cell>
          <cell r="K51">
            <v>3.7598260801586099</v>
          </cell>
          <cell r="L51">
            <v>5.0403633129785899</v>
          </cell>
          <cell r="M51">
            <v>3.41273554691415</v>
          </cell>
          <cell r="N51">
            <v>1.2979278374488099</v>
          </cell>
          <cell r="O51">
            <v>3.07365470289625</v>
          </cell>
          <cell r="S51">
            <v>3.9390147605705299</v>
          </cell>
          <cell r="T51">
            <v>4.19986649237749</v>
          </cell>
          <cell r="U51">
            <v>2.8367853098182598</v>
          </cell>
          <cell r="V51">
            <v>1.17271591072084</v>
          </cell>
          <cell r="W51">
            <v>2.6803356058969099</v>
          </cell>
          <cell r="AA51">
            <v>5.14237217726415</v>
          </cell>
          <cell r="AB51">
            <v>3.7924846953103399</v>
          </cell>
          <cell r="AC51">
            <v>2.5122570358346801</v>
          </cell>
          <cell r="AD51">
            <v>0.90762145940981598</v>
          </cell>
          <cell r="AE51">
            <v>2.6036138521021202</v>
          </cell>
          <cell r="AI51">
            <v>2.3466502038263202</v>
          </cell>
          <cell r="AJ51">
            <v>3.74934108572258</v>
          </cell>
          <cell r="AK51">
            <v>1.0300032360118601</v>
          </cell>
          <cell r="AL51">
            <v>1.3556031839538201</v>
          </cell>
          <cell r="AM51">
            <v>2.5915167787043498</v>
          </cell>
        </row>
        <row r="52">
          <cell r="C52">
            <v>5.2292989152064404</v>
          </cell>
          <cell r="D52">
            <v>3.76462857624028</v>
          </cell>
          <cell r="E52">
            <v>2.11784345405048</v>
          </cell>
          <cell r="F52">
            <v>0.75053772391777196</v>
          </cell>
          <cell r="G52">
            <v>2.5957080706700801</v>
          </cell>
          <cell r="K52">
            <v>5.93673267911264</v>
          </cell>
          <cell r="L52">
            <v>3.7866310262882599</v>
          </cell>
          <cell r="M52">
            <v>2.3561993463620898</v>
          </cell>
          <cell r="N52">
            <v>1.05702579464511</v>
          </cell>
          <cell r="O52">
            <v>2.6027734439850798</v>
          </cell>
          <cell r="S52">
            <v>5.6164974332401201</v>
          </cell>
          <cell r="T52">
            <v>3.7839091399234599</v>
          </cell>
          <cell r="U52">
            <v>2.31315473826827</v>
          </cell>
          <cell r="V52">
            <v>1.06433828112908</v>
          </cell>
          <cell r="W52">
            <v>2.6021072148382398</v>
          </cell>
          <cell r="AA52">
            <v>5.7464695921400697</v>
          </cell>
          <cell r="AB52">
            <v>3.7860149483337899</v>
          </cell>
          <cell r="AC52">
            <v>2.31277760235742</v>
          </cell>
          <cell r="AD52">
            <v>1.04769089452013</v>
          </cell>
          <cell r="AE52">
            <v>2.6026626708353602</v>
          </cell>
          <cell r="AI52">
            <v>5.2223203364563702</v>
          </cell>
          <cell r="AJ52">
            <v>3.7907335147054999</v>
          </cell>
          <cell r="AK52">
            <v>2.4931417364275199</v>
          </cell>
          <cell r="AL52">
            <v>0.90129068044815697</v>
          </cell>
          <cell r="AM52">
            <v>2.6035822332871699</v>
          </cell>
        </row>
        <row r="73">
          <cell r="B73" t="str">
            <v>STD REV 918</v>
          </cell>
        </row>
        <row r="75">
          <cell r="C75">
            <v>0.62228529425984291</v>
          </cell>
          <cell r="D75">
            <v>0.265983809468263</v>
          </cell>
          <cell r="E75">
            <v>0.22714090719677033</v>
          </cell>
          <cell r="F75">
            <v>0.13639303754272075</v>
          </cell>
          <cell r="G75">
            <v>0.17872478353766005</v>
          </cell>
        </row>
        <row r="76">
          <cell r="C76">
            <v>0.51406008139981652</v>
          </cell>
          <cell r="D76">
            <v>0.28028044711228617</v>
          </cell>
          <cell r="E76">
            <v>0.29292109729312032</v>
          </cell>
          <cell r="F76">
            <v>0.10413551651314563</v>
          </cell>
          <cell r="G76">
            <v>0.18667329840037833</v>
          </cell>
        </row>
        <row r="77">
          <cell r="C77">
            <v>0.35381216146172584</v>
          </cell>
          <cell r="D77">
            <v>0.21740220071810801</v>
          </cell>
          <cell r="E77">
            <v>0.22887321841476224</v>
          </cell>
          <cell r="F77">
            <v>0.13871637944271664</v>
          </cell>
          <cell r="G77">
            <v>0.31442937988538211</v>
          </cell>
        </row>
        <row r="78">
          <cell r="C78">
            <v>0.10058895626025462</v>
          </cell>
          <cell r="D78">
            <v>0.17990457041266811</v>
          </cell>
          <cell r="E78">
            <v>0.36419627530064447</v>
          </cell>
          <cell r="F78">
            <v>0.1477534720712973</v>
          </cell>
          <cell r="G78">
            <v>0.21747726482592183</v>
          </cell>
        </row>
        <row r="79">
          <cell r="C79">
            <v>0.27331125805086814</v>
          </cell>
          <cell r="D79">
            <v>0.38908500499735332</v>
          </cell>
          <cell r="E79">
            <v>0.38445293494369642</v>
          </cell>
          <cell r="F79">
            <v>0.14997837357097829</v>
          </cell>
          <cell r="G79">
            <v>0.40390239567194952</v>
          </cell>
        </row>
        <row r="80">
          <cell r="C80">
            <v>0.14378178976200154</v>
          </cell>
          <cell r="D80">
            <v>8.1657605133830941E-3</v>
          </cell>
          <cell r="E80">
            <v>7.8892843442895863E-2</v>
          </cell>
          <cell r="F80">
            <v>0.17038831810057722</v>
          </cell>
          <cell r="G80">
            <v>2.6893069147984577E-3</v>
          </cell>
        </row>
        <row r="81">
          <cell r="C81">
            <v>0.66477052775600376</v>
          </cell>
          <cell r="D81">
            <v>0.41776540392077388</v>
          </cell>
          <cell r="E81">
            <v>0.30362912255161739</v>
          </cell>
          <cell r="F81">
            <v>0.15563529185611485</v>
          </cell>
          <cell r="G81">
            <v>5.212761583377537E-2</v>
          </cell>
        </row>
        <row r="82">
          <cell r="C82">
            <v>0.44059270868080336</v>
          </cell>
          <cell r="D82">
            <v>0.15221330733133015</v>
          </cell>
          <cell r="E82">
            <v>0.21224179657655359</v>
          </cell>
          <cell r="F82">
            <v>0.28790831350954038</v>
          </cell>
          <cell r="G82">
            <v>5.5911969283358634E-2</v>
          </cell>
        </row>
        <row r="83">
          <cell r="C83">
            <v>0.61025326319141082</v>
          </cell>
          <cell r="D83">
            <v>0.33315619022026721</v>
          </cell>
          <cell r="E83">
            <v>0.24786313421299239</v>
          </cell>
          <cell r="F83">
            <v>0.14560313174072415</v>
          </cell>
          <cell r="G83">
            <v>0.38019028426809398</v>
          </cell>
        </row>
        <row r="84">
          <cell r="C84">
            <v>1.1816866399666814</v>
          </cell>
          <cell r="D84">
            <v>0.56864220131059373</v>
          </cell>
          <cell r="E84">
            <v>1.134236911730778</v>
          </cell>
          <cell r="F84">
            <v>0.18794646316203681</v>
          </cell>
          <cell r="G84">
            <v>0.21091292946315118</v>
          </cell>
        </row>
        <row r="85">
          <cell r="C85">
            <v>0.31733545898450033</v>
          </cell>
          <cell r="D85">
            <v>1.0228838362989779E-2</v>
          </cell>
          <cell r="E85">
            <v>0.13439239915368997</v>
          </cell>
          <cell r="F85">
            <v>0.13713513495232932</v>
          </cell>
          <cell r="G85">
            <v>3.2068483323869613E-3</v>
          </cell>
        </row>
        <row r="89">
          <cell r="A89" t="str">
            <v>REV NEW</v>
          </cell>
        </row>
        <row r="92">
          <cell r="B92" t="str">
            <v>MASTER</v>
          </cell>
          <cell r="J92">
            <v>189009</v>
          </cell>
          <cell r="R92">
            <v>189013</v>
          </cell>
        </row>
        <row r="94">
          <cell r="C94">
            <v>7.7483294246379799</v>
          </cell>
          <cell r="D94">
            <v>4.8790492749339602</v>
          </cell>
          <cell r="E94">
            <v>3.2931295573795398</v>
          </cell>
          <cell r="F94">
            <v>3.7827870298555699</v>
          </cell>
          <cell r="G94">
            <v>3.7923469571428599</v>
          </cell>
          <cell r="K94">
            <v>6.5929587735522404</v>
          </cell>
          <cell r="L94">
            <v>4.8583032966196003</v>
          </cell>
          <cell r="M94">
            <v>2.9299534861815899</v>
          </cell>
          <cell r="N94">
            <v>3.6168916836276499</v>
          </cell>
          <cell r="O94">
            <v>3.2780048984874202</v>
          </cell>
          <cell r="S94">
            <v>6.3671344380274002</v>
          </cell>
          <cell r="T94">
            <v>4.4075023682774104</v>
          </cell>
          <cell r="U94">
            <v>2.6627303006128802</v>
          </cell>
          <cell r="V94">
            <v>3.5297385838469499</v>
          </cell>
          <cell r="W94">
            <v>3.1945469554705301</v>
          </cell>
          <cell r="AA94">
            <v>7.2092589509883904</v>
          </cell>
          <cell r="AB94">
            <v>4.5341552306478299</v>
          </cell>
          <cell r="AC94">
            <v>3.0208339071371202</v>
          </cell>
          <cell r="AD94">
            <v>3.6855566660330701</v>
          </cell>
          <cell r="AE94">
            <v>3.5033127430026298</v>
          </cell>
          <cell r="AI94">
            <v>6.2880272766470897</v>
          </cell>
          <cell r="AJ94">
            <v>4.4058353514782702</v>
          </cell>
          <cell r="AK94">
            <v>2.7008764043200699</v>
          </cell>
          <cell r="AL94">
            <v>3.5338999681274901</v>
          </cell>
          <cell r="AM94">
            <v>3.1351899377347898</v>
          </cell>
        </row>
        <row r="95">
          <cell r="C95">
            <v>3.9952145642863601</v>
          </cell>
          <cell r="D95">
            <v>3.6066400608971398</v>
          </cell>
          <cell r="E95">
            <v>0.93530225503040698</v>
          </cell>
          <cell r="F95">
            <v>3.2785941908206699</v>
          </cell>
          <cell r="G95">
            <v>2.8856425924417599</v>
          </cell>
          <cell r="K95">
            <v>3.6091493664107701</v>
          </cell>
          <cell r="L95">
            <v>3.9023754801349302</v>
          </cell>
          <cell r="M95">
            <v>1.1566347534164301</v>
          </cell>
          <cell r="N95">
            <v>3.2039086456415902</v>
          </cell>
          <cell r="O95">
            <v>2.7962762798050602</v>
          </cell>
          <cell r="S95">
            <v>3.3751897172489298</v>
          </cell>
          <cell r="T95">
            <v>3.5740696627507602</v>
          </cell>
          <cell r="U95">
            <v>0.81426326611928701</v>
          </cell>
          <cell r="V95">
            <v>3.2493909051765599</v>
          </cell>
          <cell r="W95">
            <v>2.84326876066388</v>
          </cell>
          <cell r="AA95">
            <v>4.2209582518865796</v>
          </cell>
          <cell r="AB95">
            <v>3.8761308941297301</v>
          </cell>
          <cell r="AC95">
            <v>1.0890339594380101</v>
          </cell>
          <cell r="AD95">
            <v>3.3136245906742001</v>
          </cell>
          <cell r="AE95">
            <v>2.9414207261821899</v>
          </cell>
          <cell r="AI95">
            <v>3.2489813611296299</v>
          </cell>
          <cell r="AJ95">
            <v>3.4612914077294201</v>
          </cell>
          <cell r="AK95">
            <v>0.905966722727922</v>
          </cell>
          <cell r="AL95">
            <v>3.1307512340773802</v>
          </cell>
          <cell r="AM95">
            <v>2.7299035905981999</v>
          </cell>
        </row>
        <row r="96">
          <cell r="C96">
            <v>3.4474487744264701</v>
          </cell>
          <cell r="D96">
            <v>3.9990637440096499</v>
          </cell>
          <cell r="E96">
            <v>1.0204299006390301</v>
          </cell>
          <cell r="F96">
            <v>3.1086125823483002</v>
          </cell>
          <cell r="G96">
            <v>2.6425416110933502</v>
          </cell>
          <cell r="K96">
            <v>3.1852939611743198</v>
          </cell>
          <cell r="L96">
            <v>4.1761636549279801</v>
          </cell>
          <cell r="M96">
            <v>0.96759456032589697</v>
          </cell>
          <cell r="N96">
            <v>3.1656435932156999</v>
          </cell>
          <cell r="O96">
            <v>2.6655863964763702</v>
          </cell>
          <cell r="S96">
            <v>2.4639709164757102</v>
          </cell>
          <cell r="T96">
            <v>3.6816934227054001</v>
          </cell>
          <cell r="U96">
            <v>0.66449729874974395</v>
          </cell>
          <cell r="V96">
            <v>3.1184853668505799</v>
          </cell>
          <cell r="W96">
            <v>2.5425405460366801</v>
          </cell>
          <cell r="AA96">
            <v>2.50099944188177</v>
          </cell>
          <cell r="AB96">
            <v>3.9587117947386101</v>
          </cell>
          <cell r="AC96">
            <v>0.686589321758169</v>
          </cell>
          <cell r="AD96">
            <v>3.2729920915006798</v>
          </cell>
          <cell r="AE96">
            <v>2.7038840533970299</v>
          </cell>
          <cell r="AI96">
            <v>3.0344372426408501</v>
          </cell>
          <cell r="AJ96">
            <v>3.8622271877155399</v>
          </cell>
          <cell r="AK96">
            <v>0.83955090341358496</v>
          </cell>
          <cell r="AL96">
            <v>3.0332190364231599</v>
          </cell>
          <cell r="AM96">
            <v>2.5775704910539399</v>
          </cell>
        </row>
        <row r="97">
          <cell r="C97">
            <v>0.48818231667046802</v>
          </cell>
          <cell r="D97">
            <v>3.6837969400167099</v>
          </cell>
          <cell r="E97">
            <v>0.53463228169903798</v>
          </cell>
          <cell r="F97">
            <v>3.0993903251214601</v>
          </cell>
          <cell r="G97">
            <v>2.6563277899616602</v>
          </cell>
          <cell r="K97">
            <v>0.70392610703075398</v>
          </cell>
          <cell r="L97">
            <v>3.5587406111474</v>
          </cell>
          <cell r="M97">
            <v>0.53171914792914399</v>
          </cell>
          <cell r="N97">
            <v>3.0830054520231198</v>
          </cell>
          <cell r="O97">
            <v>2.6339185023509</v>
          </cell>
          <cell r="S97">
            <v>0.32508885476809501</v>
          </cell>
          <cell r="T97">
            <v>3.4595945405983199</v>
          </cell>
          <cell r="U97">
            <v>0.369542350485904</v>
          </cell>
          <cell r="V97">
            <v>3.0776316544995699</v>
          </cell>
          <cell r="W97">
            <v>2.5998334147167199</v>
          </cell>
          <cell r="AA97">
            <v>3.9406018343260699E-2</v>
          </cell>
          <cell r="AB97">
            <v>3.67650346154345</v>
          </cell>
          <cell r="AC97">
            <v>0.20133410021895101</v>
          </cell>
          <cell r="AD97">
            <v>3.06371916398713</v>
          </cell>
          <cell r="AE97">
            <v>2.46709455554871</v>
          </cell>
          <cell r="AI97">
            <v>0.85835749516454896</v>
          </cell>
          <cell r="AJ97">
            <v>3.6937007963855102</v>
          </cell>
          <cell r="AK97">
            <v>0.57928958149012399</v>
          </cell>
          <cell r="AL97">
            <v>3.1972618361894498</v>
          </cell>
          <cell r="AM97">
            <v>2.7902161321692698</v>
          </cell>
        </row>
        <row r="98">
          <cell r="C98">
            <v>7.9922602184979397</v>
          </cell>
          <cell r="D98">
            <v>6.0627374865337798</v>
          </cell>
          <cell r="E98">
            <v>2.45540848037427</v>
          </cell>
          <cell r="F98">
            <v>3.5415747982004402</v>
          </cell>
          <cell r="G98">
            <v>3.6667659285602801</v>
          </cell>
          <cell r="K98">
            <v>8.4454016504701102</v>
          </cell>
          <cell r="L98">
            <v>6.8627715091063104</v>
          </cell>
          <cell r="M98">
            <v>2.7576919941437801</v>
          </cell>
          <cell r="N98">
            <v>3.6530190978589299</v>
          </cell>
          <cell r="O98">
            <v>3.7350558669475999</v>
          </cell>
          <cell r="S98">
            <v>7.8690318582969496</v>
          </cell>
          <cell r="T98">
            <v>6.05135876846985</v>
          </cell>
          <cell r="U98">
            <v>2.6191508653714299</v>
          </cell>
          <cell r="V98">
            <v>3.5873926531174698</v>
          </cell>
          <cell r="W98">
            <v>3.6484775582745899</v>
          </cell>
          <cell r="AA98">
            <v>7.4655417970881803</v>
          </cell>
          <cell r="AB98">
            <v>5.5826453457392802</v>
          </cell>
          <cell r="AC98">
            <v>2.6163521193875998</v>
          </cell>
          <cell r="AD98">
            <v>3.5691649183440801</v>
          </cell>
          <cell r="AE98">
            <v>3.5456845376630999</v>
          </cell>
          <cell r="AI98">
            <v>7.9340609754267204</v>
          </cell>
          <cell r="AJ98">
            <v>6.0317313119220399</v>
          </cell>
          <cell r="AK98">
            <v>2.5410707481462902</v>
          </cell>
          <cell r="AL98">
            <v>3.57278458921401</v>
          </cell>
          <cell r="AM98">
            <v>3.6697994926292599</v>
          </cell>
        </row>
        <row r="99">
          <cell r="C99">
            <v>0.73494573531713603</v>
          </cell>
          <cell r="D99">
            <v>1.9828904175258599</v>
          </cell>
          <cell r="E99">
            <v>0.45569539776917301</v>
          </cell>
          <cell r="F99">
            <v>1.9904169923264099</v>
          </cell>
          <cell r="G99">
            <v>1.63333992906134</v>
          </cell>
          <cell r="K99">
            <v>0.70610681263134401</v>
          </cell>
          <cell r="L99">
            <v>1.9052636103576801</v>
          </cell>
          <cell r="M99">
            <v>0.39572345926027702</v>
          </cell>
          <cell r="N99">
            <v>2.1086948671829102</v>
          </cell>
          <cell r="O99">
            <v>1.6751158263764701</v>
          </cell>
          <cell r="S99">
            <v>0.56249770822493295</v>
          </cell>
          <cell r="T99">
            <v>1.97218289701879</v>
          </cell>
          <cell r="U99">
            <v>0.439826973292823</v>
          </cell>
          <cell r="V99">
            <v>2.15650315718417</v>
          </cell>
          <cell r="W99">
            <v>1.72004473664303</v>
          </cell>
          <cell r="AA99">
            <v>0.70355479054754</v>
          </cell>
          <cell r="AB99">
            <v>2.9264452554935798</v>
          </cell>
          <cell r="AC99">
            <v>0.63301098633485398</v>
          </cell>
          <cell r="AD99">
            <v>2.6818414898013798</v>
          </cell>
          <cell r="AE99">
            <v>1.8343303599455101</v>
          </cell>
          <cell r="AI99">
            <v>0.68647407767280599</v>
          </cell>
          <cell r="AJ99">
            <v>1.6968726992006999</v>
          </cell>
          <cell r="AK99">
            <v>0.36150026820259001</v>
          </cell>
          <cell r="AL99">
            <v>1.96895944632058</v>
          </cell>
          <cell r="AM99">
            <v>1.60978894227035</v>
          </cell>
        </row>
        <row r="100">
          <cell r="C100">
            <v>7.0073665476234002</v>
          </cell>
          <cell r="D100">
            <v>5.3202059689354497</v>
          </cell>
          <cell r="E100">
            <v>3.3796100455347302</v>
          </cell>
          <cell r="F100">
            <v>4.1106644322485302</v>
          </cell>
          <cell r="G100">
            <v>3.5745449237132498</v>
          </cell>
          <cell r="K100">
            <v>8.5951157060890395</v>
          </cell>
          <cell r="L100">
            <v>6.5962179230087301</v>
          </cell>
          <cell r="M100">
            <v>4.3553616271913098</v>
          </cell>
          <cell r="N100">
            <v>4.5959520172365096</v>
          </cell>
          <cell r="O100">
            <v>4.3265305034110701</v>
          </cell>
          <cell r="S100">
            <v>6.8742820954059702</v>
          </cell>
          <cell r="T100">
            <v>5.06453469466791</v>
          </cell>
          <cell r="U100">
            <v>3.2843731966531702</v>
          </cell>
          <cell r="V100">
            <v>4.04078436397291</v>
          </cell>
          <cell r="W100">
            <v>3.4470878039375301</v>
          </cell>
          <cell r="AA100">
            <v>7.5695564132913304</v>
          </cell>
          <cell r="AB100">
            <v>4.9332627899201604</v>
          </cell>
          <cell r="AC100">
            <v>3.47722428098611</v>
          </cell>
          <cell r="AD100">
            <v>4.2005640144317899</v>
          </cell>
          <cell r="AE100">
            <v>3.5964701996949802</v>
          </cell>
          <cell r="AI100">
            <v>8.2402101772230392</v>
          </cell>
          <cell r="AJ100">
            <v>6.2923793500462999</v>
          </cell>
          <cell r="AK100">
            <v>4.1260712568020699</v>
          </cell>
          <cell r="AL100">
            <v>4.5112481415100598</v>
          </cell>
          <cell r="AM100">
            <v>4.1399728145668799</v>
          </cell>
        </row>
        <row r="101">
          <cell r="C101">
            <v>8.8425087790147199</v>
          </cell>
          <cell r="D101">
            <v>5.9976540086246697</v>
          </cell>
          <cell r="E101">
            <v>4.1900562093008604</v>
          </cell>
          <cell r="F101">
            <v>4.5308472855444002</v>
          </cell>
          <cell r="G101">
            <v>4.4447356913953602</v>
          </cell>
          <cell r="K101">
            <v>9.2498980351591094</v>
          </cell>
          <cell r="L101">
            <v>6.5406719722970603</v>
          </cell>
          <cell r="M101">
            <v>4.4816004061313404</v>
          </cell>
          <cell r="N101">
            <v>4.6855208974425402</v>
          </cell>
          <cell r="O101">
            <v>4.6851463208769601</v>
          </cell>
          <cell r="S101">
            <v>8.3425323212510794</v>
          </cell>
          <cell r="T101">
            <v>5.6325054913913704</v>
          </cell>
          <cell r="U101">
            <v>3.85245097955135</v>
          </cell>
          <cell r="V101">
            <v>4.4630469750581296</v>
          </cell>
          <cell r="W101">
            <v>3.9825522161286799</v>
          </cell>
          <cell r="AA101">
            <v>8.7242338343784596</v>
          </cell>
          <cell r="AB101">
            <v>5.5144070753026897</v>
          </cell>
          <cell r="AC101">
            <v>3.9102845985695298</v>
          </cell>
          <cell r="AD101">
            <v>4.6002477236692103</v>
          </cell>
          <cell r="AE101">
            <v>3.9544767645058498</v>
          </cell>
          <cell r="AI101">
            <v>7.8750530991581904</v>
          </cell>
          <cell r="AJ101">
            <v>5.3857100138080396</v>
          </cell>
          <cell r="AK101">
            <v>3.61685787322571</v>
          </cell>
          <cell r="AL101">
            <v>4.0902644682395399</v>
          </cell>
          <cell r="AM101">
            <v>4.0756023797515297</v>
          </cell>
        </row>
        <row r="102">
          <cell r="C102">
            <v>6.8587222153357903</v>
          </cell>
          <cell r="D102">
            <v>4.8929011848093298</v>
          </cell>
          <cell r="E102">
            <v>2.13931326388263</v>
          </cell>
          <cell r="F102">
            <v>2.6467932410782802</v>
          </cell>
          <cell r="G102">
            <v>3.4599516184391401</v>
          </cell>
          <cell r="K102">
            <v>8.4791561385614198</v>
          </cell>
          <cell r="L102">
            <v>6.8816296367055196</v>
          </cell>
          <cell r="M102">
            <v>2.02747248806733</v>
          </cell>
          <cell r="N102">
            <v>2.8939894344117998</v>
          </cell>
          <cell r="O102">
            <v>3.6071373864611802</v>
          </cell>
          <cell r="S102">
            <v>7.16607395688591</v>
          </cell>
          <cell r="T102">
            <v>5.2444338836701503</v>
          </cell>
          <cell r="U102">
            <v>2.1994278839318402</v>
          </cell>
          <cell r="V102">
            <v>2.6623783970931498</v>
          </cell>
          <cell r="W102">
            <v>3.4894757702607699</v>
          </cell>
          <cell r="AA102">
            <v>6.5796229567696098</v>
          </cell>
          <cell r="AB102">
            <v>4.5617448791666497</v>
          </cell>
          <cell r="AC102">
            <v>2.32930622724508</v>
          </cell>
          <cell r="AD102">
            <v>2.6206066235271899</v>
          </cell>
          <cell r="AE102">
            <v>3.33527309457252</v>
          </cell>
          <cell r="AI102">
            <v>7.65399644765475</v>
          </cell>
          <cell r="AJ102">
            <v>5.6376722051785704</v>
          </cell>
          <cell r="AK102">
            <v>1.9452320919782999</v>
          </cell>
          <cell r="AL102">
            <v>2.7511467627415902</v>
          </cell>
          <cell r="AM102">
            <v>3.5769249081915402</v>
          </cell>
        </row>
        <row r="103">
          <cell r="C103">
            <v>3.8047796074955098</v>
          </cell>
          <cell r="D103">
            <v>2.4726760188438499</v>
          </cell>
          <cell r="E103">
            <v>2.6435458221455601</v>
          </cell>
          <cell r="F103">
            <v>3.1471311447358401</v>
          </cell>
          <cell r="G103">
            <v>1.9521095939259201</v>
          </cell>
          <cell r="K103">
            <v>5.0404897351907998</v>
          </cell>
          <cell r="L103">
            <v>2.9039784118942999</v>
          </cell>
          <cell r="M103">
            <v>2.98422561404956</v>
          </cell>
          <cell r="N103">
            <v>2.8899758728057301</v>
          </cell>
          <cell r="O103">
            <v>1.96615890598831</v>
          </cell>
          <cell r="S103">
            <v>5.0749680558105803</v>
          </cell>
          <cell r="T103">
            <v>2.8160568453708201</v>
          </cell>
          <cell r="U103">
            <v>3.0288746399074702</v>
          </cell>
          <cell r="V103">
            <v>2.79024928242921</v>
          </cell>
          <cell r="W103">
            <v>2.04577236927893</v>
          </cell>
          <cell r="AA103">
            <v>6.24095465881694</v>
          </cell>
          <cell r="AB103">
            <v>3.54617925835722</v>
          </cell>
          <cell r="AC103">
            <v>3.0563756824730102</v>
          </cell>
          <cell r="AD103">
            <v>2.5232553250749299</v>
          </cell>
          <cell r="AE103">
            <v>2.1990965729016998</v>
          </cell>
          <cell r="AI103">
            <v>3.7689197800544298</v>
          </cell>
          <cell r="AJ103">
            <v>2.5986250591672699</v>
          </cell>
          <cell r="AK103">
            <v>2.3966796641039601</v>
          </cell>
          <cell r="AL103">
            <v>3.1323371827276598</v>
          </cell>
          <cell r="AM103">
            <v>2.0175298367220398</v>
          </cell>
        </row>
        <row r="104">
          <cell r="C104">
            <v>6.2521000664756601</v>
          </cell>
          <cell r="D104">
            <v>3.5081982612384501</v>
          </cell>
          <cell r="E104">
            <v>2.9983895602028001</v>
          </cell>
          <cell r="F104">
            <v>2.34697150681651</v>
          </cell>
          <cell r="G104">
            <v>2.3353308157234798</v>
          </cell>
          <cell r="K104">
            <v>6.9957213771867899</v>
          </cell>
          <cell r="L104">
            <v>4.8037779840900496</v>
          </cell>
          <cell r="M104">
            <v>3.0810385244888101</v>
          </cell>
          <cell r="N104">
            <v>2.4193914985161999</v>
          </cell>
          <cell r="O104">
            <v>2.5407942279102902</v>
          </cell>
          <cell r="S104">
            <v>6.5252925953921297</v>
          </cell>
          <cell r="T104">
            <v>4.16117233101963</v>
          </cell>
          <cell r="U104">
            <v>2.9211741243237301</v>
          </cell>
          <cell r="V104">
            <v>2.4168954037261701</v>
          </cell>
          <cell r="W104">
            <v>2.5088958534585002</v>
          </cell>
          <cell r="AA104">
            <v>6.6435842174668496</v>
          </cell>
          <cell r="AB104">
            <v>4.2510072209471703</v>
          </cell>
          <cell r="AC104">
            <v>2.9119701436382401</v>
          </cell>
          <cell r="AD104">
            <v>2.3961766626165502</v>
          </cell>
          <cell r="AE104">
            <v>2.5352476576774299</v>
          </cell>
          <cell r="AI104">
            <v>6.16694768408074</v>
          </cell>
          <cell r="AJ104">
            <v>3.4195115603491399</v>
          </cell>
          <cell r="AK104">
            <v>2.9226912794872999</v>
          </cell>
          <cell r="AL104">
            <v>2.37658770815779</v>
          </cell>
          <cell r="AM104">
            <v>2.3480714219060101</v>
          </cell>
        </row>
        <row r="125">
          <cell r="C125">
            <v>0.62263815593669969</v>
          </cell>
          <cell r="D125">
            <v>0.23571175244984161</v>
          </cell>
          <cell r="E125">
            <v>0.25675072669497201</v>
          </cell>
          <cell r="F125">
            <v>0.10710924525895221</v>
          </cell>
          <cell r="G125">
            <v>0.26924038082472418</v>
          </cell>
        </row>
        <row r="126">
          <cell r="C126">
            <v>0.41085652089590147</v>
          </cell>
          <cell r="D126">
            <v>0.19510922299299996</v>
          </cell>
          <cell r="E126">
            <v>0.13967411309209735</v>
          </cell>
          <cell r="F126">
            <v>7.0928719564540096E-2</v>
          </cell>
          <cell r="G126">
            <v>8.1256760506846035E-2</v>
          </cell>
        </row>
        <row r="127">
          <cell r="C127">
            <v>0.43156582402847354</v>
          </cell>
          <cell r="D127">
            <v>0.18185488003974579</v>
          </cell>
          <cell r="E127">
            <v>0.16053075618403384</v>
          </cell>
          <cell r="F127">
            <v>8.8309816135648658E-2</v>
          </cell>
          <cell r="G127">
            <v>6.5606077730342952E-2</v>
          </cell>
        </row>
        <row r="128">
          <cell r="C128">
            <v>0.32071794477122695</v>
          </cell>
          <cell r="D128">
            <v>0.10249886185773589</v>
          </cell>
          <cell r="E128">
            <v>0.15703533450504176</v>
          </cell>
          <cell r="F128">
            <v>5.3566365949272464E-2</v>
          </cell>
          <cell r="G128">
            <v>0.11600060439910533</v>
          </cell>
        </row>
        <row r="129">
          <cell r="C129">
            <v>0.34940533947460217</v>
          </cell>
          <cell r="D129">
            <v>0.46266245324619454</v>
          </cell>
          <cell r="E129">
            <v>0.11164559143023925</v>
          </cell>
          <cell r="F129">
            <v>4.1586687444666655E-2</v>
          </cell>
          <cell r="G129">
            <v>6.8450396711542391E-2</v>
          </cell>
        </row>
        <row r="130">
          <cell r="C130">
            <v>6.726047200704828E-2</v>
          </cell>
          <cell r="D130">
            <v>0.47787134146077503</v>
          </cell>
          <cell r="E130">
            <v>0.10506114972569754</v>
          </cell>
          <cell r="F130">
            <v>0.2906686273405748</v>
          </cell>
          <cell r="G130">
            <v>8.8737427318582932E-2</v>
          </cell>
        </row>
        <row r="131">
          <cell r="C131">
            <v>0.75208244919482059</v>
          </cell>
          <cell r="D131">
            <v>0.75379852128877756</v>
          </cell>
          <cell r="E131">
            <v>0.48297303960428623</v>
          </cell>
          <cell r="F131">
            <v>0.24739082229712905</v>
          </cell>
          <cell r="G131">
            <v>0.38993128608851929</v>
          </cell>
        </row>
        <row r="132">
          <cell r="C132">
            <v>0.52158780169029195</v>
          </cell>
          <cell r="D132">
            <v>0.46580823836326168</v>
          </cell>
          <cell r="E132">
            <v>0.33322381968019299</v>
          </cell>
          <cell r="F132">
            <v>0.22982826071633136</v>
          </cell>
          <cell r="G132">
            <v>0.32180757636647905</v>
          </cell>
        </row>
        <row r="133">
          <cell r="C133">
            <v>0.74766970862166882</v>
          </cell>
          <cell r="D133">
            <v>0.89808101093386461</v>
          </cell>
          <cell r="E133">
            <v>0.14938532846385208</v>
          </cell>
          <cell r="F133">
            <v>0.11143956792957863</v>
          </cell>
          <cell r="G133">
            <v>0.10729666108316317</v>
          </cell>
        </row>
        <row r="134">
          <cell r="C134">
            <v>1.0322797890808528</v>
          </cell>
          <cell r="D134">
            <v>0.41616172285302822</v>
          </cell>
          <cell r="E134">
            <v>0.29016783544874192</v>
          </cell>
          <cell r="F134">
            <v>0.25936387265900673</v>
          </cell>
          <cell r="G134">
            <v>9.8681847136311757E-2</v>
          </cell>
        </row>
        <row r="135">
          <cell r="C135">
            <v>0.33089829260360182</v>
          </cell>
          <cell r="D135">
            <v>0.57222109141669497</v>
          </cell>
          <cell r="E135">
            <v>7.2597579751487673E-2</v>
          </cell>
          <cell r="F135">
            <v>3.0205380772382776E-2</v>
          </cell>
          <cell r="G135">
            <v>0.1030177926645819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L16" sqref="L16"/>
    </sheetView>
  </sheetViews>
  <sheetFormatPr defaultRowHeight="15" x14ac:dyDescent="0.25"/>
  <cols>
    <col min="1" max="1" width="14.42578125" bestFit="1" customWidth="1"/>
  </cols>
  <sheetData>
    <row r="1" spans="1:6" x14ac:dyDescent="0.25">
      <c r="A1" s="28" t="s">
        <v>36</v>
      </c>
      <c r="B1" s="4" t="s">
        <v>13</v>
      </c>
      <c r="C1" s="5" t="s">
        <v>18</v>
      </c>
      <c r="D1" s="5" t="s">
        <v>15</v>
      </c>
      <c r="E1" s="5" t="s">
        <v>16</v>
      </c>
      <c r="F1" s="6" t="s">
        <v>17</v>
      </c>
    </row>
    <row r="2" spans="1:6" x14ac:dyDescent="0.25">
      <c r="A2" s="4" t="s">
        <v>0</v>
      </c>
      <c r="B2" s="7">
        <v>0.88679789892269911</v>
      </c>
      <c r="C2" s="8">
        <v>0.45697657748270093</v>
      </c>
      <c r="D2" s="8">
        <v>0.60859295555473159</v>
      </c>
      <c r="E2" s="8">
        <v>0.67850556305838683</v>
      </c>
      <c r="F2" s="9">
        <v>0.28740832289950985</v>
      </c>
    </row>
    <row r="3" spans="1:6" x14ac:dyDescent="0.25">
      <c r="A3" s="10" t="s">
        <v>1</v>
      </c>
      <c r="B3" s="11">
        <v>-5.2241719495936629E-3</v>
      </c>
      <c r="C3" s="12">
        <v>-3.5831723603165784E-2</v>
      </c>
      <c r="D3" s="12">
        <v>-2.879387102232971E-3</v>
      </c>
      <c r="E3" s="12">
        <v>-9.3578367789815153E-2</v>
      </c>
      <c r="F3" s="13">
        <v>-1.6919224143467283E-2</v>
      </c>
    </row>
    <row r="4" spans="1:6" x14ac:dyDescent="0.25">
      <c r="A4" s="10" t="s">
        <v>2</v>
      </c>
      <c r="B4" s="11">
        <v>0.88792640151305491</v>
      </c>
      <c r="C4" s="12">
        <v>0.9063440272900295</v>
      </c>
      <c r="D4" s="12">
        <v>0.76337219994087524</v>
      </c>
      <c r="E4" s="12">
        <v>0.61382324174733005</v>
      </c>
      <c r="F4" s="13">
        <v>0.91918506284372892</v>
      </c>
    </row>
    <row r="5" spans="1:6" x14ac:dyDescent="0.25">
      <c r="A5" s="14" t="s">
        <v>3</v>
      </c>
      <c r="B5" s="15">
        <v>0.8752333789739295</v>
      </c>
      <c r="C5" s="16">
        <v>0.82667043784653804</v>
      </c>
      <c r="D5" s="16">
        <v>0.70239112153891714</v>
      </c>
      <c r="E5" s="16">
        <v>0.56198313177310555</v>
      </c>
      <c r="F5" s="17">
        <v>0.82955208272595182</v>
      </c>
    </row>
    <row r="6" spans="1:6" x14ac:dyDescent="0.25">
      <c r="A6" s="18" t="s">
        <v>4</v>
      </c>
      <c r="B6" s="19">
        <v>187</v>
      </c>
      <c r="C6" s="20">
        <v>188</v>
      </c>
      <c r="D6" s="20">
        <v>184</v>
      </c>
      <c r="E6" s="20">
        <v>174</v>
      </c>
      <c r="F6" s="21">
        <v>190</v>
      </c>
    </row>
    <row r="7" spans="1:6" x14ac:dyDescent="0.25">
      <c r="A7" s="18" t="s">
        <v>5</v>
      </c>
      <c r="B7" s="19">
        <v>0.67</v>
      </c>
      <c r="C7" s="20">
        <v>0.92</v>
      </c>
      <c r="D7" s="20">
        <v>0.17</v>
      </c>
      <c r="E7" s="20">
        <v>1.1100000000000001</v>
      </c>
      <c r="F7" s="21">
        <v>0.84</v>
      </c>
    </row>
    <row r="8" spans="1:6" x14ac:dyDescent="0.25">
      <c r="A8" s="18" t="s">
        <v>6</v>
      </c>
      <c r="B8" s="19">
        <v>15</v>
      </c>
      <c r="C8" s="20">
        <v>9.1199999999999992</v>
      </c>
      <c r="D8" s="20">
        <v>5.71</v>
      </c>
      <c r="E8" s="20">
        <v>6.9</v>
      </c>
      <c r="F8" s="21">
        <v>5.9</v>
      </c>
    </row>
    <row r="9" spans="1:6" x14ac:dyDescent="0.25">
      <c r="A9" s="18" t="s">
        <v>7</v>
      </c>
      <c r="B9" s="11">
        <v>4.6432419354838697</v>
      </c>
      <c r="C9" s="12">
        <v>3.8057112299465228</v>
      </c>
      <c r="D9" s="12">
        <v>2.0216721311475419</v>
      </c>
      <c r="E9" s="12">
        <v>3.2543294797687881</v>
      </c>
      <c r="F9" s="13">
        <v>2.7675714285714288</v>
      </c>
    </row>
    <row r="10" spans="1:6" x14ac:dyDescent="0.25">
      <c r="A10" s="18" t="s">
        <v>8</v>
      </c>
      <c r="B10" s="11">
        <v>2.6539014361959157</v>
      </c>
      <c r="C10" s="12">
        <v>1.4397631271845059</v>
      </c>
      <c r="D10" s="12">
        <v>1.2418068817138213</v>
      </c>
      <c r="E10" s="12">
        <v>1.0784523315889269</v>
      </c>
      <c r="F10" s="13">
        <v>0.96128394383173354</v>
      </c>
    </row>
    <row r="11" spans="1:6" x14ac:dyDescent="0.25">
      <c r="A11" s="4" t="s">
        <v>19</v>
      </c>
      <c r="B11" s="22" t="s">
        <v>20</v>
      </c>
      <c r="C11" s="23" t="s">
        <v>20</v>
      </c>
      <c r="D11" s="23" t="s">
        <v>20</v>
      </c>
      <c r="E11" s="23" t="s">
        <v>20</v>
      </c>
      <c r="F11" s="24" t="s">
        <v>20</v>
      </c>
    </row>
    <row r="12" spans="1:6" x14ac:dyDescent="0.25">
      <c r="A12" s="10" t="s">
        <v>25</v>
      </c>
      <c r="B12" s="19" t="s">
        <v>21</v>
      </c>
      <c r="C12" s="20" t="s">
        <v>22</v>
      </c>
      <c r="D12" s="20" t="s">
        <v>22</v>
      </c>
      <c r="E12" s="20" t="s">
        <v>21</v>
      </c>
      <c r="F12" s="21" t="s">
        <v>22</v>
      </c>
    </row>
    <row r="13" spans="1:6" x14ac:dyDescent="0.25">
      <c r="A13" s="10" t="s">
        <v>24</v>
      </c>
      <c r="B13" s="19" t="s">
        <v>21</v>
      </c>
      <c r="C13" s="20">
        <v>7</v>
      </c>
      <c r="D13" s="20">
        <v>7</v>
      </c>
      <c r="E13" s="20" t="s">
        <v>21</v>
      </c>
      <c r="F13" s="21">
        <v>7</v>
      </c>
    </row>
    <row r="14" spans="1:6" x14ac:dyDescent="0.25">
      <c r="A14" s="14" t="s">
        <v>23</v>
      </c>
      <c r="B14" s="25">
        <v>10</v>
      </c>
      <c r="C14" s="26">
        <v>10</v>
      </c>
      <c r="D14" s="26">
        <v>10</v>
      </c>
      <c r="E14" s="26">
        <v>10</v>
      </c>
      <c r="F14" s="27">
        <v>10</v>
      </c>
    </row>
    <row r="18" spans="1:6" x14ac:dyDescent="0.25">
      <c r="A18" s="28" t="s">
        <v>37</v>
      </c>
      <c r="B18" s="4" t="s">
        <v>13</v>
      </c>
      <c r="C18" s="5" t="s">
        <v>18</v>
      </c>
      <c r="D18" s="5" t="s">
        <v>15</v>
      </c>
      <c r="E18" s="5" t="s">
        <v>16</v>
      </c>
      <c r="F18" s="6" t="s">
        <v>17</v>
      </c>
    </row>
    <row r="19" spans="1:6" x14ac:dyDescent="0.25">
      <c r="A19" s="4" t="s">
        <v>0</v>
      </c>
      <c r="B19" s="7">
        <v>0.58488300000000004</v>
      </c>
      <c r="C19" s="8">
        <v>0.44295200000000001</v>
      </c>
      <c r="D19" s="8">
        <v>0.17957400000000001</v>
      </c>
      <c r="E19" s="8">
        <v>1.20374</v>
      </c>
      <c r="F19" s="9">
        <v>0.77901699999999996</v>
      </c>
    </row>
    <row r="20" spans="1:6" x14ac:dyDescent="0.25">
      <c r="A20" s="10" t="s">
        <v>29</v>
      </c>
      <c r="B20" s="11">
        <v>-0.43513600000000002</v>
      </c>
      <c r="C20" s="12">
        <v>0.41582400000000003</v>
      </c>
      <c r="D20" s="12">
        <v>-9.0123600000000005E-3</v>
      </c>
      <c r="E20" s="12">
        <v>-0.77309000000000005</v>
      </c>
      <c r="F20" s="13">
        <v>0.76223700000000005</v>
      </c>
    </row>
    <row r="21" spans="1:6" x14ac:dyDescent="0.25">
      <c r="A21" s="10" t="s">
        <v>30</v>
      </c>
      <c r="B21" s="11">
        <v>0.39082499999999998</v>
      </c>
      <c r="C21" s="12">
        <v>0.15263499999999999</v>
      </c>
      <c r="D21" s="12">
        <v>0.17934800000000001</v>
      </c>
      <c r="E21" s="12">
        <v>0.92267299999999997</v>
      </c>
      <c r="F21" s="13">
        <v>0.16081699999999999</v>
      </c>
    </row>
    <row r="22" spans="1:6" x14ac:dyDescent="0.25">
      <c r="A22" s="14" t="s">
        <v>2</v>
      </c>
      <c r="B22" s="15">
        <v>0.97959700000000005</v>
      </c>
      <c r="C22" s="16">
        <v>0.89390400000000003</v>
      </c>
      <c r="D22" s="16">
        <v>0.89742299999999997</v>
      </c>
      <c r="E22" s="16">
        <v>0.107279</v>
      </c>
      <c r="F22" s="17">
        <v>0.14489099999999999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3"/>
  <sheetViews>
    <sheetView zoomScale="70" zoomScaleNormal="70" workbookViewId="0">
      <selection activeCell="R20" sqref="R20"/>
    </sheetView>
  </sheetViews>
  <sheetFormatPr defaultRowHeight="15" x14ac:dyDescent="0.25"/>
  <sheetData>
    <row r="1" spans="1:31" x14ac:dyDescent="0.25">
      <c r="A1" s="1" t="s">
        <v>13</v>
      </c>
      <c r="B1" s="1"/>
      <c r="C1" s="1"/>
      <c r="D1" s="1"/>
      <c r="F1" s="1" t="s">
        <v>14</v>
      </c>
      <c r="G1" s="1"/>
      <c r="H1" s="1"/>
      <c r="I1" s="1"/>
      <c r="K1" s="1" t="s">
        <v>15</v>
      </c>
      <c r="L1" s="1"/>
      <c r="M1" s="1"/>
      <c r="N1" s="1"/>
      <c r="P1" s="1" t="s">
        <v>16</v>
      </c>
      <c r="Q1" s="1"/>
      <c r="R1" s="1"/>
      <c r="S1" s="1"/>
      <c r="U1" s="1" t="s">
        <v>17</v>
      </c>
      <c r="V1" s="1"/>
      <c r="W1" s="1"/>
      <c r="X1" s="1"/>
    </row>
    <row r="3" spans="1:31" x14ac:dyDescent="0.25">
      <c r="A3" s="2" t="s">
        <v>0</v>
      </c>
      <c r="B3">
        <f>SQRT(SUMSQ(D15:D1048576)/COUNTA(D15:D1048576))</f>
        <v>0.88679789892269911</v>
      </c>
      <c r="F3" s="2" t="s">
        <v>0</v>
      </c>
      <c r="G3">
        <f>SQRT(SUMSQ(I15:I1048576)/COUNTA(I15:I1048576))</f>
        <v>0.45697657748270093</v>
      </c>
      <c r="K3" s="2" t="s">
        <v>0</v>
      </c>
      <c r="L3">
        <f>SQRT(SUMSQ(N15:N1048576)/COUNTA(N15:N1048576))</f>
        <v>0.60859295555473159</v>
      </c>
      <c r="P3" s="2" t="s">
        <v>0</v>
      </c>
      <c r="Q3">
        <f>SQRT(SUMSQ(S15:S1048576)/COUNTA(S15:S1048576))</f>
        <v>0.67850556305838683</v>
      </c>
      <c r="U3" s="2" t="s">
        <v>0</v>
      </c>
      <c r="V3">
        <f>SQRT(SUMSQ(X15:X1048576)/COUNTA(X15:X1048576))</f>
        <v>0.28740832289950985</v>
      </c>
    </row>
    <row r="4" spans="1:31" x14ac:dyDescent="0.25">
      <c r="A4" s="2" t="s">
        <v>1</v>
      </c>
      <c r="B4">
        <f>AVERAGE(D15:D1048576)</f>
        <v>-5.2241719495936629E-3</v>
      </c>
      <c r="F4" s="2" t="s">
        <v>1</v>
      </c>
      <c r="G4">
        <f>AVERAGE(I15:I1048576)</f>
        <v>-3.5831723603165784E-2</v>
      </c>
      <c r="K4" s="2" t="s">
        <v>1</v>
      </c>
      <c r="L4">
        <f>AVERAGE(N15:N1048576)</f>
        <v>-2.879387102232971E-3</v>
      </c>
      <c r="P4" s="2" t="s">
        <v>1</v>
      </c>
      <c r="Q4">
        <f>AVERAGE(S15:S1048576)</f>
        <v>-9.3578367789815153E-2</v>
      </c>
      <c r="U4" s="2" t="s">
        <v>1</v>
      </c>
      <c r="V4">
        <f>AVERAGE(X15:X1048576)</f>
        <v>-1.6919224143467283E-2</v>
      </c>
    </row>
    <row r="5" spans="1:31" x14ac:dyDescent="0.25">
      <c r="A5" s="2" t="s">
        <v>2</v>
      </c>
      <c r="B5">
        <f>CORREL(B15:B1048576,C15:C1048576)^2</f>
        <v>0.88792640151305491</v>
      </c>
      <c r="F5" s="2" t="s">
        <v>2</v>
      </c>
      <c r="G5">
        <f>CORREL(G15:G1048576,H15:H1048576)^2</f>
        <v>0.9063440272900295</v>
      </c>
      <c r="K5" s="2" t="s">
        <v>2</v>
      </c>
      <c r="L5">
        <f>CORREL(L15:L1048576,M15:M1048576)^2</f>
        <v>0.76337219994087524</v>
      </c>
      <c r="P5" s="2" t="s">
        <v>2</v>
      </c>
      <c r="Q5">
        <f>CORREL(Q15:Q1048576,R15:R1048576)^2</f>
        <v>0.61382324174733005</v>
      </c>
      <c r="U5" s="2" t="s">
        <v>2</v>
      </c>
      <c r="V5">
        <f>CORREL(V15:V1048576,W15:W1048576)^2</f>
        <v>0.91918506284372892</v>
      </c>
    </row>
    <row r="6" spans="1:31" x14ac:dyDescent="0.25">
      <c r="A6" s="2" t="s">
        <v>3</v>
      </c>
      <c r="B6">
        <f>SLOPE(C15:C1048576,B15:B1048576)</f>
        <v>0.8752333789739295</v>
      </c>
      <c r="F6" s="2" t="s">
        <v>3</v>
      </c>
      <c r="G6">
        <f>SLOPE(H15:H1048576,G15:G1048576)</f>
        <v>0.82667043784653804</v>
      </c>
      <c r="K6" s="2" t="s">
        <v>3</v>
      </c>
      <c r="L6">
        <f>SLOPE(M15:M1048576,L15:L1048576)</f>
        <v>0.70239112153891714</v>
      </c>
      <c r="P6" s="2" t="s">
        <v>3</v>
      </c>
      <c r="Q6">
        <f>SLOPE(R15:R1048576,Q15:Q1048576)</f>
        <v>0.56198313177310555</v>
      </c>
      <c r="U6" s="2" t="s">
        <v>3</v>
      </c>
      <c r="V6">
        <f>SLOPE(W15:W1048576,V15:V1048576)</f>
        <v>0.82955208272595182</v>
      </c>
    </row>
    <row r="7" spans="1:31" x14ac:dyDescent="0.25">
      <c r="A7" s="2"/>
      <c r="F7" s="2"/>
      <c r="K7" s="2"/>
      <c r="P7" s="2"/>
      <c r="U7" s="2"/>
    </row>
    <row r="8" spans="1:31" x14ac:dyDescent="0.25">
      <c r="A8" s="2" t="s">
        <v>4</v>
      </c>
      <c r="B8">
        <f>COUNTA(B14:B1048576)</f>
        <v>187</v>
      </c>
      <c r="F8" s="2" t="s">
        <v>4</v>
      </c>
      <c r="G8">
        <f>COUNTA(G14:G1048576)</f>
        <v>188</v>
      </c>
      <c r="K8" s="2" t="s">
        <v>4</v>
      </c>
      <c r="L8">
        <f>COUNTA(L14:L1048576)</f>
        <v>184</v>
      </c>
      <c r="P8" s="2" t="s">
        <v>4</v>
      </c>
      <c r="Q8">
        <f>COUNTA(Q14:Q1048576)</f>
        <v>174</v>
      </c>
      <c r="U8" s="2" t="s">
        <v>4</v>
      </c>
      <c r="V8">
        <f>COUNTA(V14:V1048576)</f>
        <v>190</v>
      </c>
    </row>
    <row r="9" spans="1:31" x14ac:dyDescent="0.25">
      <c r="A9" s="2" t="s">
        <v>5</v>
      </c>
      <c r="B9">
        <f>MIN(B14:B1048576)</f>
        <v>0.67</v>
      </c>
      <c r="F9" s="2" t="s">
        <v>5</v>
      </c>
      <c r="G9">
        <f>MIN(G14:G1048576)</f>
        <v>0.92</v>
      </c>
      <c r="K9" s="2" t="s">
        <v>5</v>
      </c>
      <c r="L9">
        <f>MIN(L14:L1048576)</f>
        <v>0.17</v>
      </c>
      <c r="P9" s="2" t="s">
        <v>5</v>
      </c>
      <c r="Q9">
        <f>MIN(Q14:Q1048576)</f>
        <v>1.1100000000000001</v>
      </c>
      <c r="U9" s="2" t="s">
        <v>5</v>
      </c>
      <c r="V9">
        <f>MIN(V14:V1048576)</f>
        <v>0.84</v>
      </c>
    </row>
    <row r="10" spans="1:31" x14ac:dyDescent="0.25">
      <c r="A10" s="2" t="s">
        <v>6</v>
      </c>
      <c r="B10">
        <f>MAX(B14:B1048576)</f>
        <v>15</v>
      </c>
      <c r="F10" s="2" t="s">
        <v>6</v>
      </c>
      <c r="G10">
        <f>MAX(G14:G1048576)</f>
        <v>9.1199999999999992</v>
      </c>
      <c r="K10" s="2" t="s">
        <v>6</v>
      </c>
      <c r="L10">
        <f>MAX(L14:L1048576)</f>
        <v>5.71</v>
      </c>
      <c r="P10" s="2" t="s">
        <v>6</v>
      </c>
      <c r="Q10">
        <f>MAX(Q14:Q1048576)</f>
        <v>6.9</v>
      </c>
      <c r="U10" s="2" t="s">
        <v>6</v>
      </c>
      <c r="V10">
        <f>MAX(V14:V1048576)</f>
        <v>5.9</v>
      </c>
    </row>
    <row r="11" spans="1:31" x14ac:dyDescent="0.25">
      <c r="A11" s="2" t="s">
        <v>7</v>
      </c>
      <c r="B11">
        <f>AVERAGE(B14:B1048576)</f>
        <v>4.6432419354838697</v>
      </c>
      <c r="F11" s="2" t="s">
        <v>7</v>
      </c>
      <c r="G11">
        <f>AVERAGE(G14:G1048576)</f>
        <v>3.8057112299465228</v>
      </c>
      <c r="K11" s="2" t="s">
        <v>7</v>
      </c>
      <c r="L11">
        <f>AVERAGE(L14:L1048576)</f>
        <v>2.0216721311475419</v>
      </c>
      <c r="P11" s="2" t="s">
        <v>7</v>
      </c>
      <c r="Q11">
        <f>AVERAGE(Q14:Q1048576)</f>
        <v>3.2543294797687881</v>
      </c>
      <c r="U11" s="2" t="s">
        <v>7</v>
      </c>
      <c r="V11">
        <f>AVERAGE(V14:V1048576)</f>
        <v>2.7675714285714288</v>
      </c>
    </row>
    <row r="12" spans="1:31" x14ac:dyDescent="0.25">
      <c r="A12" s="2" t="s">
        <v>8</v>
      </c>
      <c r="B12">
        <f>STDEV(B14:B1048576)</f>
        <v>2.6539014361959157</v>
      </c>
      <c r="F12" s="2" t="s">
        <v>8</v>
      </c>
      <c r="G12">
        <f>STDEV(G14:G1048576)</f>
        <v>1.4397631271845059</v>
      </c>
      <c r="K12" s="2" t="s">
        <v>8</v>
      </c>
      <c r="L12">
        <f>STDEV(L14:L1048576)</f>
        <v>1.2418068817138213</v>
      </c>
      <c r="P12" s="2" t="s">
        <v>8</v>
      </c>
      <c r="Q12">
        <f>STDEV(Q14:Q1048576)</f>
        <v>1.0784523315889269</v>
      </c>
      <c r="U12" s="2" t="s">
        <v>8</v>
      </c>
      <c r="V12">
        <f>STDEV(V14:V1048576)</f>
        <v>0.96128394383173354</v>
      </c>
      <c r="AA12" s="2"/>
      <c r="AB12" s="2"/>
      <c r="AC12" s="2"/>
      <c r="AD12" s="2"/>
      <c r="AE12" s="2"/>
    </row>
    <row r="13" spans="1:31" x14ac:dyDescent="0.25">
      <c r="Z13" s="2"/>
    </row>
    <row r="14" spans="1:31" x14ac:dyDescent="0.25">
      <c r="A14" s="2" t="s">
        <v>9</v>
      </c>
      <c r="B14" s="2" t="s">
        <v>10</v>
      </c>
      <c r="C14" s="2" t="s">
        <v>11</v>
      </c>
      <c r="D14" s="2" t="s">
        <v>12</v>
      </c>
      <c r="F14" s="2" t="s">
        <v>9</v>
      </c>
      <c r="G14" s="2" t="s">
        <v>10</v>
      </c>
      <c r="H14" s="2" t="s">
        <v>11</v>
      </c>
      <c r="I14" s="2" t="s">
        <v>12</v>
      </c>
      <c r="K14" s="2" t="s">
        <v>9</v>
      </c>
      <c r="L14" s="2" t="s">
        <v>10</v>
      </c>
      <c r="M14" s="2" t="s">
        <v>11</v>
      </c>
      <c r="N14" s="2" t="s">
        <v>12</v>
      </c>
      <c r="P14" s="2" t="s">
        <v>9</v>
      </c>
      <c r="Q14" s="2" t="s">
        <v>10</v>
      </c>
      <c r="R14" s="2" t="s">
        <v>11</v>
      </c>
      <c r="S14" s="2" t="s">
        <v>12</v>
      </c>
      <c r="U14" s="2" t="s">
        <v>9</v>
      </c>
      <c r="V14" s="2" t="s">
        <v>10</v>
      </c>
      <c r="W14" s="2" t="s">
        <v>11</v>
      </c>
      <c r="X14" s="2" t="s">
        <v>12</v>
      </c>
      <c r="Z14" s="2"/>
    </row>
    <row r="15" spans="1:31" x14ac:dyDescent="0.25">
      <c r="A15">
        <v>8</v>
      </c>
      <c r="B15">
        <v>3.19</v>
      </c>
      <c r="C15">
        <v>3.9035552713284898</v>
      </c>
      <c r="D15">
        <f>B15-C15</f>
        <v>-0.71355527132848984</v>
      </c>
      <c r="F15">
        <v>9</v>
      </c>
      <c r="G15">
        <v>3.4</v>
      </c>
      <c r="H15">
        <v>4.2697152309615403</v>
      </c>
      <c r="I15">
        <f>G15-H15</f>
        <v>-0.86971523096154035</v>
      </c>
      <c r="K15">
        <v>8</v>
      </c>
      <c r="L15">
        <v>1.34</v>
      </c>
      <c r="M15">
        <v>1.47412029095802</v>
      </c>
      <c r="N15">
        <f>L15-M15</f>
        <v>-0.13412029095801992</v>
      </c>
      <c r="P15">
        <v>8</v>
      </c>
      <c r="Q15">
        <v>2.86</v>
      </c>
      <c r="R15">
        <v>3.07081033808086</v>
      </c>
      <c r="S15">
        <f>Q15-R15</f>
        <v>-0.21081033808086014</v>
      </c>
      <c r="U15">
        <v>8</v>
      </c>
      <c r="V15">
        <v>2.0699999999999998</v>
      </c>
      <c r="W15">
        <v>2.5503435494672502</v>
      </c>
      <c r="X15">
        <f>V15-W15</f>
        <v>-0.48034354946725033</v>
      </c>
      <c r="Z15" s="2"/>
    </row>
    <row r="16" spans="1:31" x14ac:dyDescent="0.25">
      <c r="A16">
        <v>9</v>
      </c>
      <c r="B16">
        <v>4.7699999999999996</v>
      </c>
      <c r="C16">
        <v>4.8712803608779298</v>
      </c>
      <c r="D16">
        <f>B16-C16</f>
        <v>-0.10128036087793024</v>
      </c>
      <c r="F16">
        <v>12</v>
      </c>
      <c r="G16">
        <v>4.74</v>
      </c>
      <c r="H16">
        <v>4.7215272809224196</v>
      </c>
      <c r="I16">
        <f>G16-H16</f>
        <v>1.8472719077580635E-2</v>
      </c>
      <c r="K16">
        <v>9</v>
      </c>
      <c r="L16">
        <v>2.46</v>
      </c>
      <c r="M16">
        <v>2.1878076712480699</v>
      </c>
      <c r="N16">
        <f>L16-M16</f>
        <v>0.27219232875193011</v>
      </c>
      <c r="P16">
        <v>9</v>
      </c>
      <c r="Q16">
        <v>2.54</v>
      </c>
      <c r="R16">
        <v>3.31593572950639</v>
      </c>
      <c r="S16">
        <f>Q16-R16</f>
        <v>-0.77593572950639</v>
      </c>
      <c r="U16">
        <v>9</v>
      </c>
      <c r="V16">
        <v>2.34</v>
      </c>
      <c r="W16">
        <v>2.82008999955104</v>
      </c>
      <c r="X16">
        <f t="shared" ref="X16:X79" si="0">V16-W16</f>
        <v>-0.48008999955104015</v>
      </c>
      <c r="Z16" s="2"/>
    </row>
    <row r="17" spans="1:24" x14ac:dyDescent="0.25">
      <c r="A17">
        <v>12</v>
      </c>
      <c r="B17">
        <v>5.04</v>
      </c>
      <c r="C17">
        <v>5.0515388969621</v>
      </c>
      <c r="D17">
        <f>B17-C17</f>
        <v>-1.1538896962099976E-2</v>
      </c>
      <c r="F17">
        <v>15</v>
      </c>
      <c r="G17">
        <v>6.02</v>
      </c>
      <c r="H17">
        <v>6.1262295605574604</v>
      </c>
      <c r="I17">
        <f>G17-H17</f>
        <v>-0.1062295605574608</v>
      </c>
      <c r="K17">
        <v>12</v>
      </c>
      <c r="L17">
        <v>2.5299999999999998</v>
      </c>
      <c r="M17">
        <v>2.1284678932024899</v>
      </c>
      <c r="N17">
        <f>L17-M17</f>
        <v>0.40153210679750995</v>
      </c>
      <c r="P17">
        <v>12</v>
      </c>
      <c r="Q17">
        <v>3.92</v>
      </c>
      <c r="R17">
        <v>3.45318845095907</v>
      </c>
      <c r="S17">
        <f>Q17-R17</f>
        <v>0.46681154904092992</v>
      </c>
      <c r="U17">
        <v>12</v>
      </c>
      <c r="V17">
        <v>3.71</v>
      </c>
      <c r="W17">
        <v>3.5776616076316299</v>
      </c>
      <c r="X17">
        <f t="shared" si="0"/>
        <v>0.13233839236837008</v>
      </c>
    </row>
    <row r="18" spans="1:24" x14ac:dyDescent="0.25">
      <c r="A18">
        <v>15</v>
      </c>
      <c r="B18">
        <v>10.53</v>
      </c>
      <c r="C18">
        <v>10.147627573567799</v>
      </c>
      <c r="D18">
        <f>B18-C18</f>
        <v>0.38237242643219993</v>
      </c>
      <c r="F18">
        <v>18</v>
      </c>
      <c r="G18">
        <v>3.18</v>
      </c>
      <c r="H18">
        <v>3.2324875378250701</v>
      </c>
      <c r="I18">
        <f>G18-H18</f>
        <v>-5.2487537825069985E-2</v>
      </c>
      <c r="K18">
        <v>15</v>
      </c>
      <c r="L18">
        <v>5.61</v>
      </c>
      <c r="M18">
        <v>4.0699628466152697</v>
      </c>
      <c r="N18">
        <f>L18-M18</f>
        <v>1.5400371533847306</v>
      </c>
      <c r="P18">
        <v>15</v>
      </c>
      <c r="Q18">
        <v>2.25</v>
      </c>
      <c r="R18">
        <v>3.7403479032285398</v>
      </c>
      <c r="S18">
        <f>Q18-R18</f>
        <v>-1.4903479032285398</v>
      </c>
      <c r="U18">
        <v>15</v>
      </c>
      <c r="V18">
        <v>3.32</v>
      </c>
      <c r="W18">
        <v>3.3675727873427101</v>
      </c>
      <c r="X18">
        <f t="shared" si="0"/>
        <v>-4.757278734271031E-2</v>
      </c>
    </row>
    <row r="19" spans="1:24" x14ac:dyDescent="0.25">
      <c r="A19">
        <v>18</v>
      </c>
      <c r="B19">
        <v>2.06</v>
      </c>
      <c r="C19">
        <v>3.14420116974236</v>
      </c>
      <c r="D19">
        <f>B19-C19</f>
        <v>-1.0842011697423599</v>
      </c>
      <c r="F19">
        <v>3</v>
      </c>
      <c r="G19">
        <v>4.26</v>
      </c>
      <c r="H19">
        <v>4.0368322064184996</v>
      </c>
      <c r="I19">
        <f>G19-H19</f>
        <v>0.22316779358150018</v>
      </c>
      <c r="K19">
        <v>18</v>
      </c>
      <c r="L19">
        <v>0.57999999999999996</v>
      </c>
      <c r="M19">
        <v>0.504978221277529</v>
      </c>
      <c r="N19">
        <f>L19-M19</f>
        <v>7.5021778722470955E-2</v>
      </c>
      <c r="P19">
        <v>18</v>
      </c>
      <c r="Q19">
        <v>3.07</v>
      </c>
      <c r="R19">
        <v>3.073962428897</v>
      </c>
      <c r="S19">
        <f>Q19-R19</f>
        <v>-3.9624288970001587E-3</v>
      </c>
      <c r="U19">
        <v>18</v>
      </c>
      <c r="V19">
        <v>2.56</v>
      </c>
      <c r="W19">
        <v>2.5149786029442498</v>
      </c>
      <c r="X19">
        <f t="shared" si="0"/>
        <v>4.5021397055750256E-2</v>
      </c>
    </row>
    <row r="20" spans="1:24" x14ac:dyDescent="0.25">
      <c r="A20">
        <v>1</v>
      </c>
      <c r="B20">
        <v>6</v>
      </c>
      <c r="C20">
        <v>5.6313144748891402</v>
      </c>
      <c r="D20">
        <f>B20-C20</f>
        <v>0.36868552511085984</v>
      </c>
      <c r="F20">
        <v>5</v>
      </c>
      <c r="G20">
        <v>2.91</v>
      </c>
      <c r="H20">
        <v>3.12367886208107</v>
      </c>
      <c r="I20">
        <f>G20-H20</f>
        <v>-0.2136788620810699</v>
      </c>
      <c r="K20">
        <v>1</v>
      </c>
      <c r="L20">
        <v>2.83</v>
      </c>
      <c r="M20">
        <v>2.76208589127488</v>
      </c>
      <c r="N20">
        <f>L20-M20</f>
        <v>6.7914108725120048E-2</v>
      </c>
      <c r="P20">
        <v>1</v>
      </c>
      <c r="Q20">
        <v>4.1399999999999997</v>
      </c>
      <c r="R20">
        <v>4.0840082270214699</v>
      </c>
      <c r="S20">
        <f>Q20-R20</f>
        <v>5.5991772978529752E-2</v>
      </c>
      <c r="U20">
        <v>3</v>
      </c>
      <c r="V20">
        <v>3.03</v>
      </c>
      <c r="W20">
        <v>2.94426307526511</v>
      </c>
      <c r="X20">
        <f t="shared" si="0"/>
        <v>8.5736924734889808E-2</v>
      </c>
    </row>
    <row r="21" spans="1:24" x14ac:dyDescent="0.25">
      <c r="A21">
        <v>3</v>
      </c>
      <c r="B21">
        <v>5.9</v>
      </c>
      <c r="C21">
        <v>5.8802926462073604</v>
      </c>
      <c r="D21">
        <f>B21-C21</f>
        <v>1.9707353792639992E-2</v>
      </c>
      <c r="F21">
        <v>7</v>
      </c>
      <c r="G21">
        <v>2.9</v>
      </c>
      <c r="H21">
        <v>3.0127243234973</v>
      </c>
      <c r="I21">
        <f>G21-H21</f>
        <v>-0.11272432349730011</v>
      </c>
      <c r="K21">
        <v>3</v>
      </c>
      <c r="L21">
        <v>2.67</v>
      </c>
      <c r="M21">
        <v>2.4111334540274099</v>
      </c>
      <c r="N21">
        <f>L21-M21</f>
        <v>0.25886654597259007</v>
      </c>
      <c r="P21">
        <v>3</v>
      </c>
      <c r="Q21">
        <v>2.88</v>
      </c>
      <c r="R21">
        <v>3.5999516101598399</v>
      </c>
      <c r="S21">
        <f>Q21-R21</f>
        <v>-0.71995161015983999</v>
      </c>
      <c r="U21">
        <v>5</v>
      </c>
      <c r="V21">
        <v>2.44</v>
      </c>
      <c r="W21">
        <v>2.4399861471886402</v>
      </c>
      <c r="X21">
        <f t="shared" si="0"/>
        <v>1.3852811359793549E-5</v>
      </c>
    </row>
    <row r="22" spans="1:24" x14ac:dyDescent="0.25">
      <c r="A22">
        <v>5</v>
      </c>
      <c r="B22">
        <v>2.8</v>
      </c>
      <c r="C22">
        <v>2.7773158526421402</v>
      </c>
      <c r="D22">
        <f>B22-C22</f>
        <v>2.2684147357859619E-2</v>
      </c>
      <c r="F22">
        <v>13</v>
      </c>
      <c r="G22">
        <v>3.25</v>
      </c>
      <c r="H22">
        <v>4.4211830319542802</v>
      </c>
      <c r="I22">
        <f>G22-H22</f>
        <v>-1.1711830319542802</v>
      </c>
      <c r="K22">
        <v>5</v>
      </c>
      <c r="L22">
        <v>1.46</v>
      </c>
      <c r="M22">
        <v>1.46689902297679</v>
      </c>
      <c r="N22">
        <f>L22-M22</f>
        <v>-6.8990229767900146E-3</v>
      </c>
      <c r="P22">
        <v>5</v>
      </c>
      <c r="Q22">
        <v>2.62</v>
      </c>
      <c r="R22">
        <v>3.37221505575438</v>
      </c>
      <c r="S22">
        <f>Q22-R22</f>
        <v>-0.75221505575437986</v>
      </c>
      <c r="U22">
        <v>7</v>
      </c>
      <c r="V22">
        <v>2.1800000000000002</v>
      </c>
      <c r="W22">
        <v>2.2896731034684601</v>
      </c>
      <c r="X22">
        <f t="shared" si="0"/>
        <v>-0.10967310346845993</v>
      </c>
    </row>
    <row r="23" spans="1:24" x14ac:dyDescent="0.25">
      <c r="A23">
        <v>7</v>
      </c>
      <c r="B23">
        <v>3.6</v>
      </c>
      <c r="C23">
        <v>3.68682613578842</v>
      </c>
      <c r="D23">
        <f>B23-C23</f>
        <v>-8.6826135788419911E-2</v>
      </c>
      <c r="F23">
        <v>19</v>
      </c>
      <c r="G23">
        <v>1.64</v>
      </c>
      <c r="H23">
        <v>1.8177925446708501</v>
      </c>
      <c r="I23">
        <f>G23-H23</f>
        <v>-0.17779254467085015</v>
      </c>
      <c r="K23">
        <v>7</v>
      </c>
      <c r="L23">
        <v>1.48</v>
      </c>
      <c r="M23">
        <v>1.8554841208684001</v>
      </c>
      <c r="N23">
        <f>L23-M23</f>
        <v>-0.37548412086840011</v>
      </c>
      <c r="P23">
        <v>7</v>
      </c>
      <c r="Q23">
        <v>2.42</v>
      </c>
      <c r="R23">
        <v>2.9275361352934302</v>
      </c>
      <c r="S23">
        <f>Q23-R23</f>
        <v>-0.50753613529343022</v>
      </c>
      <c r="U23">
        <v>13</v>
      </c>
      <c r="V23">
        <v>2.5499999999999998</v>
      </c>
      <c r="W23">
        <v>3.27416402950253</v>
      </c>
      <c r="X23">
        <f t="shared" si="0"/>
        <v>-0.72416402950253023</v>
      </c>
    </row>
    <row r="24" spans="1:24" x14ac:dyDescent="0.25">
      <c r="A24">
        <v>13</v>
      </c>
      <c r="B24">
        <v>4.2</v>
      </c>
      <c r="C24">
        <v>4.5826350790963302</v>
      </c>
      <c r="D24">
        <f>B24-C24</f>
        <v>-0.38263507909632999</v>
      </c>
      <c r="F24">
        <v>25</v>
      </c>
      <c r="G24">
        <v>2.0699999999999998</v>
      </c>
      <c r="H24">
        <v>2.2119411383280601</v>
      </c>
      <c r="I24">
        <f>G24-H24</f>
        <v>-0.14194113832806021</v>
      </c>
      <c r="K24">
        <v>13</v>
      </c>
      <c r="L24">
        <v>2.0699999999999998</v>
      </c>
      <c r="M24">
        <v>2.16953555795352</v>
      </c>
      <c r="N24">
        <f>L24-M24</f>
        <v>-9.9535557953520204E-2</v>
      </c>
      <c r="P24">
        <v>13</v>
      </c>
      <c r="Q24">
        <v>2.59</v>
      </c>
      <c r="R24">
        <v>3.44651845713011</v>
      </c>
      <c r="S24">
        <f>Q24-R24</f>
        <v>-0.8565184571301101</v>
      </c>
      <c r="U24">
        <v>19</v>
      </c>
      <c r="V24">
        <v>1.17</v>
      </c>
      <c r="W24">
        <v>1.2354737520249099</v>
      </c>
      <c r="X24">
        <f t="shared" si="0"/>
        <v>-6.5473752024910015E-2</v>
      </c>
    </row>
    <row r="25" spans="1:24" x14ac:dyDescent="0.25">
      <c r="A25">
        <v>19</v>
      </c>
      <c r="B25">
        <v>1.3</v>
      </c>
      <c r="C25">
        <v>1.61127344226766</v>
      </c>
      <c r="D25">
        <f>B25-C25</f>
        <v>-0.31127344226765996</v>
      </c>
      <c r="F25">
        <v>29</v>
      </c>
      <c r="G25">
        <v>4.88</v>
      </c>
      <c r="H25">
        <v>5.5659994289320096</v>
      </c>
      <c r="I25">
        <f>G25-H25</f>
        <v>-0.68599942893200971</v>
      </c>
      <c r="K25">
        <v>19</v>
      </c>
      <c r="L25">
        <v>0.56999999999999995</v>
      </c>
      <c r="M25">
        <v>0.71377198918104801</v>
      </c>
      <c r="N25">
        <f>L25-M25</f>
        <v>-0.14377198918104805</v>
      </c>
      <c r="P25">
        <v>25</v>
      </c>
      <c r="Q25">
        <v>2.35</v>
      </c>
      <c r="R25">
        <v>2.7736231826070301</v>
      </c>
      <c r="S25">
        <f>Q25-R25</f>
        <v>-0.42362318260703002</v>
      </c>
      <c r="U25">
        <v>25</v>
      </c>
      <c r="V25">
        <v>1.18</v>
      </c>
      <c r="W25">
        <v>1.1534944871699799</v>
      </c>
      <c r="X25">
        <f t="shared" si="0"/>
        <v>2.6505512830020006E-2</v>
      </c>
    </row>
    <row r="26" spans="1:24" x14ac:dyDescent="0.25">
      <c r="A26">
        <v>25</v>
      </c>
      <c r="B26">
        <v>3.9</v>
      </c>
      <c r="C26">
        <v>4.4551121584926499</v>
      </c>
      <c r="D26">
        <f>B26-C26</f>
        <v>-0.55511215849264994</v>
      </c>
      <c r="F26">
        <v>30</v>
      </c>
      <c r="G26">
        <v>4.88</v>
      </c>
      <c r="H26">
        <v>4.7501674676630001</v>
      </c>
      <c r="I26">
        <f>G26-H26</f>
        <v>0.12983253233699976</v>
      </c>
      <c r="K26">
        <v>25</v>
      </c>
      <c r="L26">
        <v>0.91</v>
      </c>
      <c r="M26">
        <v>1.21022191463749</v>
      </c>
      <c r="N26">
        <f>L26-M26</f>
        <v>-0.30022191463748993</v>
      </c>
      <c r="P26">
        <v>29</v>
      </c>
      <c r="Q26">
        <v>3.8</v>
      </c>
      <c r="R26">
        <v>4.6477917441348904</v>
      </c>
      <c r="S26">
        <f>Q26-R26</f>
        <v>-0.84779174413489056</v>
      </c>
      <c r="U26">
        <v>29</v>
      </c>
      <c r="V26">
        <v>3.08</v>
      </c>
      <c r="W26">
        <v>3.4015111047323501</v>
      </c>
      <c r="X26">
        <f t="shared" si="0"/>
        <v>-0.32151110473235001</v>
      </c>
    </row>
    <row r="27" spans="1:24" x14ac:dyDescent="0.25">
      <c r="A27">
        <v>29</v>
      </c>
      <c r="B27">
        <v>6.9</v>
      </c>
      <c r="C27">
        <v>6.7585153171102696</v>
      </c>
      <c r="D27">
        <f>B27-C27</f>
        <v>0.14148468288973071</v>
      </c>
      <c r="F27">
        <v>31</v>
      </c>
      <c r="G27">
        <v>7.09</v>
      </c>
      <c r="H27">
        <v>7.1099848288341896</v>
      </c>
      <c r="I27">
        <f>G27-H27</f>
        <v>-1.9984828834189727E-2</v>
      </c>
      <c r="K27">
        <v>29</v>
      </c>
      <c r="L27">
        <v>3.78</v>
      </c>
      <c r="M27">
        <v>4.1610080404373004</v>
      </c>
      <c r="N27">
        <f>L27-M27</f>
        <v>-0.38100804043730063</v>
      </c>
      <c r="P27">
        <v>30</v>
      </c>
      <c r="Q27">
        <v>3.32</v>
      </c>
      <c r="R27">
        <v>3.22066026330981</v>
      </c>
      <c r="S27">
        <f>Q27-R27</f>
        <v>9.9339736690189806E-2</v>
      </c>
      <c r="U27">
        <v>30</v>
      </c>
      <c r="V27">
        <v>2.57</v>
      </c>
      <c r="W27">
        <v>2.5750963173706101</v>
      </c>
      <c r="X27">
        <f t="shared" si="0"/>
        <v>-5.096317370610226E-3</v>
      </c>
    </row>
    <row r="28" spans="1:24" x14ac:dyDescent="0.25">
      <c r="A28">
        <v>30</v>
      </c>
      <c r="B28">
        <v>6.6</v>
      </c>
      <c r="C28">
        <v>6.12165186184194</v>
      </c>
      <c r="D28">
        <f>B28-C28</f>
        <v>0.47834813815805965</v>
      </c>
      <c r="F28">
        <v>32</v>
      </c>
      <c r="G28">
        <v>4.53</v>
      </c>
      <c r="H28">
        <v>4.4991790768866</v>
      </c>
      <c r="I28">
        <f>G28-H28</f>
        <v>3.0820923113400234E-2</v>
      </c>
      <c r="K28">
        <v>30</v>
      </c>
      <c r="L28">
        <v>3.62</v>
      </c>
      <c r="M28">
        <v>3.7140318002318602</v>
      </c>
      <c r="N28">
        <f>L28-M28</f>
        <v>-9.4031800231860085E-2</v>
      </c>
      <c r="P28">
        <v>31</v>
      </c>
      <c r="Q28">
        <v>3.82</v>
      </c>
      <c r="R28">
        <v>4.2576836746816502</v>
      </c>
      <c r="S28">
        <f>Q28-R28</f>
        <v>-0.43768367468165037</v>
      </c>
      <c r="U28">
        <v>31</v>
      </c>
      <c r="V28">
        <v>5.21</v>
      </c>
      <c r="W28">
        <v>5.19755966470668</v>
      </c>
      <c r="X28">
        <f t="shared" si="0"/>
        <v>1.2440335293320004E-2</v>
      </c>
    </row>
    <row r="29" spans="1:24" x14ac:dyDescent="0.25">
      <c r="A29">
        <v>32</v>
      </c>
      <c r="B29">
        <v>6.6</v>
      </c>
      <c r="C29">
        <v>4.7852249761236703</v>
      </c>
      <c r="D29">
        <f>B29-C29</f>
        <v>1.8147750238763294</v>
      </c>
      <c r="F29">
        <v>33</v>
      </c>
      <c r="G29">
        <v>2.04</v>
      </c>
      <c r="H29">
        <v>2.27632447122182</v>
      </c>
      <c r="I29">
        <f>G29-H29</f>
        <v>-0.23632447122181999</v>
      </c>
      <c r="K29">
        <v>31</v>
      </c>
      <c r="L29">
        <v>3.11</v>
      </c>
      <c r="M29">
        <v>3.64901802378255</v>
      </c>
      <c r="N29">
        <f>L29-M29</f>
        <v>-0.53901802378255015</v>
      </c>
      <c r="P29">
        <v>32</v>
      </c>
      <c r="Q29">
        <v>1.5</v>
      </c>
      <c r="R29">
        <v>2.2014806618688598</v>
      </c>
      <c r="S29">
        <f>Q29-R29</f>
        <v>-0.70148066186885982</v>
      </c>
      <c r="U29">
        <v>32</v>
      </c>
      <c r="V29">
        <v>3.09</v>
      </c>
      <c r="W29">
        <v>3.0763680000016498</v>
      </c>
      <c r="X29">
        <f t="shared" si="0"/>
        <v>1.3631999998350075E-2</v>
      </c>
    </row>
    <row r="30" spans="1:24" x14ac:dyDescent="0.25">
      <c r="A30">
        <v>33</v>
      </c>
      <c r="B30">
        <v>1.5</v>
      </c>
      <c r="C30">
        <v>2.1967317776129498</v>
      </c>
      <c r="D30">
        <f>B30-C30</f>
        <v>-0.6967317776129498</v>
      </c>
      <c r="F30">
        <v>34</v>
      </c>
      <c r="G30">
        <v>2.33</v>
      </c>
      <c r="H30">
        <v>2.6792033091763501</v>
      </c>
      <c r="I30">
        <f>G30-H30</f>
        <v>-0.34920330917635001</v>
      </c>
      <c r="K30">
        <v>32</v>
      </c>
      <c r="L30">
        <v>4.99</v>
      </c>
      <c r="M30">
        <v>4.0009193930103599</v>
      </c>
      <c r="N30">
        <f>L30-M30</f>
        <v>0.98908060698964029</v>
      </c>
      <c r="P30">
        <v>33</v>
      </c>
      <c r="Q30">
        <v>1.83</v>
      </c>
      <c r="R30">
        <v>1.8477010594485599</v>
      </c>
      <c r="S30">
        <f>Q30-R30</f>
        <v>-1.7701059448559819E-2</v>
      </c>
      <c r="U30">
        <v>33</v>
      </c>
      <c r="V30">
        <v>1.92</v>
      </c>
      <c r="W30">
        <v>1.83374982308917</v>
      </c>
      <c r="X30">
        <f t="shared" si="0"/>
        <v>8.6250176910829923E-2</v>
      </c>
    </row>
    <row r="31" spans="1:24" x14ac:dyDescent="0.25">
      <c r="A31">
        <v>34</v>
      </c>
      <c r="B31">
        <v>2.2000000000000002</v>
      </c>
      <c r="C31">
        <v>1.77477567106027</v>
      </c>
      <c r="D31">
        <f>B31-C31</f>
        <v>0.42522432893973017</v>
      </c>
      <c r="F31">
        <v>35</v>
      </c>
      <c r="G31">
        <v>7.78</v>
      </c>
      <c r="H31">
        <v>7.2410552411543003</v>
      </c>
      <c r="I31">
        <f>G31-H31</f>
        <v>0.53894475884569992</v>
      </c>
      <c r="K31">
        <v>33</v>
      </c>
      <c r="L31">
        <v>0.43</v>
      </c>
      <c r="M31">
        <v>1.39342368563604</v>
      </c>
      <c r="N31">
        <f>L31-M31</f>
        <v>-0.96342368563604008</v>
      </c>
      <c r="P31">
        <v>34</v>
      </c>
      <c r="Q31">
        <v>1.87</v>
      </c>
      <c r="R31">
        <v>2.04649629713114</v>
      </c>
      <c r="S31">
        <f>Q31-R31</f>
        <v>-0.1764962971311399</v>
      </c>
      <c r="U31">
        <v>34</v>
      </c>
      <c r="V31">
        <v>1.91</v>
      </c>
      <c r="W31">
        <v>2.0163349230657501</v>
      </c>
      <c r="X31">
        <f t="shared" si="0"/>
        <v>-0.10633492306575021</v>
      </c>
    </row>
    <row r="32" spans="1:24" x14ac:dyDescent="0.25">
      <c r="A32">
        <v>40</v>
      </c>
      <c r="B32">
        <v>6.4</v>
      </c>
      <c r="C32">
        <v>6.6446795985190299</v>
      </c>
      <c r="D32">
        <f>B32-C32</f>
        <v>-0.24467959851902954</v>
      </c>
      <c r="F32">
        <v>40</v>
      </c>
      <c r="G32">
        <v>3.86</v>
      </c>
      <c r="H32">
        <v>4.6405524827788698</v>
      </c>
      <c r="I32">
        <f>G32-H32</f>
        <v>-0.7805524827788699</v>
      </c>
      <c r="K32">
        <v>34</v>
      </c>
      <c r="L32">
        <v>0.56999999999999995</v>
      </c>
      <c r="M32">
        <v>0.66481618625475702</v>
      </c>
      <c r="N32">
        <f>L32-M32</f>
        <v>-9.4816186254757073E-2</v>
      </c>
      <c r="P32">
        <v>35</v>
      </c>
      <c r="Q32">
        <v>3.83</v>
      </c>
      <c r="R32">
        <v>4.7203089596202599</v>
      </c>
      <c r="S32">
        <f>Q32-R32</f>
        <v>-0.8903089596202598</v>
      </c>
      <c r="U32">
        <v>35</v>
      </c>
      <c r="V32">
        <v>4.83</v>
      </c>
      <c r="W32">
        <v>4.5950790370570198</v>
      </c>
      <c r="X32">
        <f t="shared" si="0"/>
        <v>0.23492096294298026</v>
      </c>
    </row>
    <row r="33" spans="1:24" x14ac:dyDescent="0.25">
      <c r="A33">
        <v>46</v>
      </c>
      <c r="B33">
        <v>6.8</v>
      </c>
      <c r="C33">
        <v>6.2114071860651903</v>
      </c>
      <c r="D33">
        <f>B33-C33</f>
        <v>0.58859281393480956</v>
      </c>
      <c r="F33">
        <v>46</v>
      </c>
      <c r="G33">
        <v>4.83</v>
      </c>
      <c r="H33">
        <v>5.0302789815150897</v>
      </c>
      <c r="I33">
        <f>G33-H33</f>
        <v>-0.2002789815150896</v>
      </c>
      <c r="K33">
        <v>35</v>
      </c>
      <c r="L33">
        <v>4.7</v>
      </c>
      <c r="M33">
        <v>4.0775497480673097</v>
      </c>
      <c r="N33">
        <f>L33-M33</f>
        <v>0.62245025193269043</v>
      </c>
      <c r="P33">
        <v>40</v>
      </c>
      <c r="Q33">
        <v>3.45</v>
      </c>
      <c r="R33">
        <v>4.2909774744723004</v>
      </c>
      <c r="S33">
        <f>Q33-R33</f>
        <v>-0.8409774744723002</v>
      </c>
      <c r="U33">
        <v>40</v>
      </c>
      <c r="V33">
        <v>2.68</v>
      </c>
      <c r="W33">
        <v>3.0467600426216501</v>
      </c>
      <c r="X33">
        <f t="shared" si="0"/>
        <v>-0.36676004262164996</v>
      </c>
    </row>
    <row r="34" spans="1:24" x14ac:dyDescent="0.25">
      <c r="A34">
        <v>47</v>
      </c>
      <c r="B34">
        <v>9.3000000000000007</v>
      </c>
      <c r="C34">
        <v>8.4451879692650706</v>
      </c>
      <c r="D34">
        <f>B34-C34</f>
        <v>0.85481203073493006</v>
      </c>
      <c r="F34">
        <v>47</v>
      </c>
      <c r="G34">
        <v>6.32</v>
      </c>
      <c r="H34">
        <v>6.2846649874694398</v>
      </c>
      <c r="I34">
        <f>G34-H34</f>
        <v>3.5335012530560483E-2</v>
      </c>
      <c r="K34">
        <v>40</v>
      </c>
      <c r="L34">
        <v>2.66</v>
      </c>
      <c r="M34">
        <v>3.7669613082226401</v>
      </c>
      <c r="N34">
        <f>L34-M34</f>
        <v>-1.1069613082226399</v>
      </c>
      <c r="P34">
        <v>46</v>
      </c>
      <c r="Q34">
        <v>3.36</v>
      </c>
      <c r="R34">
        <v>4.0664184338618403</v>
      </c>
      <c r="S34">
        <f>Q34-R34</f>
        <v>-0.70641843386184044</v>
      </c>
      <c r="U34">
        <v>46</v>
      </c>
      <c r="V34">
        <v>3.31</v>
      </c>
      <c r="W34">
        <v>3.4534425413143301</v>
      </c>
      <c r="X34">
        <f t="shared" si="0"/>
        <v>-0.1434425413143301</v>
      </c>
    </row>
    <row r="35" spans="1:24" x14ac:dyDescent="0.25">
      <c r="A35">
        <v>48</v>
      </c>
      <c r="B35">
        <v>4.7</v>
      </c>
      <c r="C35">
        <v>4.7292690172521201</v>
      </c>
      <c r="D35">
        <f>B35-C35</f>
        <v>-2.9269017252119944E-2</v>
      </c>
      <c r="F35">
        <v>48</v>
      </c>
      <c r="G35">
        <v>2.33</v>
      </c>
      <c r="H35">
        <v>2.5808571644959502</v>
      </c>
      <c r="I35">
        <f>G35-H35</f>
        <v>-0.25085716449595008</v>
      </c>
      <c r="K35">
        <v>46</v>
      </c>
      <c r="L35">
        <v>2.4300000000000002</v>
      </c>
      <c r="M35">
        <v>3.02277264829095</v>
      </c>
      <c r="N35">
        <f>L35-M35</f>
        <v>-0.59277264829094989</v>
      </c>
      <c r="P35">
        <v>47</v>
      </c>
      <c r="Q35">
        <v>4.22</v>
      </c>
      <c r="R35">
        <v>3.2646514895684202</v>
      </c>
      <c r="S35">
        <f>Q35-R35</f>
        <v>0.95534851043157953</v>
      </c>
      <c r="U35">
        <v>47</v>
      </c>
      <c r="V35">
        <v>3.84</v>
      </c>
      <c r="W35">
        <v>3.7831761413076501</v>
      </c>
      <c r="X35">
        <f t="shared" si="0"/>
        <v>5.6823858692349738E-2</v>
      </c>
    </row>
    <row r="36" spans="1:24" x14ac:dyDescent="0.25">
      <c r="A36">
        <v>49</v>
      </c>
      <c r="B36">
        <v>9.8000000000000007</v>
      </c>
      <c r="C36">
        <v>10.369940917570499</v>
      </c>
      <c r="D36">
        <f>B36-C36</f>
        <v>-0.56994091757049858</v>
      </c>
      <c r="F36">
        <v>49</v>
      </c>
      <c r="G36">
        <v>4.42</v>
      </c>
      <c r="H36">
        <v>4.6493656904674401</v>
      </c>
      <c r="I36">
        <f>G36-H36</f>
        <v>-0.22936569046744015</v>
      </c>
      <c r="K36">
        <v>47</v>
      </c>
      <c r="L36">
        <v>3.17</v>
      </c>
      <c r="M36">
        <v>3.77180904467349</v>
      </c>
      <c r="N36">
        <f>L36-M36</f>
        <v>-0.60180904467349006</v>
      </c>
      <c r="P36">
        <v>152</v>
      </c>
      <c r="Q36">
        <v>2.42</v>
      </c>
      <c r="R36">
        <v>2.33685427893447</v>
      </c>
      <c r="S36">
        <f>Q36-R36</f>
        <v>8.3145721065529976E-2</v>
      </c>
      <c r="U36">
        <v>48</v>
      </c>
      <c r="V36">
        <v>1.57</v>
      </c>
      <c r="W36">
        <v>1.88334019096429</v>
      </c>
      <c r="X36">
        <f t="shared" si="0"/>
        <v>-0.31334019096428989</v>
      </c>
    </row>
    <row r="37" spans="1:24" x14ac:dyDescent="0.25">
      <c r="A37">
        <v>50</v>
      </c>
      <c r="B37">
        <v>3.1</v>
      </c>
      <c r="C37">
        <v>3.5346104922273098</v>
      </c>
      <c r="D37">
        <f>B37-C37</f>
        <v>-0.43461049222730974</v>
      </c>
      <c r="F37">
        <v>50</v>
      </c>
      <c r="G37">
        <v>3.14</v>
      </c>
      <c r="H37">
        <v>3.72180472247855</v>
      </c>
      <c r="I37">
        <f>G37-H37</f>
        <v>-0.58180472247854986</v>
      </c>
      <c r="K37">
        <v>48</v>
      </c>
      <c r="L37">
        <v>1.42</v>
      </c>
      <c r="M37">
        <v>1.5853003896158999</v>
      </c>
      <c r="N37">
        <f>L37-M37</f>
        <v>-0.16530038961589999</v>
      </c>
      <c r="P37">
        <v>153</v>
      </c>
      <c r="Q37">
        <v>2.13</v>
      </c>
      <c r="R37">
        <v>3.3254069126659802</v>
      </c>
      <c r="S37">
        <f>Q37-R37</f>
        <v>-1.1954069126659803</v>
      </c>
      <c r="U37">
        <v>49</v>
      </c>
      <c r="V37">
        <v>2.3199999999999998</v>
      </c>
      <c r="W37">
        <v>2.5024637884952199</v>
      </c>
      <c r="X37">
        <f t="shared" si="0"/>
        <v>-0.18246378849522005</v>
      </c>
    </row>
    <row r="38" spans="1:24" x14ac:dyDescent="0.25">
      <c r="A38">
        <v>52</v>
      </c>
      <c r="B38">
        <v>3.1</v>
      </c>
      <c r="C38">
        <v>4.0803482509987603</v>
      </c>
      <c r="D38">
        <f>B38-C38</f>
        <v>-0.98034825099876022</v>
      </c>
      <c r="F38">
        <v>52</v>
      </c>
      <c r="G38">
        <v>3.16</v>
      </c>
      <c r="H38">
        <v>3.66334069106275</v>
      </c>
      <c r="I38">
        <f>G38-H38</f>
        <v>-0.50334069106274981</v>
      </c>
      <c r="K38">
        <v>49</v>
      </c>
      <c r="L38">
        <v>4.72</v>
      </c>
      <c r="M38">
        <v>3.8971503622867401</v>
      </c>
      <c r="N38">
        <f>L38-M38</f>
        <v>0.8228496377132597</v>
      </c>
      <c r="P38">
        <v>159</v>
      </c>
      <c r="Q38">
        <v>2.37</v>
      </c>
      <c r="R38">
        <v>2.7829538339445499</v>
      </c>
      <c r="S38">
        <f>Q38-R38</f>
        <v>-0.41295383394454976</v>
      </c>
      <c r="U38">
        <v>50</v>
      </c>
      <c r="V38">
        <v>2.2400000000000002</v>
      </c>
      <c r="W38">
        <v>2.5762651627808801</v>
      </c>
      <c r="X38">
        <f t="shared" si="0"/>
        <v>-0.33626516278087992</v>
      </c>
    </row>
    <row r="39" spans="1:24" x14ac:dyDescent="0.25">
      <c r="A39">
        <v>54</v>
      </c>
      <c r="B39">
        <v>6.4</v>
      </c>
      <c r="C39">
        <v>5.6566999373234301</v>
      </c>
      <c r="D39">
        <f>B39-C39</f>
        <v>0.74330006267657023</v>
      </c>
      <c r="F39">
        <v>54</v>
      </c>
      <c r="G39">
        <v>3.5</v>
      </c>
      <c r="H39">
        <v>4.2098098757488103</v>
      </c>
      <c r="I39">
        <f>G39-H39</f>
        <v>-0.70980987574881027</v>
      </c>
      <c r="K39">
        <v>54</v>
      </c>
      <c r="L39">
        <v>2.62</v>
      </c>
      <c r="M39">
        <v>2.5924049319918101</v>
      </c>
      <c r="N39">
        <f>L39-M39</f>
        <v>2.7595068008190005E-2</v>
      </c>
      <c r="P39">
        <v>164</v>
      </c>
      <c r="Q39">
        <v>3.36</v>
      </c>
      <c r="R39">
        <v>3.7124076312519798</v>
      </c>
      <c r="S39">
        <f>Q39-R39</f>
        <v>-0.35240763125197994</v>
      </c>
      <c r="U39">
        <v>52</v>
      </c>
      <c r="V39">
        <v>2.17</v>
      </c>
      <c r="W39">
        <v>2.3957654016501002</v>
      </c>
      <c r="X39">
        <f t="shared" si="0"/>
        <v>-0.22576540165010028</v>
      </c>
    </row>
    <row r="40" spans="1:24" x14ac:dyDescent="0.25">
      <c r="A40">
        <v>152</v>
      </c>
      <c r="B40">
        <v>2.4</v>
      </c>
      <c r="C40">
        <v>2.4228520726819101</v>
      </c>
      <c r="D40">
        <f>B40-C40</f>
        <v>-2.2852072681910141E-2</v>
      </c>
      <c r="F40">
        <v>152</v>
      </c>
      <c r="G40">
        <v>3.8</v>
      </c>
      <c r="H40">
        <v>3.2098767726470299</v>
      </c>
      <c r="I40">
        <f>G40-H40</f>
        <v>0.59012322735296996</v>
      </c>
      <c r="K40">
        <v>152</v>
      </c>
      <c r="L40">
        <v>0.64</v>
      </c>
      <c r="M40">
        <v>0.65479692857662397</v>
      </c>
      <c r="N40">
        <f>L40-M40</f>
        <v>-1.4796928576623958E-2</v>
      </c>
      <c r="P40">
        <v>171</v>
      </c>
      <c r="Q40">
        <v>1.61</v>
      </c>
      <c r="R40">
        <v>2.77169961042258</v>
      </c>
      <c r="S40">
        <f>Q40-R40</f>
        <v>-1.1616996104225799</v>
      </c>
      <c r="U40">
        <v>152</v>
      </c>
      <c r="V40">
        <v>2.88</v>
      </c>
      <c r="W40">
        <v>2.6697798365724799</v>
      </c>
      <c r="X40">
        <f t="shared" si="0"/>
        <v>0.21022016342752003</v>
      </c>
    </row>
    <row r="41" spans="1:24" x14ac:dyDescent="0.25">
      <c r="A41">
        <v>153</v>
      </c>
      <c r="B41">
        <v>12.3</v>
      </c>
      <c r="C41">
        <v>12.5932792361872</v>
      </c>
      <c r="D41">
        <f>B41-C41</f>
        <v>-0.29327923618719964</v>
      </c>
      <c r="F41">
        <v>153</v>
      </c>
      <c r="G41">
        <v>6.83</v>
      </c>
      <c r="H41">
        <v>6.3903649041031798</v>
      </c>
      <c r="I41">
        <f>G41-H41</f>
        <v>0.43963509589682026</v>
      </c>
      <c r="K41">
        <v>153</v>
      </c>
      <c r="L41">
        <v>5.62</v>
      </c>
      <c r="M41">
        <v>4.1851522348449999</v>
      </c>
      <c r="N41">
        <f>L41-M41</f>
        <v>1.4348477651550002</v>
      </c>
      <c r="P41">
        <v>179</v>
      </c>
      <c r="Q41">
        <v>1.9</v>
      </c>
      <c r="R41">
        <v>2.4549554160238101</v>
      </c>
      <c r="S41">
        <f>Q41-R41</f>
        <v>-0.55495541602381016</v>
      </c>
      <c r="U41">
        <v>159</v>
      </c>
      <c r="V41">
        <v>2.62</v>
      </c>
      <c r="W41">
        <v>2.74985225220356</v>
      </c>
      <c r="X41">
        <f t="shared" si="0"/>
        <v>-0.12985225220355989</v>
      </c>
    </row>
    <row r="42" spans="1:24" x14ac:dyDescent="0.25">
      <c r="A42">
        <v>159</v>
      </c>
      <c r="B42">
        <v>3.3</v>
      </c>
      <c r="C42">
        <v>4.1013583455442202</v>
      </c>
      <c r="D42">
        <f>B42-C42</f>
        <v>-0.80135834554422036</v>
      </c>
      <c r="F42">
        <v>159</v>
      </c>
      <c r="G42">
        <v>3.62</v>
      </c>
      <c r="H42">
        <v>3.3928686898758098</v>
      </c>
      <c r="I42">
        <f>G42-H42</f>
        <v>0.2271313101241903</v>
      </c>
      <c r="K42">
        <v>159</v>
      </c>
      <c r="L42">
        <v>1.46</v>
      </c>
      <c r="M42">
        <v>1.7013227261392601</v>
      </c>
      <c r="N42">
        <f>L42-M42</f>
        <v>-0.24132272613926009</v>
      </c>
      <c r="P42">
        <v>183</v>
      </c>
      <c r="Q42">
        <v>2.44</v>
      </c>
      <c r="R42">
        <v>2.3417740985827402</v>
      </c>
      <c r="S42">
        <f>Q42-R42</f>
        <v>9.8225901417259731E-2</v>
      </c>
      <c r="U42">
        <v>164</v>
      </c>
      <c r="V42">
        <v>4.6100000000000003</v>
      </c>
      <c r="W42">
        <v>3.9688947565775998</v>
      </c>
      <c r="X42">
        <f t="shared" si="0"/>
        <v>0.64110524342240049</v>
      </c>
    </row>
    <row r="43" spans="1:24" x14ac:dyDescent="0.25">
      <c r="A43">
        <v>164</v>
      </c>
      <c r="B43">
        <v>4.0999999999999996</v>
      </c>
      <c r="C43">
        <v>3.9745724352471599</v>
      </c>
      <c r="D43">
        <f>B43-C43</f>
        <v>0.12542756475283978</v>
      </c>
      <c r="F43">
        <v>164</v>
      </c>
      <c r="G43">
        <v>5.83</v>
      </c>
      <c r="H43">
        <v>4.9234687894440397</v>
      </c>
      <c r="I43">
        <f>G43-H43</f>
        <v>0.90653121055596042</v>
      </c>
      <c r="K43">
        <v>164</v>
      </c>
      <c r="L43">
        <v>1.79</v>
      </c>
      <c r="M43">
        <v>2.0140847015924601</v>
      </c>
      <c r="N43">
        <f>L43-M43</f>
        <v>-0.22408470159246008</v>
      </c>
      <c r="P43">
        <v>9</v>
      </c>
      <c r="Q43">
        <v>2.839</v>
      </c>
      <c r="R43">
        <v>3.70029363224194</v>
      </c>
      <c r="S43">
        <f>Q43-R43</f>
        <v>-0.86129363224194</v>
      </c>
      <c r="U43">
        <v>168</v>
      </c>
      <c r="V43">
        <v>1.49</v>
      </c>
      <c r="W43">
        <v>1.9414288703576901</v>
      </c>
      <c r="X43">
        <f t="shared" si="0"/>
        <v>-0.45142887035769008</v>
      </c>
    </row>
    <row r="44" spans="1:24" x14ac:dyDescent="0.25">
      <c r="A44">
        <v>168</v>
      </c>
      <c r="B44">
        <v>3.8</v>
      </c>
      <c r="C44">
        <v>4.05320538409409</v>
      </c>
      <c r="D44">
        <f>B44-C44</f>
        <v>-0.25320538409409021</v>
      </c>
      <c r="F44">
        <v>168</v>
      </c>
      <c r="G44">
        <v>2.42</v>
      </c>
      <c r="H44">
        <v>3.1656844366140602</v>
      </c>
      <c r="I44">
        <f>G44-H44</f>
        <v>-0.74568443661406025</v>
      </c>
      <c r="K44">
        <v>168</v>
      </c>
      <c r="L44">
        <v>1.53</v>
      </c>
      <c r="M44">
        <v>2.08233781557262</v>
      </c>
      <c r="N44">
        <f>L44-M44</f>
        <v>-0.55233781557261996</v>
      </c>
      <c r="P44">
        <v>10</v>
      </c>
      <c r="Q44">
        <v>1.641</v>
      </c>
      <c r="R44">
        <v>3.1395756377925199</v>
      </c>
      <c r="S44">
        <f>Q44-R44</f>
        <v>-1.4985756377925199</v>
      </c>
      <c r="U44">
        <v>171</v>
      </c>
      <c r="V44">
        <v>1.82</v>
      </c>
      <c r="W44">
        <v>2.2951605269190098</v>
      </c>
      <c r="X44">
        <f t="shared" si="0"/>
        <v>-0.47516052691900978</v>
      </c>
    </row>
    <row r="45" spans="1:24" x14ac:dyDescent="0.25">
      <c r="A45">
        <v>171</v>
      </c>
      <c r="B45">
        <v>5.3</v>
      </c>
      <c r="C45">
        <v>5.81185909799499</v>
      </c>
      <c r="D45">
        <f>B45-C45</f>
        <v>-0.51185909799499019</v>
      </c>
      <c r="F45">
        <v>171</v>
      </c>
      <c r="G45">
        <v>3.46</v>
      </c>
      <c r="H45">
        <v>3.86292777217218</v>
      </c>
      <c r="I45">
        <f>G45-H45</f>
        <v>-0.40292777217218001</v>
      </c>
      <c r="K45">
        <v>171</v>
      </c>
      <c r="L45">
        <v>2.8</v>
      </c>
      <c r="M45">
        <v>2.11234803950261</v>
      </c>
      <c r="N45">
        <f>L45-M45</f>
        <v>0.68765196049738986</v>
      </c>
      <c r="P45">
        <v>16</v>
      </c>
      <c r="Q45">
        <v>3.5489999999999999</v>
      </c>
      <c r="R45">
        <v>3.6206417358519198</v>
      </c>
      <c r="S45">
        <f>Q45-R45</f>
        <v>-7.1641735851919908E-2</v>
      </c>
      <c r="U45">
        <v>179</v>
      </c>
      <c r="V45">
        <v>1.99</v>
      </c>
      <c r="W45">
        <v>2.0124842169868602</v>
      </c>
      <c r="X45">
        <f t="shared" si="0"/>
        <v>-2.2484216986860206E-2</v>
      </c>
    </row>
    <row r="46" spans="1:24" x14ac:dyDescent="0.25">
      <c r="A46">
        <v>179</v>
      </c>
      <c r="B46">
        <v>1.4</v>
      </c>
      <c r="C46">
        <v>1.9437445236748201</v>
      </c>
      <c r="D46">
        <f>B46-C46</f>
        <v>-0.54374452367482018</v>
      </c>
      <c r="F46">
        <v>179</v>
      </c>
      <c r="G46">
        <v>2.5</v>
      </c>
      <c r="H46">
        <v>2.5445026234074102</v>
      </c>
      <c r="I46">
        <f>G46-H46</f>
        <v>-4.450262340741018E-2</v>
      </c>
      <c r="K46">
        <v>179</v>
      </c>
      <c r="L46">
        <v>0.37</v>
      </c>
      <c r="M46">
        <v>0.52850343181295001</v>
      </c>
      <c r="N46">
        <f>L46-M46</f>
        <v>-0.15850343181295001</v>
      </c>
      <c r="P46">
        <v>17</v>
      </c>
      <c r="Q46">
        <v>2.5209999999999999</v>
      </c>
      <c r="R46">
        <v>3.2654317026682902</v>
      </c>
      <c r="S46">
        <f>Q46-R46</f>
        <v>-0.74443170266829028</v>
      </c>
      <c r="U46">
        <v>182</v>
      </c>
      <c r="V46">
        <v>3.79</v>
      </c>
      <c r="W46">
        <v>2.8232843474761</v>
      </c>
      <c r="X46">
        <f t="shared" si="0"/>
        <v>0.96671565252390002</v>
      </c>
    </row>
    <row r="47" spans="1:24" x14ac:dyDescent="0.25">
      <c r="A47">
        <v>182</v>
      </c>
      <c r="B47">
        <v>3.5</v>
      </c>
      <c r="C47">
        <v>3.3748163243457299</v>
      </c>
      <c r="D47">
        <f>B47-C47</f>
        <v>0.12518367565427013</v>
      </c>
      <c r="F47">
        <v>182</v>
      </c>
      <c r="G47">
        <v>4.93</v>
      </c>
      <c r="H47">
        <v>3.6453789071126099</v>
      </c>
      <c r="I47">
        <f>G47-H47</f>
        <v>1.2846210928873898</v>
      </c>
      <c r="K47">
        <v>182</v>
      </c>
      <c r="L47">
        <v>1.35</v>
      </c>
      <c r="M47">
        <v>1.3688780738980699</v>
      </c>
      <c r="N47">
        <f>L47-M47</f>
        <v>-1.8878073898069836E-2</v>
      </c>
      <c r="P47">
        <v>18</v>
      </c>
      <c r="Q47">
        <v>2.4390000000000001</v>
      </c>
      <c r="R47">
        <v>3.1737955605213299</v>
      </c>
      <c r="S47">
        <f>Q47-R47</f>
        <v>-0.73479556052132988</v>
      </c>
      <c r="U47">
        <v>186</v>
      </c>
      <c r="V47">
        <v>3.12</v>
      </c>
      <c r="W47">
        <v>2.9053237362092501</v>
      </c>
      <c r="X47">
        <f t="shared" si="0"/>
        <v>0.21467626379075</v>
      </c>
    </row>
    <row r="48" spans="1:24" x14ac:dyDescent="0.25">
      <c r="A48">
        <v>183</v>
      </c>
      <c r="B48">
        <v>1.7</v>
      </c>
      <c r="C48">
        <v>1.62767060102605</v>
      </c>
      <c r="D48">
        <f>B48-C48</f>
        <v>7.2329398973949965E-2</v>
      </c>
      <c r="F48">
        <v>186</v>
      </c>
      <c r="G48">
        <v>4.3600000000000003</v>
      </c>
      <c r="H48">
        <v>4.3462692655310304</v>
      </c>
      <c r="I48">
        <f>G48-H48</f>
        <v>1.3730734468969885E-2</v>
      </c>
      <c r="K48">
        <v>183</v>
      </c>
      <c r="L48">
        <v>0.47</v>
      </c>
      <c r="M48">
        <v>0.47203048782088503</v>
      </c>
      <c r="N48">
        <f>L48-M48</f>
        <v>-2.0304878208850519E-3</v>
      </c>
      <c r="P48">
        <v>1</v>
      </c>
      <c r="Q48">
        <v>3.12</v>
      </c>
      <c r="R48">
        <v>3.3716368052674799</v>
      </c>
      <c r="S48">
        <f>Q48-R48</f>
        <v>-0.25163680526747978</v>
      </c>
      <c r="U48">
        <v>9</v>
      </c>
      <c r="V48">
        <v>2.4039999999999999</v>
      </c>
      <c r="W48">
        <v>2.7124547635800398</v>
      </c>
      <c r="X48">
        <f t="shared" si="0"/>
        <v>-0.30845476358003987</v>
      </c>
    </row>
    <row r="49" spans="1:24" x14ac:dyDescent="0.25">
      <c r="A49">
        <v>186</v>
      </c>
      <c r="B49">
        <v>4</v>
      </c>
      <c r="C49">
        <v>4.4740348037480304</v>
      </c>
      <c r="D49">
        <f>B49-C49</f>
        <v>-0.47403480374803042</v>
      </c>
      <c r="F49">
        <v>187</v>
      </c>
      <c r="G49">
        <v>3.48</v>
      </c>
      <c r="H49">
        <v>4.0908833986129798</v>
      </c>
      <c r="I49">
        <f>G49-H49</f>
        <v>-0.6108833986129798</v>
      </c>
      <c r="K49">
        <v>186</v>
      </c>
      <c r="L49">
        <v>1.5</v>
      </c>
      <c r="M49">
        <v>2.68347537867181</v>
      </c>
      <c r="N49">
        <f>L49-M49</f>
        <v>-1.18347537867181</v>
      </c>
      <c r="P49">
        <v>2</v>
      </c>
      <c r="Q49">
        <v>3.76</v>
      </c>
      <c r="R49">
        <v>3.6835844086720302</v>
      </c>
      <c r="S49">
        <f>Q49-R49</f>
        <v>7.6415591327969601E-2</v>
      </c>
      <c r="U49">
        <v>10</v>
      </c>
      <c r="V49">
        <v>1.6040000000000001</v>
      </c>
      <c r="W49">
        <v>1.8762166320678</v>
      </c>
      <c r="X49">
        <f t="shared" si="0"/>
        <v>-0.27221663206779989</v>
      </c>
    </row>
    <row r="50" spans="1:24" x14ac:dyDescent="0.25">
      <c r="A50">
        <v>187</v>
      </c>
      <c r="B50">
        <v>4.8</v>
      </c>
      <c r="C50">
        <v>3.36196072542714</v>
      </c>
      <c r="D50">
        <f>B50-C50</f>
        <v>1.4380392745728598</v>
      </c>
      <c r="F50">
        <v>9</v>
      </c>
      <c r="G50">
        <v>3.04</v>
      </c>
      <c r="H50">
        <v>3.4641508219794201</v>
      </c>
      <c r="I50">
        <f>G50-H50</f>
        <v>-0.42415082197942011</v>
      </c>
      <c r="K50">
        <v>187</v>
      </c>
      <c r="L50">
        <v>2.46</v>
      </c>
      <c r="M50">
        <v>1.92105826242374</v>
      </c>
      <c r="N50">
        <f>L50-M50</f>
        <v>0.53894173757625996</v>
      </c>
      <c r="P50">
        <v>3</v>
      </c>
      <c r="Q50">
        <v>3.74</v>
      </c>
      <c r="R50">
        <v>3.8549491030613301</v>
      </c>
      <c r="S50">
        <f>Q50-R50</f>
        <v>-0.11494910306132988</v>
      </c>
      <c r="U50">
        <v>16</v>
      </c>
      <c r="V50">
        <v>2.625</v>
      </c>
      <c r="W50">
        <v>2.8906220450485098</v>
      </c>
      <c r="X50">
        <f t="shared" si="0"/>
        <v>-0.26562204504850984</v>
      </c>
    </row>
    <row r="51" spans="1:24" x14ac:dyDescent="0.25">
      <c r="A51">
        <v>9</v>
      </c>
      <c r="B51">
        <v>1.792</v>
      </c>
      <c r="C51">
        <v>2.0916162722824798</v>
      </c>
      <c r="D51">
        <f>B51-C51</f>
        <v>-0.29961627228247978</v>
      </c>
      <c r="F51">
        <v>10</v>
      </c>
      <c r="G51">
        <v>2.17</v>
      </c>
      <c r="H51">
        <v>2.7941366863882502</v>
      </c>
      <c r="I51">
        <f>G51-H51</f>
        <v>-0.62413668638825026</v>
      </c>
      <c r="K51">
        <v>9</v>
      </c>
      <c r="L51">
        <v>0.45200000000000001</v>
      </c>
      <c r="M51">
        <v>0.63770275637127105</v>
      </c>
      <c r="N51">
        <f>L51-M51</f>
        <v>-0.18570275637127104</v>
      </c>
      <c r="P51">
        <v>4</v>
      </c>
      <c r="Q51">
        <v>3.17</v>
      </c>
      <c r="R51">
        <v>3.0600443991509501</v>
      </c>
      <c r="S51">
        <f>Q51-R51</f>
        <v>0.10995560084904987</v>
      </c>
      <c r="U51">
        <v>17</v>
      </c>
      <c r="V51">
        <v>2.8759999999999999</v>
      </c>
      <c r="W51">
        <v>3.1240808456015499</v>
      </c>
      <c r="X51">
        <f t="shared" si="0"/>
        <v>-0.24808084560154997</v>
      </c>
    </row>
    <row r="52" spans="1:24" x14ac:dyDescent="0.25">
      <c r="A52">
        <v>10</v>
      </c>
      <c r="B52">
        <v>2.3980000000000001</v>
      </c>
      <c r="C52">
        <v>2.6509909310707598</v>
      </c>
      <c r="D52">
        <f>B52-C52</f>
        <v>-0.25299093107075965</v>
      </c>
      <c r="F52">
        <v>16</v>
      </c>
      <c r="G52">
        <v>3.7370000000000001</v>
      </c>
      <c r="H52">
        <v>4.1686682291789303</v>
      </c>
      <c r="I52">
        <f>G52-H52</f>
        <v>-0.43166822917893022</v>
      </c>
      <c r="K52">
        <v>10</v>
      </c>
      <c r="L52">
        <v>0.95199999999999996</v>
      </c>
      <c r="M52">
        <v>1.3533068043688301</v>
      </c>
      <c r="N52">
        <f>L52-M52</f>
        <v>-0.40130680436883015</v>
      </c>
      <c r="P52">
        <v>5</v>
      </c>
      <c r="Q52">
        <v>3.67</v>
      </c>
      <c r="R52">
        <v>3.6536220500457302</v>
      </c>
      <c r="S52">
        <f>Q52-R52</f>
        <v>1.6377949954269777E-2</v>
      </c>
      <c r="U52">
        <v>18</v>
      </c>
      <c r="V52">
        <v>2.8220000000000001</v>
      </c>
      <c r="W52">
        <v>2.6645372528009701</v>
      </c>
      <c r="X52">
        <f t="shared" si="0"/>
        <v>0.15746274719902997</v>
      </c>
    </row>
    <row r="53" spans="1:24" x14ac:dyDescent="0.25">
      <c r="A53">
        <v>16</v>
      </c>
      <c r="B53">
        <v>2.633</v>
      </c>
      <c r="C53">
        <v>3.02551941925854</v>
      </c>
      <c r="D53">
        <f>B53-C53</f>
        <v>-0.39251941925853995</v>
      </c>
      <c r="F53">
        <v>17</v>
      </c>
      <c r="G53">
        <v>4.8780000000000001</v>
      </c>
      <c r="H53">
        <v>5.4527011015471203</v>
      </c>
      <c r="I53">
        <f>G53-H53</f>
        <v>-0.57470110154712017</v>
      </c>
      <c r="K53">
        <v>16</v>
      </c>
      <c r="L53">
        <v>0.58399999999999996</v>
      </c>
      <c r="M53">
        <v>1.25113825686913</v>
      </c>
      <c r="N53">
        <f>L53-M53</f>
        <v>-0.66713825686913009</v>
      </c>
      <c r="P53">
        <v>6</v>
      </c>
      <c r="Q53">
        <v>3.1</v>
      </c>
      <c r="R53">
        <v>3.03017592744723</v>
      </c>
      <c r="S53">
        <f>Q53-R53</f>
        <v>6.9824072552770122E-2</v>
      </c>
      <c r="U53">
        <v>1</v>
      </c>
      <c r="V53">
        <v>2.98</v>
      </c>
      <c r="W53">
        <v>3.0415716649953599</v>
      </c>
      <c r="X53">
        <f t="shared" si="0"/>
        <v>-6.1571664995359932E-2</v>
      </c>
    </row>
    <row r="54" spans="1:24" x14ac:dyDescent="0.25">
      <c r="A54">
        <v>17</v>
      </c>
      <c r="B54">
        <v>7.5839999999999996</v>
      </c>
      <c r="C54">
        <v>6.5177892273947302</v>
      </c>
      <c r="D54">
        <f>B54-C54</f>
        <v>1.0662107726052694</v>
      </c>
      <c r="F54">
        <v>18</v>
      </c>
      <c r="G54">
        <v>3.7130000000000001</v>
      </c>
      <c r="H54">
        <v>3.5999497780762701</v>
      </c>
      <c r="I54">
        <f>G54-H54</f>
        <v>0.11305022192372993</v>
      </c>
      <c r="K54">
        <v>17</v>
      </c>
      <c r="L54">
        <v>3.782</v>
      </c>
      <c r="M54">
        <v>2.6383785949779401</v>
      </c>
      <c r="N54">
        <f>L54-M54</f>
        <v>1.1436214050220599</v>
      </c>
      <c r="P54">
        <v>11</v>
      </c>
      <c r="Q54">
        <v>1.33</v>
      </c>
      <c r="R54">
        <v>1.1370124550826499</v>
      </c>
      <c r="S54">
        <f>Q54-R54</f>
        <v>0.19298754491735015</v>
      </c>
      <c r="U54">
        <v>2</v>
      </c>
      <c r="V54">
        <v>3.3</v>
      </c>
      <c r="W54">
        <v>3.4507641398536002</v>
      </c>
      <c r="X54">
        <f t="shared" si="0"/>
        <v>-0.15076413985360038</v>
      </c>
    </row>
    <row r="55" spans="1:24" x14ac:dyDescent="0.25">
      <c r="A55">
        <v>18</v>
      </c>
      <c r="B55">
        <v>4.2160000000000002</v>
      </c>
      <c r="C55">
        <v>3.8074105478135798</v>
      </c>
      <c r="D55">
        <f>B55-C55</f>
        <v>0.4085894521864204</v>
      </c>
      <c r="F55">
        <v>1</v>
      </c>
      <c r="G55">
        <v>3.09</v>
      </c>
      <c r="H55">
        <v>3.2745316224480199</v>
      </c>
      <c r="I55">
        <f>G55-H55</f>
        <v>-0.18453162244802002</v>
      </c>
      <c r="K55">
        <v>18</v>
      </c>
      <c r="L55">
        <v>1.954</v>
      </c>
      <c r="M55">
        <v>2.1147789095428302</v>
      </c>
      <c r="N55">
        <f>L55-M55</f>
        <v>-0.16077890954283025</v>
      </c>
      <c r="P55">
        <v>1102</v>
      </c>
      <c r="Q55">
        <v>4.49</v>
      </c>
      <c r="R55">
        <v>4.2673019250108704</v>
      </c>
      <c r="S55">
        <f>Q55-R55</f>
        <v>0.22269807498912986</v>
      </c>
      <c r="U55">
        <v>3</v>
      </c>
      <c r="V55">
        <v>3.29</v>
      </c>
      <c r="W55">
        <v>3.30925650660767</v>
      </c>
      <c r="X55">
        <f t="shared" si="0"/>
        <v>-1.9256506607669976E-2</v>
      </c>
    </row>
    <row r="56" spans="1:24" x14ac:dyDescent="0.25">
      <c r="A56">
        <v>1</v>
      </c>
      <c r="B56">
        <v>1.6</v>
      </c>
      <c r="C56">
        <v>1.33662847329144</v>
      </c>
      <c r="D56">
        <f>B56-C56</f>
        <v>0.26337152670856012</v>
      </c>
      <c r="F56">
        <v>2</v>
      </c>
      <c r="G56">
        <v>4.51</v>
      </c>
      <c r="H56">
        <v>4.8279680696185396</v>
      </c>
      <c r="I56">
        <f>G56-H56</f>
        <v>-0.31796806961853985</v>
      </c>
      <c r="K56">
        <v>1</v>
      </c>
      <c r="L56">
        <v>0.38</v>
      </c>
      <c r="M56">
        <v>0.66977816412033397</v>
      </c>
      <c r="N56">
        <f>L56-M56</f>
        <v>-0.28977816412033397</v>
      </c>
      <c r="P56">
        <v>1104</v>
      </c>
      <c r="Q56">
        <v>2.13</v>
      </c>
      <c r="R56">
        <v>2.4611874807998699</v>
      </c>
      <c r="S56">
        <f>Q56-R56</f>
        <v>-0.33118748079987004</v>
      </c>
      <c r="U56">
        <v>4</v>
      </c>
      <c r="V56">
        <v>2.96</v>
      </c>
      <c r="W56">
        <v>2.82278091712922</v>
      </c>
      <c r="X56">
        <f t="shared" si="0"/>
        <v>0.13721908287078</v>
      </c>
    </row>
    <row r="57" spans="1:24" x14ac:dyDescent="0.25">
      <c r="A57">
        <v>2</v>
      </c>
      <c r="B57">
        <v>6.3</v>
      </c>
      <c r="C57">
        <v>6.96015691398215</v>
      </c>
      <c r="D57">
        <f>B57-C57</f>
        <v>-0.66015691398215015</v>
      </c>
      <c r="F57">
        <v>3</v>
      </c>
      <c r="G57">
        <v>4.57</v>
      </c>
      <c r="H57">
        <v>4.9150608166514402</v>
      </c>
      <c r="I57">
        <f>G57-H57</f>
        <v>-0.34506081665143995</v>
      </c>
      <c r="K57">
        <v>2</v>
      </c>
      <c r="L57">
        <v>2.44</v>
      </c>
      <c r="M57">
        <v>2.9107050911120198</v>
      </c>
      <c r="N57">
        <f>L57-M57</f>
        <v>-0.47070509111201986</v>
      </c>
      <c r="P57">
        <v>1110</v>
      </c>
      <c r="Q57">
        <v>2.15</v>
      </c>
      <c r="R57">
        <v>3.1767145246772799</v>
      </c>
      <c r="S57">
        <f>Q57-R57</f>
        <v>-1.02671452467728</v>
      </c>
      <c r="U57">
        <v>5</v>
      </c>
      <c r="V57">
        <v>3.28</v>
      </c>
      <c r="W57">
        <v>3.4518608960136699</v>
      </c>
      <c r="X57">
        <f t="shared" si="0"/>
        <v>-0.17186089601367005</v>
      </c>
    </row>
    <row r="58" spans="1:24" x14ac:dyDescent="0.25">
      <c r="A58">
        <v>3</v>
      </c>
      <c r="B58">
        <v>6.3</v>
      </c>
      <c r="C58">
        <v>7.0686324977540202</v>
      </c>
      <c r="D58">
        <f>B58-C58</f>
        <v>-0.76863249775402043</v>
      </c>
      <c r="F58">
        <v>4</v>
      </c>
      <c r="G58">
        <v>3.2</v>
      </c>
      <c r="H58">
        <v>3.15895198833821</v>
      </c>
      <c r="I58">
        <f>G58-H58</f>
        <v>4.1048011661790174E-2</v>
      </c>
      <c r="K58">
        <v>3</v>
      </c>
      <c r="L58">
        <v>2.41</v>
      </c>
      <c r="M58">
        <v>3.2016468220377101</v>
      </c>
      <c r="N58">
        <f>L58-M58</f>
        <v>-0.79164682203770997</v>
      </c>
      <c r="P58">
        <v>1114</v>
      </c>
      <c r="Q58">
        <v>1.82</v>
      </c>
      <c r="R58">
        <v>2.8075797510825899</v>
      </c>
      <c r="S58">
        <f>Q58-R58</f>
        <v>-0.98757975108258989</v>
      </c>
      <c r="U58">
        <v>6</v>
      </c>
      <c r="V58">
        <v>3</v>
      </c>
      <c r="W58">
        <v>2.8785421498798001</v>
      </c>
      <c r="X58">
        <f t="shared" si="0"/>
        <v>0.12145785012019994</v>
      </c>
    </row>
    <row r="59" spans="1:24" x14ac:dyDescent="0.25">
      <c r="A59">
        <v>4</v>
      </c>
      <c r="B59">
        <v>1.6</v>
      </c>
      <c r="C59">
        <v>1.4149874651918199</v>
      </c>
      <c r="D59">
        <f>B59-C59</f>
        <v>0.18501253480818014</v>
      </c>
      <c r="F59">
        <v>5</v>
      </c>
      <c r="G59">
        <v>4.49</v>
      </c>
      <c r="H59">
        <v>4.7718036462676299</v>
      </c>
      <c r="I59">
        <f>G59-H59</f>
        <v>-0.28180364626762966</v>
      </c>
      <c r="K59">
        <v>4</v>
      </c>
      <c r="L59">
        <v>0.37</v>
      </c>
      <c r="M59">
        <v>0.81119682355910705</v>
      </c>
      <c r="N59">
        <f>L59-M59</f>
        <v>-0.44119682355910705</v>
      </c>
      <c r="P59">
        <v>1127</v>
      </c>
      <c r="Q59">
        <v>3.92</v>
      </c>
      <c r="R59">
        <v>4.2719780391042104</v>
      </c>
      <c r="S59">
        <f>Q59-R59</f>
        <v>-0.35197803910421044</v>
      </c>
      <c r="U59">
        <v>3</v>
      </c>
      <c r="V59">
        <v>2.0699999999999998</v>
      </c>
      <c r="W59">
        <v>2.1802562030318802</v>
      </c>
      <c r="X59">
        <f t="shared" si="0"/>
        <v>-0.11025620303188033</v>
      </c>
    </row>
    <row r="60" spans="1:24" x14ac:dyDescent="0.25">
      <c r="A60">
        <v>5</v>
      </c>
      <c r="B60">
        <v>6.1</v>
      </c>
      <c r="C60">
        <v>6.2303677042924397</v>
      </c>
      <c r="D60">
        <f>B60-C60</f>
        <v>-0.13036770429244005</v>
      </c>
      <c r="F60">
        <v>6</v>
      </c>
      <c r="G60">
        <v>3.27</v>
      </c>
      <c r="H60">
        <v>3.0513713746854698</v>
      </c>
      <c r="I60">
        <f>G60-H60</f>
        <v>0.2186286253145302</v>
      </c>
      <c r="K60">
        <v>5</v>
      </c>
      <c r="L60">
        <v>2.33</v>
      </c>
      <c r="M60">
        <v>2.7312619357616499</v>
      </c>
      <c r="N60">
        <f>L60-M60</f>
        <v>-0.40126193576164981</v>
      </c>
      <c r="P60">
        <v>1129</v>
      </c>
      <c r="Q60">
        <v>2.36</v>
      </c>
      <c r="R60">
        <v>2.6313263426237499</v>
      </c>
      <c r="S60">
        <f>Q60-R60</f>
        <v>-0.27132634262374999</v>
      </c>
      <c r="U60">
        <v>10</v>
      </c>
      <c r="V60">
        <v>2.14</v>
      </c>
      <c r="W60">
        <v>2.2581778988502998</v>
      </c>
      <c r="X60">
        <f t="shared" si="0"/>
        <v>-0.11817789885029972</v>
      </c>
    </row>
    <row r="61" spans="1:24" x14ac:dyDescent="0.25">
      <c r="A61">
        <v>6</v>
      </c>
      <c r="B61">
        <v>1.6</v>
      </c>
      <c r="C61">
        <v>1.62558428500801</v>
      </c>
      <c r="D61">
        <f>B61-C61</f>
        <v>-2.558428500800991E-2</v>
      </c>
      <c r="F61">
        <v>10</v>
      </c>
      <c r="G61">
        <v>2.8</v>
      </c>
      <c r="H61">
        <v>3.1629572725372102</v>
      </c>
      <c r="I61">
        <f>G61-H61</f>
        <v>-0.36295727253721033</v>
      </c>
      <c r="K61">
        <v>6</v>
      </c>
      <c r="L61">
        <v>0.38</v>
      </c>
      <c r="M61">
        <v>0.493772933125109</v>
      </c>
      <c r="N61">
        <f>L61-M61</f>
        <v>-0.113772933125109</v>
      </c>
      <c r="P61">
        <v>1136</v>
      </c>
      <c r="Q61">
        <v>2.57</v>
      </c>
      <c r="R61">
        <v>2.6164864008621902</v>
      </c>
      <c r="S61">
        <f>Q61-R61</f>
        <v>-4.6486400862190358E-2</v>
      </c>
      <c r="U61">
        <v>11</v>
      </c>
      <c r="V61">
        <v>1.76</v>
      </c>
      <c r="W61">
        <v>1.84206166623302</v>
      </c>
      <c r="X61">
        <f t="shared" si="0"/>
        <v>-8.2061666233020025E-2</v>
      </c>
    </row>
    <row r="62" spans="1:24" x14ac:dyDescent="0.25">
      <c r="A62">
        <v>11</v>
      </c>
      <c r="B62">
        <v>3</v>
      </c>
      <c r="C62">
        <v>4.3816029075679204</v>
      </c>
      <c r="D62">
        <f>B62-C62</f>
        <v>-1.3816029075679204</v>
      </c>
      <c r="F62">
        <v>11</v>
      </c>
      <c r="G62">
        <v>2.37</v>
      </c>
      <c r="H62">
        <v>2.6041618803772399</v>
      </c>
      <c r="I62">
        <f>G62-H62</f>
        <v>-0.23416188037723984</v>
      </c>
      <c r="K62">
        <v>11</v>
      </c>
      <c r="L62">
        <v>1.69</v>
      </c>
      <c r="M62">
        <v>2.0464962497146102</v>
      </c>
      <c r="N62">
        <f>L62-M62</f>
        <v>-0.35649624971461025</v>
      </c>
      <c r="P62">
        <v>1141</v>
      </c>
      <c r="Q62">
        <v>3.87</v>
      </c>
      <c r="R62">
        <v>3.1890999215553402</v>
      </c>
      <c r="S62">
        <f>Q62-R62</f>
        <v>0.68090007844465994</v>
      </c>
      <c r="U62">
        <v>1102</v>
      </c>
      <c r="V62">
        <v>5.9</v>
      </c>
      <c r="W62">
        <v>5.3919131533440403</v>
      </c>
      <c r="X62">
        <f t="shared" si="0"/>
        <v>0.50808684665596004</v>
      </c>
    </row>
    <row r="63" spans="1:24" x14ac:dyDescent="0.25">
      <c r="A63">
        <v>1102</v>
      </c>
      <c r="B63">
        <v>10.4</v>
      </c>
      <c r="C63">
        <v>8.1658607644796106</v>
      </c>
      <c r="D63">
        <f>B63-C63</f>
        <v>2.2341392355203897</v>
      </c>
      <c r="F63">
        <v>1104</v>
      </c>
      <c r="G63">
        <v>2.77</v>
      </c>
      <c r="H63">
        <v>2.7524974438710599</v>
      </c>
      <c r="I63">
        <f>G63-H63</f>
        <v>1.7502556128940139E-2</v>
      </c>
      <c r="K63">
        <v>1102</v>
      </c>
      <c r="L63">
        <v>3.54</v>
      </c>
      <c r="M63">
        <v>3.9744145810835598</v>
      </c>
      <c r="N63">
        <f>L63-M63</f>
        <v>-0.43441458108355979</v>
      </c>
      <c r="P63">
        <v>1142</v>
      </c>
      <c r="Q63">
        <v>2.77</v>
      </c>
      <c r="R63">
        <v>2.3980378500530701</v>
      </c>
      <c r="S63">
        <f>Q63-R63</f>
        <v>0.37196214994692989</v>
      </c>
      <c r="U63">
        <v>1104</v>
      </c>
      <c r="V63">
        <v>2.2000000000000002</v>
      </c>
      <c r="W63">
        <v>2.0656173235214901</v>
      </c>
      <c r="X63">
        <f t="shared" si="0"/>
        <v>0.1343826764785101</v>
      </c>
    </row>
    <row r="64" spans="1:24" x14ac:dyDescent="0.25">
      <c r="A64">
        <v>1104</v>
      </c>
      <c r="B64">
        <v>2.7</v>
      </c>
      <c r="C64">
        <v>5.5860998476501704</v>
      </c>
      <c r="D64">
        <f>B64-C64</f>
        <v>-2.8860998476501702</v>
      </c>
      <c r="F64">
        <v>1110</v>
      </c>
      <c r="G64">
        <v>4.25</v>
      </c>
      <c r="H64">
        <v>4.1182217733962796</v>
      </c>
      <c r="I64">
        <f>G64-H64</f>
        <v>0.13177822660372041</v>
      </c>
      <c r="K64">
        <v>1104</v>
      </c>
      <c r="L64">
        <v>0.91</v>
      </c>
      <c r="M64">
        <v>1.87698493718166</v>
      </c>
      <c r="N64">
        <f>L64-M64</f>
        <v>-0.96698493718166001</v>
      </c>
      <c r="P64">
        <v>1180</v>
      </c>
      <c r="Q64">
        <v>1.54</v>
      </c>
      <c r="R64">
        <v>3.2242278029703302</v>
      </c>
      <c r="S64">
        <f>Q64-R64</f>
        <v>-1.6842278029703301</v>
      </c>
      <c r="U64">
        <v>1110</v>
      </c>
      <c r="V64">
        <v>2.6</v>
      </c>
      <c r="W64">
        <v>2.5093216481795002</v>
      </c>
      <c r="X64">
        <f t="shared" si="0"/>
        <v>9.0678351820499881E-2</v>
      </c>
    </row>
    <row r="65" spans="1:24" x14ac:dyDescent="0.25">
      <c r="A65">
        <v>1110</v>
      </c>
      <c r="B65">
        <v>6.8</v>
      </c>
      <c r="C65">
        <v>7.3327248722783196</v>
      </c>
      <c r="D65">
        <f>B65-C65</f>
        <v>-0.53272487227831977</v>
      </c>
      <c r="F65">
        <v>1114</v>
      </c>
      <c r="G65">
        <v>2.0099999999999998</v>
      </c>
      <c r="H65">
        <v>2.55302076293684</v>
      </c>
      <c r="I65">
        <f>G65-H65</f>
        <v>-0.54302076293684021</v>
      </c>
      <c r="K65">
        <v>1110</v>
      </c>
      <c r="L65">
        <v>3.05</v>
      </c>
      <c r="M65">
        <v>3.02934007562027</v>
      </c>
      <c r="N65">
        <f>L65-M65</f>
        <v>2.0659924379729855E-2</v>
      </c>
      <c r="P65">
        <v>1182</v>
      </c>
      <c r="Q65">
        <v>2.17</v>
      </c>
      <c r="R65">
        <v>2.0994408389946702</v>
      </c>
      <c r="S65">
        <f>Q65-R65</f>
        <v>7.0559161005329774E-2</v>
      </c>
      <c r="U65">
        <v>1114</v>
      </c>
      <c r="V65">
        <v>1.92</v>
      </c>
      <c r="W65">
        <v>1.9884960337508499</v>
      </c>
      <c r="X65">
        <f t="shared" si="0"/>
        <v>-6.8496033750850005E-2</v>
      </c>
    </row>
    <row r="66" spans="1:24" x14ac:dyDescent="0.25">
      <c r="A66">
        <v>1114</v>
      </c>
      <c r="B66">
        <v>1.4</v>
      </c>
      <c r="C66">
        <v>1.54772890365405</v>
      </c>
      <c r="D66">
        <f>B66-C66</f>
        <v>-0.14772890365405011</v>
      </c>
      <c r="F66">
        <v>1115</v>
      </c>
      <c r="G66">
        <v>4.0199999999999996</v>
      </c>
      <c r="H66">
        <v>3.5553348417858799</v>
      </c>
      <c r="I66">
        <f>G66-H66</f>
        <v>0.46466515821411969</v>
      </c>
      <c r="K66">
        <v>1114</v>
      </c>
      <c r="L66">
        <v>0.71</v>
      </c>
      <c r="M66">
        <v>0.73247237432436696</v>
      </c>
      <c r="N66">
        <f>L66-M66</f>
        <v>-2.2472374324366995E-2</v>
      </c>
      <c r="P66">
        <v>1184</v>
      </c>
      <c r="Q66">
        <v>2.48</v>
      </c>
      <c r="R66">
        <v>2.6095308864955502</v>
      </c>
      <c r="S66">
        <f>Q66-R66</f>
        <v>-0.12953088649555022</v>
      </c>
      <c r="U66">
        <v>1115</v>
      </c>
      <c r="V66">
        <v>2.41</v>
      </c>
      <c r="W66">
        <v>2.33310720322276</v>
      </c>
      <c r="X66">
        <f t="shared" si="0"/>
        <v>7.6892796777240147E-2</v>
      </c>
    </row>
    <row r="67" spans="1:24" x14ac:dyDescent="0.25">
      <c r="A67">
        <v>1115</v>
      </c>
      <c r="B67">
        <v>7.8</v>
      </c>
      <c r="C67">
        <v>9.4957552086740193</v>
      </c>
      <c r="D67">
        <f>B67-C67</f>
        <v>-1.6957552086740195</v>
      </c>
      <c r="F67">
        <v>1127</v>
      </c>
      <c r="G67">
        <v>5.75</v>
      </c>
      <c r="H67">
        <v>5.0065140402078203</v>
      </c>
      <c r="I67">
        <f>G67-H67</f>
        <v>0.74348595979217968</v>
      </c>
      <c r="K67">
        <v>1115</v>
      </c>
      <c r="L67">
        <v>1.73</v>
      </c>
      <c r="M67">
        <v>2.6012803028496299</v>
      </c>
      <c r="N67">
        <f>L67-M67</f>
        <v>-0.87128030284962987</v>
      </c>
      <c r="P67">
        <v>1187</v>
      </c>
      <c r="Q67">
        <v>2.19</v>
      </c>
      <c r="R67">
        <v>2.7428338473319198</v>
      </c>
      <c r="S67">
        <f>Q67-R67</f>
        <v>-0.55283384733191987</v>
      </c>
      <c r="U67">
        <v>1127</v>
      </c>
      <c r="V67">
        <v>4.5599999999999996</v>
      </c>
      <c r="W67">
        <v>4.06803451904785</v>
      </c>
      <c r="X67">
        <f t="shared" si="0"/>
        <v>0.49196548095214965</v>
      </c>
    </row>
    <row r="68" spans="1:24" x14ac:dyDescent="0.25">
      <c r="A68">
        <v>1127</v>
      </c>
      <c r="B68">
        <v>7.6</v>
      </c>
      <c r="C68">
        <v>7.2549996466709796</v>
      </c>
      <c r="D68">
        <f>B68-C68</f>
        <v>0.34500035332902002</v>
      </c>
      <c r="F68">
        <v>1129</v>
      </c>
      <c r="G68">
        <v>3.72</v>
      </c>
      <c r="H68">
        <v>3.4362582405084598</v>
      </c>
      <c r="I68">
        <f>G68-H68</f>
        <v>0.28374175949154035</v>
      </c>
      <c r="K68">
        <v>1127</v>
      </c>
      <c r="L68">
        <v>3.26</v>
      </c>
      <c r="M68">
        <v>3.01183014904624</v>
      </c>
      <c r="N68">
        <f>L68-M68</f>
        <v>0.24816985095375976</v>
      </c>
      <c r="P68">
        <v>1192</v>
      </c>
      <c r="Q68">
        <v>1.5</v>
      </c>
      <c r="R68">
        <v>2.33879622309095</v>
      </c>
      <c r="S68">
        <f>Q68-R68</f>
        <v>-0.83879622309095003</v>
      </c>
      <c r="U68">
        <v>1129</v>
      </c>
      <c r="V68">
        <v>3.14</v>
      </c>
      <c r="W68">
        <v>3.0055785330537601</v>
      </c>
      <c r="X68">
        <f t="shared" si="0"/>
        <v>0.13442146694624002</v>
      </c>
    </row>
    <row r="69" spans="1:24" x14ac:dyDescent="0.25">
      <c r="A69">
        <v>1129</v>
      </c>
      <c r="B69">
        <v>2.2000000000000002</v>
      </c>
      <c r="C69">
        <v>1.8843863632055899</v>
      </c>
      <c r="D69">
        <f>B69-C69</f>
        <v>0.31561363679441023</v>
      </c>
      <c r="F69">
        <v>1136</v>
      </c>
      <c r="G69">
        <v>3.12</v>
      </c>
      <c r="H69">
        <v>3.1828588565574898</v>
      </c>
      <c r="I69">
        <f>G69-H69</f>
        <v>-6.2858856557489684E-2</v>
      </c>
      <c r="K69">
        <v>1129</v>
      </c>
      <c r="L69">
        <v>0.94</v>
      </c>
      <c r="M69">
        <v>0.91545643455243897</v>
      </c>
      <c r="N69">
        <f>L69-M69</f>
        <v>2.4543565447560978E-2</v>
      </c>
      <c r="P69">
        <v>1241</v>
      </c>
      <c r="Q69">
        <v>2.77</v>
      </c>
      <c r="R69">
        <v>3.2610406480474898</v>
      </c>
      <c r="S69">
        <f>Q69-R69</f>
        <v>-0.49104064804748981</v>
      </c>
      <c r="U69">
        <v>1136</v>
      </c>
      <c r="V69">
        <v>2.4</v>
      </c>
      <c r="W69">
        <v>2.4864137971587801</v>
      </c>
      <c r="X69">
        <f t="shared" si="0"/>
        <v>-8.641379715878017E-2</v>
      </c>
    </row>
    <row r="70" spans="1:24" x14ac:dyDescent="0.25">
      <c r="A70">
        <v>1136</v>
      </c>
      <c r="B70">
        <v>3.7</v>
      </c>
      <c r="C70">
        <v>3.7559036242063799</v>
      </c>
      <c r="D70">
        <f>B70-C70</f>
        <v>-5.5903624206379732E-2</v>
      </c>
      <c r="F70">
        <v>1140</v>
      </c>
      <c r="G70">
        <v>1.38</v>
      </c>
      <c r="H70">
        <v>1.56929023574282</v>
      </c>
      <c r="I70">
        <f>G70-H70</f>
        <v>-0.18929023574282011</v>
      </c>
      <c r="K70">
        <v>1136</v>
      </c>
      <c r="L70">
        <v>2.63</v>
      </c>
      <c r="M70">
        <v>1.53249239174722</v>
      </c>
      <c r="N70">
        <f>L70-M70</f>
        <v>1.0975076082527799</v>
      </c>
      <c r="P70">
        <v>1242</v>
      </c>
      <c r="Q70">
        <v>3.26</v>
      </c>
      <c r="R70">
        <v>3.0615114883408601</v>
      </c>
      <c r="S70">
        <f>Q70-R70</f>
        <v>0.19848851165913972</v>
      </c>
      <c r="U70">
        <v>1140</v>
      </c>
      <c r="V70">
        <v>0.89</v>
      </c>
      <c r="W70">
        <v>1.02941109553272</v>
      </c>
      <c r="X70">
        <f t="shared" si="0"/>
        <v>-0.13941109553272002</v>
      </c>
    </row>
    <row r="71" spans="1:24" x14ac:dyDescent="0.25">
      <c r="A71">
        <v>1140</v>
      </c>
      <c r="B71">
        <v>2.4</v>
      </c>
      <c r="C71">
        <v>1.7318683116703</v>
      </c>
      <c r="D71">
        <f>B71-C71</f>
        <v>0.66813168832969994</v>
      </c>
      <c r="F71">
        <v>1141</v>
      </c>
      <c r="G71">
        <v>2.97</v>
      </c>
      <c r="H71">
        <v>2.9492410316514999</v>
      </c>
      <c r="I71">
        <f>G71-H71</f>
        <v>2.0758968348500328E-2</v>
      </c>
      <c r="K71">
        <v>1140</v>
      </c>
      <c r="L71">
        <v>0.64</v>
      </c>
      <c r="M71">
        <v>0.21951988609226</v>
      </c>
      <c r="N71">
        <f>L71-M71</f>
        <v>0.42048011390773998</v>
      </c>
      <c r="P71">
        <v>1243</v>
      </c>
      <c r="Q71">
        <v>3.26</v>
      </c>
      <c r="R71">
        <v>3.1856196325797499</v>
      </c>
      <c r="S71">
        <f>Q71-R71</f>
        <v>7.4380367420249893E-2</v>
      </c>
      <c r="U71">
        <v>1141</v>
      </c>
      <c r="V71">
        <v>1.99</v>
      </c>
      <c r="W71">
        <v>2.0346969421976602</v>
      </c>
      <c r="X71">
        <f t="shared" si="0"/>
        <v>-4.4696942197660183E-2</v>
      </c>
    </row>
    <row r="72" spans="1:24" x14ac:dyDescent="0.25">
      <c r="A72">
        <v>1141</v>
      </c>
      <c r="B72">
        <v>3.3</v>
      </c>
      <c r="C72">
        <v>2.9292503594733699</v>
      </c>
      <c r="D72">
        <f>B72-C72</f>
        <v>0.37074964052662995</v>
      </c>
      <c r="F72">
        <v>1142</v>
      </c>
      <c r="G72">
        <v>3.01</v>
      </c>
      <c r="H72">
        <v>2.92729079845259</v>
      </c>
      <c r="I72">
        <f>G72-H72</f>
        <v>8.2709201547409794E-2</v>
      </c>
      <c r="K72">
        <v>1141</v>
      </c>
      <c r="L72">
        <v>2.1</v>
      </c>
      <c r="M72">
        <v>1.5363582271138601</v>
      </c>
      <c r="N72">
        <f>L72-M72</f>
        <v>0.56364177288614004</v>
      </c>
      <c r="P72">
        <v>1244</v>
      </c>
      <c r="Q72">
        <v>2.99</v>
      </c>
      <c r="R72">
        <v>2.98476228330005</v>
      </c>
      <c r="S72">
        <f>Q72-R72</f>
        <v>5.2377166999502123E-3</v>
      </c>
      <c r="U72">
        <v>1142</v>
      </c>
      <c r="V72">
        <v>1.92</v>
      </c>
      <c r="W72">
        <v>2.0007476158990198</v>
      </c>
      <c r="X72">
        <f t="shared" si="0"/>
        <v>-8.0747615899019909E-2</v>
      </c>
    </row>
    <row r="73" spans="1:24" x14ac:dyDescent="0.25">
      <c r="A73">
        <v>1142</v>
      </c>
      <c r="B73">
        <v>3.6</v>
      </c>
      <c r="C73">
        <v>3.2499008633053901</v>
      </c>
      <c r="D73">
        <f>B73-C73</f>
        <v>0.35009913669461001</v>
      </c>
      <c r="F73">
        <v>1180</v>
      </c>
      <c r="G73">
        <v>3.42</v>
      </c>
      <c r="H73">
        <v>3.8741499726485298</v>
      </c>
      <c r="I73">
        <f>G73-H73</f>
        <v>-0.45414997264852985</v>
      </c>
      <c r="K73">
        <v>1142</v>
      </c>
      <c r="L73">
        <v>1.61</v>
      </c>
      <c r="M73">
        <v>1.51749566923654</v>
      </c>
      <c r="N73">
        <f>L73-M73</f>
        <v>9.2504330763460096E-2</v>
      </c>
      <c r="P73">
        <v>1245</v>
      </c>
      <c r="Q73">
        <v>4.32</v>
      </c>
      <c r="R73">
        <v>4.0397430144650404</v>
      </c>
      <c r="S73">
        <f>Q73-R73</f>
        <v>0.28025698553495992</v>
      </c>
      <c r="U73">
        <v>1180</v>
      </c>
      <c r="V73">
        <v>2.2000000000000002</v>
      </c>
      <c r="W73">
        <v>2.8848455437384599</v>
      </c>
      <c r="X73">
        <f t="shared" si="0"/>
        <v>-0.68484554373845974</v>
      </c>
    </row>
    <row r="74" spans="1:24" x14ac:dyDescent="0.25">
      <c r="A74">
        <v>1180</v>
      </c>
      <c r="B74">
        <v>6.7</v>
      </c>
      <c r="C74">
        <v>6.4966303378591501</v>
      </c>
      <c r="D74">
        <f>B74-C74</f>
        <v>0.20336966214085006</v>
      </c>
      <c r="F74">
        <v>1182</v>
      </c>
      <c r="G74">
        <v>4.6100000000000003</v>
      </c>
      <c r="H74">
        <v>4.27909166642592</v>
      </c>
      <c r="I74">
        <f>G74-H74</f>
        <v>0.33090833357408034</v>
      </c>
      <c r="K74">
        <v>1180</v>
      </c>
      <c r="L74">
        <v>2.82</v>
      </c>
      <c r="M74">
        <v>2.4819433726287201</v>
      </c>
      <c r="N74">
        <f>L74-M74</f>
        <v>0.33805662737127973</v>
      </c>
      <c r="P74">
        <v>1247</v>
      </c>
      <c r="Q74">
        <v>2.08</v>
      </c>
      <c r="R74">
        <v>2.7922298235004401</v>
      </c>
      <c r="S74">
        <f>Q74-R74</f>
        <v>-0.71222982350044006</v>
      </c>
      <c r="U74">
        <v>1182</v>
      </c>
      <c r="V74">
        <v>3.6</v>
      </c>
      <c r="W74">
        <v>3.4390205621696399</v>
      </c>
      <c r="X74">
        <f t="shared" si="0"/>
        <v>0.16097943783036017</v>
      </c>
    </row>
    <row r="75" spans="1:24" x14ac:dyDescent="0.25">
      <c r="A75">
        <v>1182</v>
      </c>
      <c r="B75">
        <v>4.5999999999999996</v>
      </c>
      <c r="C75">
        <v>5.6039070393720598</v>
      </c>
      <c r="D75">
        <f>B75-C75</f>
        <v>-1.0039070393720602</v>
      </c>
      <c r="F75">
        <v>1184</v>
      </c>
      <c r="G75">
        <v>3.91</v>
      </c>
      <c r="H75">
        <v>3.9618561244932202</v>
      </c>
      <c r="I75">
        <f>G75-H75</f>
        <v>-5.1856124493220079E-2</v>
      </c>
      <c r="K75">
        <v>1182</v>
      </c>
      <c r="L75">
        <v>1.79</v>
      </c>
      <c r="M75">
        <v>2.6153069531057298</v>
      </c>
      <c r="N75">
        <f>L75-M75</f>
        <v>-0.82530695310572977</v>
      </c>
      <c r="P75">
        <v>1250</v>
      </c>
      <c r="Q75">
        <v>2.8</v>
      </c>
      <c r="R75">
        <v>2.8092668728279202</v>
      </c>
      <c r="S75">
        <f>Q75-R75</f>
        <v>-9.2668728279203805E-3</v>
      </c>
      <c r="U75">
        <v>1184</v>
      </c>
      <c r="V75">
        <v>2.4</v>
      </c>
      <c r="W75">
        <v>2.4552205685552102</v>
      </c>
      <c r="X75">
        <f t="shared" si="0"/>
        <v>-5.5220568555210292E-2</v>
      </c>
    </row>
    <row r="76" spans="1:24" x14ac:dyDescent="0.25">
      <c r="A76">
        <v>1184</v>
      </c>
      <c r="B76">
        <v>6.2</v>
      </c>
      <c r="C76">
        <v>5.6436530038697903</v>
      </c>
      <c r="D76">
        <f>B76-C76</f>
        <v>0.55634699613020988</v>
      </c>
      <c r="F76">
        <v>1186</v>
      </c>
      <c r="G76">
        <v>1.7</v>
      </c>
      <c r="H76">
        <v>1.9625055840161501</v>
      </c>
      <c r="I76">
        <f>G76-H76</f>
        <v>-0.2625055840161501</v>
      </c>
      <c r="K76">
        <v>1184</v>
      </c>
      <c r="L76">
        <v>2.34</v>
      </c>
      <c r="M76">
        <v>2.57791653150823</v>
      </c>
      <c r="N76">
        <f>L76-M76</f>
        <v>-0.23791653150823011</v>
      </c>
      <c r="P76">
        <v>1252</v>
      </c>
      <c r="Q76">
        <v>3.54</v>
      </c>
      <c r="R76">
        <v>3.7549444983168199</v>
      </c>
      <c r="S76">
        <f>Q76-R76</f>
        <v>-0.21494449831681983</v>
      </c>
      <c r="U76">
        <v>1186</v>
      </c>
      <c r="V76">
        <v>1.5</v>
      </c>
      <c r="W76">
        <v>1.58931742715068</v>
      </c>
      <c r="X76">
        <f t="shared" si="0"/>
        <v>-8.9317427150680029E-2</v>
      </c>
    </row>
    <row r="77" spans="1:24" x14ac:dyDescent="0.25">
      <c r="A77">
        <v>1186</v>
      </c>
      <c r="B77">
        <v>1.6</v>
      </c>
      <c r="C77">
        <v>2.4369241170196498</v>
      </c>
      <c r="D77">
        <f>B77-C77</f>
        <v>-0.83692411701964975</v>
      </c>
      <c r="F77">
        <v>1187</v>
      </c>
      <c r="G77">
        <v>3.79</v>
      </c>
      <c r="H77">
        <v>4.1716037985419598</v>
      </c>
      <c r="I77">
        <f>G77-H77</f>
        <v>-0.3816037985419598</v>
      </c>
      <c r="K77">
        <v>1186</v>
      </c>
      <c r="L77">
        <v>0.95</v>
      </c>
      <c r="M77">
        <v>1.27776438079212</v>
      </c>
      <c r="N77">
        <f>L77-M77</f>
        <v>-0.32776438079212</v>
      </c>
      <c r="P77">
        <v>1253</v>
      </c>
      <c r="Q77">
        <v>4.1500000000000004</v>
      </c>
      <c r="R77">
        <v>4.0069263594280304</v>
      </c>
      <c r="S77">
        <f>Q77-R77</f>
        <v>0.14307364057196992</v>
      </c>
      <c r="U77">
        <v>1187</v>
      </c>
      <c r="V77">
        <v>2.7</v>
      </c>
      <c r="W77">
        <v>2.8409117347871802</v>
      </c>
      <c r="X77">
        <f t="shared" si="0"/>
        <v>-0.14091173478718</v>
      </c>
    </row>
    <row r="78" spans="1:24" x14ac:dyDescent="0.25">
      <c r="A78">
        <v>1187</v>
      </c>
      <c r="B78">
        <v>5.9</v>
      </c>
      <c r="C78">
        <v>6.0927237479413199</v>
      </c>
      <c r="D78">
        <f>B78-C78</f>
        <v>-0.19272374794131952</v>
      </c>
      <c r="F78">
        <v>1192</v>
      </c>
      <c r="G78">
        <v>4.13</v>
      </c>
      <c r="H78">
        <v>4.28219831159696</v>
      </c>
      <c r="I78">
        <f>G78-H78</f>
        <v>-0.15219831159696007</v>
      </c>
      <c r="K78">
        <v>1187</v>
      </c>
      <c r="L78">
        <v>3.02</v>
      </c>
      <c r="M78">
        <v>2.9814777096660001</v>
      </c>
      <c r="N78">
        <f>L78-M78</f>
        <v>3.8522290333999898E-2</v>
      </c>
      <c r="P78">
        <v>1256</v>
      </c>
      <c r="Q78">
        <v>4.42</v>
      </c>
      <c r="R78">
        <v>3.1956344904119098</v>
      </c>
      <c r="S78">
        <f>Q78-R78</f>
        <v>1.2243655095880901</v>
      </c>
      <c r="U78">
        <v>1192</v>
      </c>
      <c r="V78">
        <v>2.1</v>
      </c>
      <c r="W78">
        <v>2.1473289161581901</v>
      </c>
      <c r="X78">
        <f t="shared" si="0"/>
        <v>-4.7328916158190015E-2</v>
      </c>
    </row>
    <row r="79" spans="1:24" x14ac:dyDescent="0.25">
      <c r="A79">
        <v>1192</v>
      </c>
      <c r="B79">
        <v>8.6999999999999993</v>
      </c>
      <c r="C79">
        <v>6.5550388314764501</v>
      </c>
      <c r="D79">
        <f>B79-C79</f>
        <v>2.1449611685235492</v>
      </c>
      <c r="F79">
        <v>1241</v>
      </c>
      <c r="G79">
        <v>2.6</v>
      </c>
      <c r="H79">
        <v>3.1234062536932199</v>
      </c>
      <c r="I79">
        <f>G79-H79</f>
        <v>-0.5234062536932198</v>
      </c>
      <c r="K79">
        <v>1192</v>
      </c>
      <c r="L79">
        <v>3.86</v>
      </c>
      <c r="M79">
        <v>3.02604758852168</v>
      </c>
      <c r="N79">
        <f>L79-M79</f>
        <v>0.83395241147831989</v>
      </c>
      <c r="P79">
        <v>1257</v>
      </c>
      <c r="Q79">
        <v>1.4</v>
      </c>
      <c r="R79">
        <v>1.50650712076361</v>
      </c>
      <c r="S79">
        <f>Q79-R79</f>
        <v>-0.10650712076361013</v>
      </c>
      <c r="U79">
        <v>1241</v>
      </c>
      <c r="V79">
        <v>2.5</v>
      </c>
      <c r="W79">
        <v>2.64930863134812</v>
      </c>
      <c r="X79">
        <f t="shared" si="0"/>
        <v>-0.14930863134812</v>
      </c>
    </row>
    <row r="80" spans="1:24" x14ac:dyDescent="0.25">
      <c r="A80">
        <v>1241</v>
      </c>
      <c r="B80">
        <v>2.61</v>
      </c>
      <c r="C80">
        <v>2.2431733713418902</v>
      </c>
      <c r="D80">
        <f>B80-C80</f>
        <v>0.36682662865810967</v>
      </c>
      <c r="F80">
        <v>1242</v>
      </c>
      <c r="G80">
        <v>2.7</v>
      </c>
      <c r="H80">
        <v>2.86030352842702</v>
      </c>
      <c r="I80">
        <f>G80-H80</f>
        <v>-0.16030352842701978</v>
      </c>
      <c r="K80">
        <v>1241</v>
      </c>
      <c r="L80">
        <v>1.32</v>
      </c>
      <c r="M80">
        <v>0.44937328983946301</v>
      </c>
      <c r="N80">
        <f>L80-M80</f>
        <v>0.87062671016053705</v>
      </c>
      <c r="P80">
        <v>1259</v>
      </c>
      <c r="Q80">
        <v>1.1100000000000001</v>
      </c>
      <c r="R80">
        <v>2.6888434153357301</v>
      </c>
      <c r="S80">
        <f>Q80-R80</f>
        <v>-1.57884341533573</v>
      </c>
      <c r="U80">
        <v>1242</v>
      </c>
      <c r="V80">
        <v>1</v>
      </c>
      <c r="W80">
        <v>1.48921647355716</v>
      </c>
      <c r="X80">
        <f t="shared" ref="X80:X143" si="1">V80-W80</f>
        <v>-0.48921647355716003</v>
      </c>
    </row>
    <row r="81" spans="1:24" x14ac:dyDescent="0.25">
      <c r="A81">
        <v>1242</v>
      </c>
      <c r="B81">
        <v>7.79</v>
      </c>
      <c r="C81">
        <v>6.1240057363073399</v>
      </c>
      <c r="D81">
        <f>B81-C81</f>
        <v>1.6659942636926601</v>
      </c>
      <c r="F81">
        <v>1243</v>
      </c>
      <c r="G81">
        <v>3.6</v>
      </c>
      <c r="H81">
        <v>3.1057921435094999</v>
      </c>
      <c r="I81">
        <f>G81-H81</f>
        <v>0.49420785649050014</v>
      </c>
      <c r="K81">
        <v>1242</v>
      </c>
      <c r="L81">
        <v>3.8</v>
      </c>
      <c r="M81">
        <v>1.9499762407385901</v>
      </c>
      <c r="N81">
        <f>L81-M81</f>
        <v>1.8500237592614097</v>
      </c>
      <c r="P81">
        <v>1295</v>
      </c>
      <c r="Q81">
        <v>2.57</v>
      </c>
      <c r="R81">
        <v>3.3440422941009298</v>
      </c>
      <c r="S81">
        <f>Q81-R81</f>
        <v>-0.77404229410092995</v>
      </c>
      <c r="U81">
        <v>1243</v>
      </c>
      <c r="V81">
        <v>2.9</v>
      </c>
      <c r="W81">
        <v>2.2634420549916898</v>
      </c>
      <c r="X81">
        <f t="shared" si="1"/>
        <v>0.63655794500831009</v>
      </c>
    </row>
    <row r="82" spans="1:24" x14ac:dyDescent="0.25">
      <c r="A82">
        <v>1243</v>
      </c>
      <c r="B82">
        <v>4.37</v>
      </c>
      <c r="C82">
        <v>5.7283130642448397</v>
      </c>
      <c r="D82">
        <f>B82-C82</f>
        <v>-1.3583130642448396</v>
      </c>
      <c r="F82">
        <v>1244</v>
      </c>
      <c r="G82">
        <v>3</v>
      </c>
      <c r="H82">
        <v>3.06568516481207</v>
      </c>
      <c r="I82">
        <f>G82-H82</f>
        <v>-6.5685164812069985E-2</v>
      </c>
      <c r="K82">
        <v>1243</v>
      </c>
      <c r="L82">
        <v>2.0699999999999998</v>
      </c>
      <c r="M82">
        <v>2.2790891703098799</v>
      </c>
      <c r="N82">
        <f>L82-M82</f>
        <v>-0.20908917030988006</v>
      </c>
      <c r="P82">
        <v>1296</v>
      </c>
      <c r="Q82">
        <v>1.55</v>
      </c>
      <c r="R82">
        <v>2.2776972833495699</v>
      </c>
      <c r="S82">
        <f>Q82-R82</f>
        <v>-0.72769728334956985</v>
      </c>
      <c r="U82">
        <v>1244</v>
      </c>
      <c r="V82">
        <v>2.2000000000000002</v>
      </c>
      <c r="W82">
        <v>2.29943867679936</v>
      </c>
      <c r="X82">
        <f t="shared" si="1"/>
        <v>-9.9438676799359804E-2</v>
      </c>
    </row>
    <row r="83" spans="1:24" x14ac:dyDescent="0.25">
      <c r="A83">
        <v>1244</v>
      </c>
      <c r="B83">
        <v>2.5299999999999998</v>
      </c>
      <c r="C83">
        <v>2.1264694750836601</v>
      </c>
      <c r="D83">
        <f>B83-C83</f>
        <v>0.40353052491633967</v>
      </c>
      <c r="F83">
        <v>1245</v>
      </c>
      <c r="G83">
        <v>8.5</v>
      </c>
      <c r="H83">
        <v>7.9769190531174701</v>
      </c>
      <c r="I83">
        <f>G83-H83</f>
        <v>0.52308094688252993</v>
      </c>
      <c r="K83">
        <v>1244</v>
      </c>
      <c r="L83">
        <v>0.80200000000000005</v>
      </c>
      <c r="M83">
        <v>0.56985612406064301</v>
      </c>
      <c r="N83">
        <f>L83-M83</f>
        <v>0.23214387593935704</v>
      </c>
      <c r="P83">
        <v>1297</v>
      </c>
      <c r="Q83">
        <v>3.08</v>
      </c>
      <c r="R83">
        <v>3.19203436744694</v>
      </c>
      <c r="S83">
        <f>Q83-R83</f>
        <v>-0.11203436744693995</v>
      </c>
      <c r="U83">
        <v>1245</v>
      </c>
      <c r="V83">
        <v>5.0999999999999996</v>
      </c>
      <c r="W83">
        <v>4.9410583950201801</v>
      </c>
      <c r="X83">
        <f t="shared" si="1"/>
        <v>0.15894160497981957</v>
      </c>
    </row>
    <row r="84" spans="1:24" x14ac:dyDescent="0.25">
      <c r="A84">
        <v>1247</v>
      </c>
      <c r="B84">
        <v>2.06</v>
      </c>
      <c r="C84">
        <v>2.2981174422062498</v>
      </c>
      <c r="D84">
        <f>B84-C84</f>
        <v>-0.23811744220624975</v>
      </c>
      <c r="F84">
        <v>1247</v>
      </c>
      <c r="G84">
        <v>2.9</v>
      </c>
      <c r="H84">
        <v>2.5282552754450598</v>
      </c>
      <c r="I84">
        <f>G84-H84</f>
        <v>0.37174472455494012</v>
      </c>
      <c r="K84">
        <v>1247</v>
      </c>
      <c r="L84">
        <v>0.76600000000000001</v>
      </c>
      <c r="M84">
        <v>0.83066255976492498</v>
      </c>
      <c r="N84">
        <f>L84-M84</f>
        <v>-6.4662559764924965E-2</v>
      </c>
      <c r="P84">
        <v>1298</v>
      </c>
      <c r="Q84">
        <v>2.23</v>
      </c>
      <c r="R84">
        <v>2.4774206385723998</v>
      </c>
      <c r="S84">
        <f>Q84-R84</f>
        <v>-0.24742063857239982</v>
      </c>
      <c r="U84">
        <v>1247</v>
      </c>
      <c r="V84">
        <v>2.5</v>
      </c>
      <c r="W84">
        <v>2.2421879635741799</v>
      </c>
      <c r="X84">
        <f t="shared" si="1"/>
        <v>0.25781203642582007</v>
      </c>
    </row>
    <row r="85" spans="1:24" x14ac:dyDescent="0.25">
      <c r="A85">
        <v>1250</v>
      </c>
      <c r="B85">
        <v>4.76</v>
      </c>
      <c r="C85">
        <v>3.10645624330777</v>
      </c>
      <c r="D85">
        <f>B85-C85</f>
        <v>1.6535437566922297</v>
      </c>
      <c r="F85">
        <v>1250</v>
      </c>
      <c r="G85">
        <v>3.3</v>
      </c>
      <c r="H85">
        <v>3.4533742779374399</v>
      </c>
      <c r="I85">
        <f>G85-H85</f>
        <v>-0.15337427793744007</v>
      </c>
      <c r="K85">
        <v>1250</v>
      </c>
      <c r="L85">
        <v>2.15</v>
      </c>
      <c r="M85">
        <v>1.74595262427068</v>
      </c>
      <c r="N85">
        <f>L85-M85</f>
        <v>0.40404737572931992</v>
      </c>
      <c r="P85">
        <v>1299</v>
      </c>
      <c r="Q85">
        <v>3.11</v>
      </c>
      <c r="R85">
        <v>3.1952649227427101</v>
      </c>
      <c r="S85">
        <f>Q85-R85</f>
        <v>-8.5264922742710247E-2</v>
      </c>
      <c r="U85">
        <v>1250</v>
      </c>
      <c r="V85">
        <v>3.3</v>
      </c>
      <c r="W85">
        <v>2.9355839819750198</v>
      </c>
      <c r="X85">
        <f t="shared" si="1"/>
        <v>0.36441601802498003</v>
      </c>
    </row>
    <row r="86" spans="1:24" x14ac:dyDescent="0.25">
      <c r="A86">
        <v>1252</v>
      </c>
      <c r="B86">
        <v>8.09</v>
      </c>
      <c r="C86">
        <v>10.000933966282201</v>
      </c>
      <c r="D86">
        <f>B86-C86</f>
        <v>-1.9109339662822009</v>
      </c>
      <c r="F86">
        <v>1252</v>
      </c>
      <c r="G86">
        <v>4.7</v>
      </c>
      <c r="H86">
        <v>4.8231373214723101</v>
      </c>
      <c r="I86">
        <f>G86-H86</f>
        <v>-0.12313732147230994</v>
      </c>
      <c r="K86">
        <v>1252</v>
      </c>
      <c r="L86">
        <v>3.24</v>
      </c>
      <c r="M86">
        <v>3.3922127175156098</v>
      </c>
      <c r="N86">
        <f>L86-M86</f>
        <v>-0.15221271751560961</v>
      </c>
      <c r="P86">
        <v>1374</v>
      </c>
      <c r="Q86">
        <v>3.26</v>
      </c>
      <c r="R86">
        <v>4.7755276308332899</v>
      </c>
      <c r="S86">
        <f>Q86-R86</f>
        <v>-1.5155276308332901</v>
      </c>
      <c r="U86">
        <v>1252</v>
      </c>
      <c r="V86">
        <v>2.7</v>
      </c>
      <c r="W86">
        <v>2.7834910173646299</v>
      </c>
      <c r="X86">
        <f t="shared" si="1"/>
        <v>-8.3491017364629716E-2</v>
      </c>
    </row>
    <row r="87" spans="1:24" x14ac:dyDescent="0.25">
      <c r="A87">
        <v>1253</v>
      </c>
      <c r="B87">
        <v>10.5</v>
      </c>
      <c r="C87">
        <v>9.3352171698841602</v>
      </c>
      <c r="D87">
        <f>B87-C87</f>
        <v>1.1647828301158398</v>
      </c>
      <c r="F87">
        <v>1253</v>
      </c>
      <c r="G87">
        <v>6</v>
      </c>
      <c r="H87">
        <v>5.8861774742014097</v>
      </c>
      <c r="I87">
        <f>G87-H87</f>
        <v>0.11382252579859031</v>
      </c>
      <c r="K87">
        <v>1253</v>
      </c>
      <c r="L87">
        <v>3.55</v>
      </c>
      <c r="M87">
        <v>3.4040194459086699</v>
      </c>
      <c r="N87">
        <f>L87-M87</f>
        <v>0.14598055409132993</v>
      </c>
      <c r="P87">
        <v>1375</v>
      </c>
      <c r="Q87">
        <v>5.87</v>
      </c>
      <c r="R87">
        <v>5.2865083081398101</v>
      </c>
      <c r="S87">
        <f>Q87-R87</f>
        <v>0.58349169186019001</v>
      </c>
      <c r="U87">
        <v>1253</v>
      </c>
      <c r="V87">
        <v>3.5</v>
      </c>
      <c r="W87">
        <v>3.5490947815008602</v>
      </c>
      <c r="X87">
        <f t="shared" si="1"/>
        <v>-4.9094781500860218E-2</v>
      </c>
    </row>
    <row r="88" spans="1:24" x14ac:dyDescent="0.25">
      <c r="A88">
        <v>1256</v>
      </c>
      <c r="B88">
        <v>8.76</v>
      </c>
      <c r="C88">
        <v>6.2570190492616096</v>
      </c>
      <c r="D88">
        <f>B88-C88</f>
        <v>2.5029809507383902</v>
      </c>
      <c r="F88">
        <v>1255</v>
      </c>
      <c r="G88">
        <v>1.2</v>
      </c>
      <c r="H88">
        <v>2.1009853819117899</v>
      </c>
      <c r="I88">
        <f>G88-H88</f>
        <v>-0.9009853819117899</v>
      </c>
      <c r="K88">
        <v>1255</v>
      </c>
      <c r="L88">
        <v>1.3</v>
      </c>
      <c r="M88">
        <v>1.8848177825115999</v>
      </c>
      <c r="N88">
        <f>L88-M88</f>
        <v>-0.58481778251159988</v>
      </c>
      <c r="P88">
        <v>1376</v>
      </c>
      <c r="Q88">
        <v>3.71</v>
      </c>
      <c r="R88">
        <v>4.2631000192852602</v>
      </c>
      <c r="S88">
        <f>Q88-R88</f>
        <v>-0.5531000192852602</v>
      </c>
      <c r="U88">
        <v>1255</v>
      </c>
      <c r="V88">
        <v>0.98</v>
      </c>
      <c r="W88">
        <v>1.4571271356181801</v>
      </c>
      <c r="X88">
        <f t="shared" si="1"/>
        <v>-0.4771271356181801</v>
      </c>
    </row>
    <row r="89" spans="1:24" x14ac:dyDescent="0.25">
      <c r="A89">
        <v>1257</v>
      </c>
      <c r="B89">
        <v>1.01</v>
      </c>
      <c r="C89">
        <v>0.90121429341991199</v>
      </c>
      <c r="D89">
        <f>B89-C89</f>
        <v>0.10878570658008802</v>
      </c>
      <c r="F89">
        <v>1256</v>
      </c>
      <c r="G89">
        <v>4.7</v>
      </c>
      <c r="H89">
        <v>4.2297956109927197</v>
      </c>
      <c r="I89">
        <f>G89-H89</f>
        <v>0.47020438900728045</v>
      </c>
      <c r="K89">
        <v>1257</v>
      </c>
      <c r="L89">
        <v>0.19400000000000001</v>
      </c>
      <c r="M89">
        <v>0.225154327738849</v>
      </c>
      <c r="N89">
        <f>L89-M89</f>
        <v>-3.1154327738848991E-2</v>
      </c>
      <c r="P89">
        <v>1377</v>
      </c>
      <c r="Q89">
        <v>3.1</v>
      </c>
      <c r="R89">
        <v>3.1367336314258099</v>
      </c>
      <c r="S89">
        <f>Q89-R89</f>
        <v>-3.6733631425809765E-2</v>
      </c>
      <c r="U89">
        <v>1256</v>
      </c>
      <c r="V89">
        <v>4</v>
      </c>
      <c r="W89">
        <v>3.3937582473913599</v>
      </c>
      <c r="X89">
        <f t="shared" si="1"/>
        <v>0.60624175260864011</v>
      </c>
    </row>
    <row r="90" spans="1:24" x14ac:dyDescent="0.25">
      <c r="A90">
        <v>1259</v>
      </c>
      <c r="B90">
        <v>3.24</v>
      </c>
      <c r="C90">
        <v>5.7068131104683699</v>
      </c>
      <c r="D90">
        <f>B90-C90</f>
        <v>-2.4668131104683697</v>
      </c>
      <c r="F90">
        <v>1257</v>
      </c>
      <c r="G90">
        <v>1.8</v>
      </c>
      <c r="H90">
        <v>1.7640966247515399</v>
      </c>
      <c r="I90">
        <f>G90-H90</f>
        <v>3.5903375248460101E-2</v>
      </c>
      <c r="K90">
        <v>1259</v>
      </c>
      <c r="L90">
        <v>1.24</v>
      </c>
      <c r="M90">
        <v>1.5701744859210001</v>
      </c>
      <c r="N90">
        <f>L90-M90</f>
        <v>-0.33017448592100007</v>
      </c>
      <c r="P90">
        <v>1411</v>
      </c>
      <c r="Q90">
        <v>4.0599999999999996</v>
      </c>
      <c r="R90">
        <v>3.6709326845861399</v>
      </c>
      <c r="S90">
        <f>Q90-R90</f>
        <v>0.38906731541385975</v>
      </c>
      <c r="U90">
        <v>1257</v>
      </c>
      <c r="V90">
        <v>1.7</v>
      </c>
      <c r="W90">
        <v>1.6546123283382099</v>
      </c>
      <c r="X90">
        <f t="shared" si="1"/>
        <v>4.538767166179003E-2</v>
      </c>
    </row>
    <row r="91" spans="1:24" x14ac:dyDescent="0.25">
      <c r="A91">
        <v>1295</v>
      </c>
      <c r="B91">
        <v>5.0999999999999996</v>
      </c>
      <c r="C91">
        <v>5.2320912435593296</v>
      </c>
      <c r="D91">
        <f>B91-C91</f>
        <v>-0.13209124355933</v>
      </c>
      <c r="F91">
        <v>1259</v>
      </c>
      <c r="G91">
        <v>1.5</v>
      </c>
      <c r="H91">
        <v>2.2443937585166598</v>
      </c>
      <c r="I91">
        <f>G91-H91</f>
        <v>-0.74439375851665979</v>
      </c>
      <c r="K91">
        <v>1295</v>
      </c>
      <c r="L91">
        <v>2.8</v>
      </c>
      <c r="M91">
        <v>2.2054222177282399</v>
      </c>
      <c r="N91">
        <f>L91-M91</f>
        <v>0.59457778227175995</v>
      </c>
      <c r="P91">
        <v>1412</v>
      </c>
      <c r="Q91">
        <v>4.29</v>
      </c>
      <c r="R91">
        <v>4.0386234742860196</v>
      </c>
      <c r="S91">
        <f>Q91-R91</f>
        <v>0.25137652571398039</v>
      </c>
      <c r="U91">
        <v>1259</v>
      </c>
      <c r="V91">
        <v>1</v>
      </c>
      <c r="W91">
        <v>1.3847995050122399</v>
      </c>
      <c r="X91">
        <f t="shared" si="1"/>
        <v>-0.38479950501223992</v>
      </c>
    </row>
    <row r="92" spans="1:24" x14ac:dyDescent="0.25">
      <c r="A92">
        <v>1296</v>
      </c>
      <c r="B92">
        <v>1.8</v>
      </c>
      <c r="C92">
        <v>2.0344661644342099</v>
      </c>
      <c r="D92">
        <f>B92-C92</f>
        <v>-0.23446616443420987</v>
      </c>
      <c r="F92">
        <v>1295</v>
      </c>
      <c r="G92">
        <v>3.73</v>
      </c>
      <c r="H92">
        <v>3.7932483745414398</v>
      </c>
      <c r="I92">
        <f>G92-H92</f>
        <v>-6.3248374541439834E-2</v>
      </c>
      <c r="K92">
        <v>1296</v>
      </c>
      <c r="L92">
        <v>0.71</v>
      </c>
      <c r="M92">
        <v>0.512752235911757</v>
      </c>
      <c r="N92">
        <f>L92-M92</f>
        <v>0.19724776408824296</v>
      </c>
      <c r="P92">
        <v>1413</v>
      </c>
      <c r="Q92">
        <v>5.3</v>
      </c>
      <c r="R92">
        <v>4.9592064334152797</v>
      </c>
      <c r="S92">
        <f>Q92-R92</f>
        <v>0.34079356658472015</v>
      </c>
      <c r="U92">
        <v>1295</v>
      </c>
      <c r="V92">
        <v>2.87</v>
      </c>
      <c r="W92">
        <v>2.90771132786197</v>
      </c>
      <c r="X92">
        <f t="shared" si="1"/>
        <v>-3.7711327861969846E-2</v>
      </c>
    </row>
    <row r="93" spans="1:24" x14ac:dyDescent="0.25">
      <c r="A93">
        <v>1297</v>
      </c>
      <c r="B93">
        <v>3.2</v>
      </c>
      <c r="C93">
        <v>3.5784338786656198</v>
      </c>
      <c r="D93">
        <f>B93-C93</f>
        <v>-0.37843387866561962</v>
      </c>
      <c r="F93">
        <v>1296</v>
      </c>
      <c r="G93">
        <v>1.62</v>
      </c>
      <c r="H93">
        <v>2.24909752146363</v>
      </c>
      <c r="I93">
        <f>G93-H93</f>
        <v>-0.62909752146362985</v>
      </c>
      <c r="K93">
        <v>1297</v>
      </c>
      <c r="L93">
        <v>1.53</v>
      </c>
      <c r="M93">
        <v>2.0282430196378298</v>
      </c>
      <c r="N93">
        <f>L93-M93</f>
        <v>-0.4982430196378298</v>
      </c>
      <c r="P93">
        <v>1414</v>
      </c>
      <c r="Q93">
        <v>2.46</v>
      </c>
      <c r="R93">
        <v>2.38028717452951</v>
      </c>
      <c r="S93">
        <f>Q93-R93</f>
        <v>7.9712825470489967E-2</v>
      </c>
      <c r="U93">
        <v>1296</v>
      </c>
      <c r="V93">
        <v>1.27</v>
      </c>
      <c r="W93">
        <v>1.5909172245368799</v>
      </c>
      <c r="X93">
        <f t="shared" si="1"/>
        <v>-0.32091722453687987</v>
      </c>
    </row>
    <row r="94" spans="1:24" x14ac:dyDescent="0.25">
      <c r="A94">
        <v>1298</v>
      </c>
      <c r="B94">
        <v>1.9</v>
      </c>
      <c r="C94">
        <v>1.9693573850278601</v>
      </c>
      <c r="D94">
        <f>B94-C94</f>
        <v>-6.9357385027860152E-2</v>
      </c>
      <c r="F94">
        <v>1297</v>
      </c>
      <c r="G94">
        <v>3.4</v>
      </c>
      <c r="H94">
        <v>3.7214637131752801</v>
      </c>
      <c r="I94">
        <f>G94-H94</f>
        <v>-0.32146371317528022</v>
      </c>
      <c r="K94">
        <v>1298</v>
      </c>
      <c r="L94">
        <v>0.87</v>
      </c>
      <c r="M94">
        <v>1.0155195100501999</v>
      </c>
      <c r="N94">
        <f>L94-M94</f>
        <v>-0.14551951005019992</v>
      </c>
      <c r="P94">
        <v>1415</v>
      </c>
      <c r="Q94">
        <v>4.13</v>
      </c>
      <c r="R94">
        <v>4.2637131084341497</v>
      </c>
      <c r="S94">
        <f>Q94-R94</f>
        <v>-0.13371310843414985</v>
      </c>
      <c r="U94">
        <v>1297</v>
      </c>
      <c r="V94">
        <v>2.91</v>
      </c>
      <c r="W94">
        <v>2.7237361327236802</v>
      </c>
      <c r="X94">
        <f t="shared" si="1"/>
        <v>0.18626386727631994</v>
      </c>
    </row>
    <row r="95" spans="1:24" x14ac:dyDescent="0.25">
      <c r="A95">
        <v>1299</v>
      </c>
      <c r="B95">
        <v>6.1</v>
      </c>
      <c r="C95">
        <v>5.6555481249374804</v>
      </c>
      <c r="D95">
        <f>B95-C95</f>
        <v>0.44445187506251926</v>
      </c>
      <c r="F95">
        <v>1298</v>
      </c>
      <c r="G95">
        <v>2.89</v>
      </c>
      <c r="H95">
        <v>2.7201457111149199</v>
      </c>
      <c r="I95">
        <f>G95-H95</f>
        <v>0.16985428888508025</v>
      </c>
      <c r="K95">
        <v>1299</v>
      </c>
      <c r="L95">
        <v>2.4700000000000002</v>
      </c>
      <c r="M95">
        <v>2.4681407995633502</v>
      </c>
      <c r="N95">
        <f>L95-M95</f>
        <v>1.8592004366499992E-3</v>
      </c>
      <c r="P95">
        <v>1417</v>
      </c>
      <c r="Q95">
        <v>2.6</v>
      </c>
      <c r="R95">
        <v>2.9855115584377798</v>
      </c>
      <c r="S95">
        <f>Q95-R95</f>
        <v>-0.38551155843777973</v>
      </c>
      <c r="U95">
        <v>1298</v>
      </c>
      <c r="V95">
        <v>2.2799999999999998</v>
      </c>
      <c r="W95">
        <v>2.2510560923406202</v>
      </c>
      <c r="X95">
        <f t="shared" si="1"/>
        <v>2.8943907659379597E-2</v>
      </c>
    </row>
    <row r="96" spans="1:24" x14ac:dyDescent="0.25">
      <c r="A96">
        <v>1374</v>
      </c>
      <c r="B96">
        <v>6.2</v>
      </c>
      <c r="C96">
        <v>7.4264201761648296</v>
      </c>
      <c r="D96">
        <f>B96-C96</f>
        <v>-1.2264201761648295</v>
      </c>
      <c r="F96">
        <v>1299</v>
      </c>
      <c r="G96">
        <v>3.37</v>
      </c>
      <c r="H96">
        <v>3.5977670209678401</v>
      </c>
      <c r="I96">
        <f>G96-H96</f>
        <v>-0.22776702096783996</v>
      </c>
      <c r="K96">
        <v>1374</v>
      </c>
      <c r="L96">
        <v>2.83</v>
      </c>
      <c r="M96">
        <v>3.08884381246328</v>
      </c>
      <c r="N96">
        <f>L96-M96</f>
        <v>-0.25884381246327992</v>
      </c>
      <c r="P96">
        <v>1419</v>
      </c>
      <c r="Q96">
        <v>6.9</v>
      </c>
      <c r="R96">
        <v>5.6115924412926601</v>
      </c>
      <c r="S96">
        <f>Q96-R96</f>
        <v>1.2884075587073403</v>
      </c>
      <c r="U96">
        <v>1299</v>
      </c>
      <c r="V96">
        <v>2.54</v>
      </c>
      <c r="W96">
        <v>2.3847924264085698</v>
      </c>
      <c r="X96">
        <f t="shared" si="1"/>
        <v>0.15520757359143023</v>
      </c>
    </row>
    <row r="97" spans="1:24" x14ac:dyDescent="0.25">
      <c r="A97">
        <v>1375</v>
      </c>
      <c r="B97">
        <v>9.5</v>
      </c>
      <c r="C97">
        <v>9.19269291423028</v>
      </c>
      <c r="D97">
        <f>B97-C97</f>
        <v>0.30730708576971999</v>
      </c>
      <c r="F97">
        <v>1374</v>
      </c>
      <c r="G97">
        <v>4.54</v>
      </c>
      <c r="H97">
        <v>4.6127153827387799</v>
      </c>
      <c r="I97">
        <f>G97-H97</f>
        <v>-7.2715382738779866E-2</v>
      </c>
      <c r="K97">
        <v>1375</v>
      </c>
      <c r="L97">
        <v>4.8499999999999996</v>
      </c>
      <c r="M97">
        <v>3.5418945321124098</v>
      </c>
      <c r="N97">
        <f>L97-M97</f>
        <v>1.3081054678875899</v>
      </c>
      <c r="P97">
        <v>1452</v>
      </c>
      <c r="Q97">
        <v>3.4</v>
      </c>
      <c r="R97">
        <v>3.6539107928695702</v>
      </c>
      <c r="S97">
        <f>Q97-R97</f>
        <v>-0.2539107928695703</v>
      </c>
      <c r="U97">
        <v>1374</v>
      </c>
      <c r="V97">
        <v>3.08</v>
      </c>
      <c r="W97">
        <v>3.28506175810104</v>
      </c>
      <c r="X97">
        <f t="shared" si="1"/>
        <v>-0.20506175810103988</v>
      </c>
    </row>
    <row r="98" spans="1:24" x14ac:dyDescent="0.25">
      <c r="A98">
        <v>1376</v>
      </c>
      <c r="B98">
        <v>9.3000000000000007</v>
      </c>
      <c r="C98">
        <v>7.5390800664604596</v>
      </c>
      <c r="D98">
        <f>B98-C98</f>
        <v>1.7609199335395411</v>
      </c>
      <c r="F98">
        <v>1375</v>
      </c>
      <c r="G98">
        <v>3.94</v>
      </c>
      <c r="H98">
        <v>4.8079108811479596</v>
      </c>
      <c r="I98">
        <f>G98-H98</f>
        <v>-0.86791088114795967</v>
      </c>
      <c r="K98">
        <v>1376</v>
      </c>
      <c r="L98">
        <v>4.58</v>
      </c>
      <c r="M98">
        <v>3.74753327972949</v>
      </c>
      <c r="N98">
        <f>L98-M98</f>
        <v>0.83246672027051005</v>
      </c>
      <c r="P98">
        <v>1451</v>
      </c>
      <c r="Q98">
        <v>2.2000000000000002</v>
      </c>
      <c r="R98">
        <v>2.38044697572689</v>
      </c>
      <c r="S98">
        <f>Q98-R98</f>
        <v>-0.18044697572688984</v>
      </c>
      <c r="U98">
        <v>1375</v>
      </c>
      <c r="V98">
        <v>1.74</v>
      </c>
      <c r="W98">
        <v>2.55348961527304</v>
      </c>
      <c r="X98">
        <f t="shared" si="1"/>
        <v>-0.81348961527303998</v>
      </c>
    </row>
    <row r="99" spans="1:24" x14ac:dyDescent="0.25">
      <c r="A99">
        <v>1377</v>
      </c>
      <c r="B99">
        <v>6</v>
      </c>
      <c r="C99">
        <v>5.6204902519022104</v>
      </c>
      <c r="D99">
        <f>B99-C99</f>
        <v>0.37950974809778959</v>
      </c>
      <c r="F99">
        <v>1376</v>
      </c>
      <c r="G99">
        <v>5.08</v>
      </c>
      <c r="H99">
        <v>5.4686816156519003</v>
      </c>
      <c r="I99">
        <f>G99-H99</f>
        <v>-0.38868161565190018</v>
      </c>
      <c r="K99">
        <v>1377</v>
      </c>
      <c r="L99">
        <v>3.28</v>
      </c>
      <c r="M99">
        <v>2.4943121422974901</v>
      </c>
      <c r="N99">
        <f>L99-M99</f>
        <v>0.78568785770250971</v>
      </c>
      <c r="P99">
        <v>1450</v>
      </c>
      <c r="Q99">
        <v>4.24</v>
      </c>
      <c r="R99">
        <v>2.8389880999704702</v>
      </c>
      <c r="S99">
        <f>Q99-R99</f>
        <v>1.40101190002953</v>
      </c>
      <c r="U99">
        <v>1376</v>
      </c>
      <c r="V99">
        <v>3.83</v>
      </c>
      <c r="W99">
        <v>4.0275127964732196</v>
      </c>
      <c r="X99">
        <f t="shared" si="1"/>
        <v>-0.19751279647321951</v>
      </c>
    </row>
    <row r="100" spans="1:24" x14ac:dyDescent="0.25">
      <c r="A100">
        <v>1411</v>
      </c>
      <c r="B100">
        <v>6.8</v>
      </c>
      <c r="C100">
        <v>7.0079248538972596</v>
      </c>
      <c r="D100">
        <f>B100-C100</f>
        <v>-0.20792485389725979</v>
      </c>
      <c r="F100">
        <v>1377</v>
      </c>
      <c r="G100">
        <v>2.59</v>
      </c>
      <c r="H100">
        <v>3.8033720214897802</v>
      </c>
      <c r="I100">
        <f>G100-H100</f>
        <v>-1.2133720214897803</v>
      </c>
      <c r="K100">
        <v>1411</v>
      </c>
      <c r="L100">
        <v>1.54</v>
      </c>
      <c r="M100">
        <v>2.0663991283133698</v>
      </c>
      <c r="N100">
        <f>L100-M100</f>
        <v>-0.52639912831336977</v>
      </c>
      <c r="P100">
        <v>1528</v>
      </c>
      <c r="Q100">
        <v>3.23</v>
      </c>
      <c r="R100">
        <v>3.0135914166500801</v>
      </c>
      <c r="S100">
        <f>Q100-R100</f>
        <v>0.21640858334991986</v>
      </c>
      <c r="U100">
        <v>1377</v>
      </c>
      <c r="V100">
        <v>1.45</v>
      </c>
      <c r="W100">
        <v>2.4913552255278502</v>
      </c>
      <c r="X100">
        <f t="shared" si="1"/>
        <v>-1.0413552255278502</v>
      </c>
    </row>
    <row r="101" spans="1:24" x14ac:dyDescent="0.25">
      <c r="A101">
        <v>1412</v>
      </c>
      <c r="B101">
        <v>8.4</v>
      </c>
      <c r="C101">
        <v>7.1603505048831302</v>
      </c>
      <c r="D101">
        <f>B101-C101</f>
        <v>1.2396494951168702</v>
      </c>
      <c r="F101">
        <v>1411</v>
      </c>
      <c r="G101">
        <v>3.13</v>
      </c>
      <c r="H101">
        <v>2.9084026736399098</v>
      </c>
      <c r="I101">
        <f>G101-H101</f>
        <v>0.22159732636009011</v>
      </c>
      <c r="K101">
        <v>1412</v>
      </c>
      <c r="L101">
        <v>3.57</v>
      </c>
      <c r="M101">
        <v>3.3581291631798198</v>
      </c>
      <c r="N101">
        <f>L101-M101</f>
        <v>0.21187083682018004</v>
      </c>
      <c r="P101">
        <v>1529</v>
      </c>
      <c r="Q101">
        <v>2.1800000000000002</v>
      </c>
      <c r="R101">
        <v>2.8753962013849499</v>
      </c>
      <c r="S101">
        <f>Q101-R101</f>
        <v>-0.69539620138494973</v>
      </c>
      <c r="U101">
        <v>1411</v>
      </c>
      <c r="V101">
        <v>1.96</v>
      </c>
      <c r="W101">
        <v>1.64969222194904</v>
      </c>
      <c r="X101">
        <f t="shared" si="1"/>
        <v>0.31030777805095999</v>
      </c>
    </row>
    <row r="102" spans="1:24" x14ac:dyDescent="0.25">
      <c r="A102">
        <v>1413</v>
      </c>
      <c r="B102">
        <v>9.3000000000000007</v>
      </c>
      <c r="C102">
        <v>8.1901584723058392</v>
      </c>
      <c r="D102">
        <f>B102-C102</f>
        <v>1.1098415276941616</v>
      </c>
      <c r="F102">
        <v>1412</v>
      </c>
      <c r="G102">
        <v>5.19</v>
      </c>
      <c r="H102">
        <v>4.9740331318836697</v>
      </c>
      <c r="I102">
        <f>G102-H102</f>
        <v>0.2159668681163307</v>
      </c>
      <c r="K102">
        <v>1413</v>
      </c>
      <c r="L102">
        <v>2.13</v>
      </c>
      <c r="M102">
        <v>2.3825537155115999</v>
      </c>
      <c r="N102">
        <f>L102-M102</f>
        <v>-0.2525537155116</v>
      </c>
      <c r="P102">
        <v>1530</v>
      </c>
      <c r="Q102">
        <v>3.49</v>
      </c>
      <c r="R102">
        <v>3.3400134121896499</v>
      </c>
      <c r="S102">
        <f>Q102-R102</f>
        <v>0.14998658781035035</v>
      </c>
      <c r="U102">
        <v>1412</v>
      </c>
      <c r="V102">
        <v>3.63</v>
      </c>
      <c r="W102">
        <v>3.5543445109955201</v>
      </c>
      <c r="X102">
        <f t="shared" si="1"/>
        <v>7.5655489004479826E-2</v>
      </c>
    </row>
    <row r="103" spans="1:24" x14ac:dyDescent="0.25">
      <c r="A103">
        <v>1414</v>
      </c>
      <c r="B103">
        <v>2.9</v>
      </c>
      <c r="C103">
        <v>2.7083904037881199</v>
      </c>
      <c r="D103">
        <f>B103-C103</f>
        <v>0.19160959621188001</v>
      </c>
      <c r="F103">
        <v>1413</v>
      </c>
      <c r="G103">
        <v>3.47</v>
      </c>
      <c r="H103">
        <v>3.7504723521000298</v>
      </c>
      <c r="I103">
        <f>G103-H103</f>
        <v>-0.28047235210002963</v>
      </c>
      <c r="K103">
        <v>1414</v>
      </c>
      <c r="L103">
        <v>0.85</v>
      </c>
      <c r="M103">
        <v>1.27525807852929</v>
      </c>
      <c r="N103">
        <f>L103-M103</f>
        <v>-0.42525807852928998</v>
      </c>
      <c r="P103">
        <v>1531</v>
      </c>
      <c r="Q103">
        <v>2.11</v>
      </c>
      <c r="R103">
        <v>2.6839588975074902</v>
      </c>
      <c r="S103">
        <f>Q103-R103</f>
        <v>-0.5739588975074903</v>
      </c>
      <c r="U103">
        <v>1413</v>
      </c>
      <c r="V103">
        <v>2.17</v>
      </c>
      <c r="W103">
        <v>2.3992205803907298</v>
      </c>
      <c r="X103">
        <f t="shared" si="1"/>
        <v>-0.2292205803907299</v>
      </c>
    </row>
    <row r="104" spans="1:24" x14ac:dyDescent="0.25">
      <c r="A104">
        <v>1415</v>
      </c>
      <c r="B104">
        <v>9</v>
      </c>
      <c r="C104">
        <v>9.0060932894479002</v>
      </c>
      <c r="D104">
        <f>B104-C104</f>
        <v>-6.0932894479002186E-3</v>
      </c>
      <c r="F104">
        <v>1414</v>
      </c>
      <c r="G104">
        <v>2.4300000000000002</v>
      </c>
      <c r="H104">
        <v>2.8288307483720301</v>
      </c>
      <c r="I104">
        <f>G104-H104</f>
        <v>-0.39883074837202992</v>
      </c>
      <c r="K104">
        <v>1415</v>
      </c>
      <c r="L104">
        <v>1.69</v>
      </c>
      <c r="M104">
        <v>2.3228105215555002</v>
      </c>
      <c r="N104">
        <f>L104-M104</f>
        <v>-0.63281052155550022</v>
      </c>
      <c r="P104">
        <v>1532</v>
      </c>
      <c r="Q104">
        <v>2.2200000000000002</v>
      </c>
      <c r="R104">
        <v>3.0391905907142398</v>
      </c>
      <c r="S104">
        <f>Q104-R104</f>
        <v>-0.81919059071423961</v>
      </c>
      <c r="U104">
        <v>1414</v>
      </c>
      <c r="V104">
        <v>1.77</v>
      </c>
      <c r="W104">
        <v>2.0607107541191998</v>
      </c>
      <c r="X104">
        <f t="shared" si="1"/>
        <v>-0.29071075411919978</v>
      </c>
    </row>
    <row r="105" spans="1:24" x14ac:dyDescent="0.25">
      <c r="A105">
        <v>1416</v>
      </c>
      <c r="B105">
        <v>4.8</v>
      </c>
      <c r="C105">
        <v>4.4757207654936702</v>
      </c>
      <c r="D105">
        <f>B105-C105</f>
        <v>0.32427923450632967</v>
      </c>
      <c r="F105">
        <v>1415</v>
      </c>
      <c r="G105">
        <v>3.43</v>
      </c>
      <c r="H105">
        <v>3.4236925984926101</v>
      </c>
      <c r="I105">
        <f>G105-H105</f>
        <v>6.3074015073900647E-3</v>
      </c>
      <c r="K105">
        <v>1417</v>
      </c>
      <c r="L105">
        <v>1.44</v>
      </c>
      <c r="M105">
        <v>1.64344048482326</v>
      </c>
      <c r="N105">
        <f>L105-M105</f>
        <v>-0.20344048482326005</v>
      </c>
      <c r="P105">
        <v>1536</v>
      </c>
      <c r="Q105">
        <v>2.79</v>
      </c>
      <c r="R105">
        <v>2.4862868759218801</v>
      </c>
      <c r="S105">
        <f>Q105-R105</f>
        <v>0.3037131240781199</v>
      </c>
      <c r="U105">
        <v>1415</v>
      </c>
      <c r="V105">
        <v>1.88</v>
      </c>
      <c r="W105">
        <v>1.9361480396835999</v>
      </c>
      <c r="X105">
        <f t="shared" si="1"/>
        <v>-5.6148039683600048E-2</v>
      </c>
    </row>
    <row r="106" spans="1:24" x14ac:dyDescent="0.25">
      <c r="A106">
        <v>1417</v>
      </c>
      <c r="B106">
        <v>3.4</v>
      </c>
      <c r="C106">
        <v>3.5874912099696701</v>
      </c>
      <c r="D106">
        <f>B106-C106</f>
        <v>-0.18749120996967017</v>
      </c>
      <c r="F106">
        <v>1416</v>
      </c>
      <c r="G106">
        <v>3.37</v>
      </c>
      <c r="H106">
        <v>3.7972732516748802</v>
      </c>
      <c r="I106">
        <f>G106-H106</f>
        <v>-0.42727325167488006</v>
      </c>
      <c r="K106">
        <v>1419</v>
      </c>
      <c r="L106">
        <v>4.5</v>
      </c>
      <c r="M106">
        <v>3.9731311598853498</v>
      </c>
      <c r="N106">
        <f>L106-M106</f>
        <v>0.52686884011465018</v>
      </c>
      <c r="P106">
        <v>1537</v>
      </c>
      <c r="Q106">
        <v>3.11</v>
      </c>
      <c r="R106">
        <v>3.2636099638062399</v>
      </c>
      <c r="S106">
        <f>Q106-R106</f>
        <v>-0.15360996380624004</v>
      </c>
      <c r="U106">
        <v>1416</v>
      </c>
      <c r="V106">
        <v>2.42</v>
      </c>
      <c r="W106">
        <v>2.2914252863949698</v>
      </c>
      <c r="X106">
        <f t="shared" si="1"/>
        <v>0.12857471360503014</v>
      </c>
    </row>
    <row r="107" spans="1:24" x14ac:dyDescent="0.25">
      <c r="A107">
        <v>1418</v>
      </c>
      <c r="B107">
        <v>9</v>
      </c>
      <c r="C107">
        <v>9.0528435905491698</v>
      </c>
      <c r="D107">
        <f>B107-C107</f>
        <v>-5.2843590549169761E-2</v>
      </c>
      <c r="F107">
        <v>1417</v>
      </c>
      <c r="G107">
        <v>3.53</v>
      </c>
      <c r="H107">
        <v>3.6552032828155898</v>
      </c>
      <c r="I107">
        <f>G107-H107</f>
        <v>-0.12520328281559001</v>
      </c>
      <c r="K107">
        <v>1452</v>
      </c>
      <c r="L107">
        <v>3.23</v>
      </c>
      <c r="M107">
        <v>3.0737599794423001</v>
      </c>
      <c r="N107">
        <f>L107-M107</f>
        <v>0.15624002055769992</v>
      </c>
      <c r="P107">
        <v>1538</v>
      </c>
      <c r="Q107">
        <v>3.31</v>
      </c>
      <c r="R107">
        <v>3.5784180586461098</v>
      </c>
      <c r="S107">
        <f>Q107-R107</f>
        <v>-0.26841805864610979</v>
      </c>
      <c r="U107">
        <v>1417</v>
      </c>
      <c r="V107">
        <v>2.77</v>
      </c>
      <c r="W107">
        <v>2.9130591352216801</v>
      </c>
      <c r="X107">
        <f t="shared" si="1"/>
        <v>-0.14305913522168012</v>
      </c>
    </row>
    <row r="108" spans="1:24" x14ac:dyDescent="0.25">
      <c r="A108">
        <v>1419</v>
      </c>
      <c r="B108">
        <v>11</v>
      </c>
      <c r="C108">
        <v>10.9238959577418</v>
      </c>
      <c r="D108">
        <f>B108-C108</f>
        <v>7.6104042258199556E-2</v>
      </c>
      <c r="F108">
        <v>1418</v>
      </c>
      <c r="G108">
        <v>5.23</v>
      </c>
      <c r="H108">
        <v>5.4033800478798897</v>
      </c>
      <c r="I108">
        <f>G108-H108</f>
        <v>-0.17338004787988925</v>
      </c>
      <c r="K108">
        <v>1451</v>
      </c>
      <c r="L108">
        <v>0.93</v>
      </c>
      <c r="M108">
        <v>0.65076848446186597</v>
      </c>
      <c r="N108">
        <f>L108-M108</f>
        <v>0.27923151553813408</v>
      </c>
      <c r="P108">
        <v>1539</v>
      </c>
      <c r="Q108">
        <v>4.0999999999999996</v>
      </c>
      <c r="R108">
        <v>3.3190044687173601</v>
      </c>
      <c r="S108">
        <f>Q108-R108</f>
        <v>0.78099553128263954</v>
      </c>
      <c r="U108">
        <v>1418</v>
      </c>
      <c r="V108">
        <v>3.66</v>
      </c>
      <c r="W108">
        <v>3.6443092723993402</v>
      </c>
      <c r="X108">
        <f t="shared" si="1"/>
        <v>1.5690727600659926E-2</v>
      </c>
    </row>
    <row r="109" spans="1:24" x14ac:dyDescent="0.25">
      <c r="A109">
        <v>1420</v>
      </c>
      <c r="B109">
        <v>3.3</v>
      </c>
      <c r="C109">
        <v>3.3065767204929002</v>
      </c>
      <c r="D109">
        <f>B109-C109</f>
        <v>-6.5767204929003675E-3</v>
      </c>
      <c r="F109">
        <v>1419</v>
      </c>
      <c r="G109">
        <v>6.35</v>
      </c>
      <c r="H109">
        <v>6.1306074258856604</v>
      </c>
      <c r="I109">
        <f>G109-H109</f>
        <v>0.21939257411433921</v>
      </c>
      <c r="K109">
        <v>1450</v>
      </c>
      <c r="L109">
        <v>1.75</v>
      </c>
      <c r="M109">
        <v>1.5164323822694801</v>
      </c>
      <c r="N109">
        <f>L109-M109</f>
        <v>0.23356761773051993</v>
      </c>
      <c r="P109">
        <v>1540</v>
      </c>
      <c r="Q109">
        <v>2.78</v>
      </c>
      <c r="R109">
        <v>3.1259448600045698</v>
      </c>
      <c r="S109">
        <f>Q109-R109</f>
        <v>-0.34594486000457003</v>
      </c>
      <c r="U109">
        <v>1419</v>
      </c>
      <c r="V109">
        <v>4.0199999999999996</v>
      </c>
      <c r="W109">
        <v>3.9898196033573301</v>
      </c>
      <c r="X109">
        <f t="shared" si="1"/>
        <v>3.0180396642669471E-2</v>
      </c>
    </row>
    <row r="110" spans="1:24" x14ac:dyDescent="0.25">
      <c r="A110">
        <v>1452</v>
      </c>
      <c r="B110">
        <v>8.3000000000000007</v>
      </c>
      <c r="C110">
        <v>7.4330877878559303</v>
      </c>
      <c r="D110">
        <f>B110-C110</f>
        <v>0.86691221214407044</v>
      </c>
      <c r="F110">
        <v>1420</v>
      </c>
      <c r="G110">
        <v>3.95</v>
      </c>
      <c r="H110">
        <v>3.01632632885689</v>
      </c>
      <c r="I110">
        <f>G110-H110</f>
        <v>0.93367367114311017</v>
      </c>
      <c r="K110">
        <v>1528</v>
      </c>
      <c r="L110">
        <v>1.24</v>
      </c>
      <c r="M110">
        <v>1.0330933201277299</v>
      </c>
      <c r="N110">
        <f>L110-M110</f>
        <v>0.20690667987227007</v>
      </c>
      <c r="P110">
        <v>1573</v>
      </c>
      <c r="Q110">
        <v>1.52</v>
      </c>
      <c r="R110">
        <v>1.7812710687326301</v>
      </c>
      <c r="S110">
        <f>Q110-R110</f>
        <v>-0.26127106873263006</v>
      </c>
      <c r="U110">
        <v>1420</v>
      </c>
      <c r="V110">
        <v>3.06</v>
      </c>
      <c r="W110">
        <v>2.6995337018016401</v>
      </c>
      <c r="X110">
        <f t="shared" si="1"/>
        <v>0.36046629819835996</v>
      </c>
    </row>
    <row r="111" spans="1:24" x14ac:dyDescent="0.25">
      <c r="A111">
        <v>1451</v>
      </c>
      <c r="B111">
        <v>1.9</v>
      </c>
      <c r="C111">
        <v>2.0707435357399602</v>
      </c>
      <c r="D111">
        <f>B111-C111</f>
        <v>-0.17074353573996026</v>
      </c>
      <c r="F111">
        <v>1452</v>
      </c>
      <c r="G111">
        <v>4.4800000000000004</v>
      </c>
      <c r="H111">
        <v>4.5668852530813604</v>
      </c>
      <c r="I111">
        <f>G111-H111</f>
        <v>-8.688525308135997E-2</v>
      </c>
      <c r="K111">
        <v>1529</v>
      </c>
      <c r="L111">
        <v>1.49</v>
      </c>
      <c r="M111">
        <v>1.8683992458385299</v>
      </c>
      <c r="N111">
        <f>L111-M111</f>
        <v>-0.37839924583852991</v>
      </c>
      <c r="P111">
        <v>1575</v>
      </c>
      <c r="Q111">
        <v>1.81</v>
      </c>
      <c r="R111">
        <v>2.0067487714993302</v>
      </c>
      <c r="S111">
        <f>Q111-R111</f>
        <v>-0.19674877149933012</v>
      </c>
      <c r="U111">
        <v>1452</v>
      </c>
      <c r="V111">
        <v>3.34</v>
      </c>
      <c r="W111">
        <v>3.3995010206679099</v>
      </c>
      <c r="X111">
        <f t="shared" si="1"/>
        <v>-5.9501020667910076E-2</v>
      </c>
    </row>
    <row r="112" spans="1:24" x14ac:dyDescent="0.25">
      <c r="A112">
        <v>1450</v>
      </c>
      <c r="B112">
        <v>3.7</v>
      </c>
      <c r="C112">
        <v>3.3968494647376501</v>
      </c>
      <c r="D112">
        <f>B112-C112</f>
        <v>0.30315053526235003</v>
      </c>
      <c r="F112">
        <v>1451</v>
      </c>
      <c r="G112">
        <v>2.61</v>
      </c>
      <c r="H112">
        <v>2.5384386589258701</v>
      </c>
      <c r="I112">
        <f>G112-H112</f>
        <v>7.1561341074129814E-2</v>
      </c>
      <c r="K112">
        <v>1530</v>
      </c>
      <c r="L112">
        <v>2.76</v>
      </c>
      <c r="M112">
        <v>2.0934386415878801</v>
      </c>
      <c r="N112">
        <f>L112-M112</f>
        <v>0.66656135841211972</v>
      </c>
      <c r="P112">
        <v>1577</v>
      </c>
      <c r="Q112">
        <v>2.72</v>
      </c>
      <c r="R112">
        <v>2.8094255007873898</v>
      </c>
      <c r="S112">
        <f>Q112-R112</f>
        <v>-8.9425500787389645E-2</v>
      </c>
      <c r="U112">
        <v>1451</v>
      </c>
      <c r="V112">
        <v>1.49</v>
      </c>
      <c r="W112">
        <v>1.7285282289680599</v>
      </c>
      <c r="X112">
        <f t="shared" si="1"/>
        <v>-0.23852822896805992</v>
      </c>
    </row>
    <row r="113" spans="1:24" x14ac:dyDescent="0.25">
      <c r="A113">
        <v>1528</v>
      </c>
      <c r="B113">
        <v>2.4</v>
      </c>
      <c r="C113">
        <v>2.4201745015147802</v>
      </c>
      <c r="D113">
        <f>B113-C113</f>
        <v>-2.0174501514780285E-2</v>
      </c>
      <c r="F113">
        <v>1450</v>
      </c>
      <c r="G113">
        <v>3.77</v>
      </c>
      <c r="H113">
        <v>3.1059004497402301</v>
      </c>
      <c r="I113">
        <f>G113-H113</f>
        <v>0.66409955025976997</v>
      </c>
      <c r="K113">
        <v>1531</v>
      </c>
      <c r="L113">
        <v>2.33</v>
      </c>
      <c r="M113">
        <v>2.0736748806724701</v>
      </c>
      <c r="N113">
        <f>L113-M113</f>
        <v>0.25632511932752999</v>
      </c>
      <c r="P113">
        <v>1583</v>
      </c>
      <c r="Q113">
        <v>3.66</v>
      </c>
      <c r="R113">
        <v>4.1298924303762403</v>
      </c>
      <c r="S113">
        <f>Q113-R113</f>
        <v>-0.46989243037624018</v>
      </c>
      <c r="U113">
        <v>1450</v>
      </c>
      <c r="V113">
        <v>2.74</v>
      </c>
      <c r="W113">
        <v>2.5829770484694499</v>
      </c>
      <c r="X113">
        <f t="shared" si="1"/>
        <v>0.15702295153055035</v>
      </c>
    </row>
    <row r="114" spans="1:24" x14ac:dyDescent="0.25">
      <c r="A114">
        <v>1529</v>
      </c>
      <c r="B114">
        <v>4.0999999999999996</v>
      </c>
      <c r="C114">
        <v>4.2661840713888504</v>
      </c>
      <c r="D114">
        <f>B114-C114</f>
        <v>-0.16618407138885072</v>
      </c>
      <c r="F114">
        <v>1528</v>
      </c>
      <c r="G114">
        <v>3.02</v>
      </c>
      <c r="H114">
        <v>3.30721257106529</v>
      </c>
      <c r="I114">
        <f>G114-H114</f>
        <v>-0.28721257106528997</v>
      </c>
      <c r="K114">
        <v>1532</v>
      </c>
      <c r="L114">
        <v>3.13</v>
      </c>
      <c r="M114">
        <v>2.25127176345734</v>
      </c>
      <c r="N114">
        <f>L114-M114</f>
        <v>0.87872823654265986</v>
      </c>
      <c r="P114">
        <v>1584</v>
      </c>
      <c r="Q114">
        <v>2.0099999999999998</v>
      </c>
      <c r="R114">
        <v>1.8625307227366199</v>
      </c>
      <c r="S114">
        <f>Q114-R114</f>
        <v>0.14746927726337988</v>
      </c>
      <c r="U114">
        <v>1528</v>
      </c>
      <c r="V114">
        <v>2.2599999999999998</v>
      </c>
      <c r="W114">
        <v>2.6346807642893899</v>
      </c>
      <c r="X114">
        <f t="shared" si="1"/>
        <v>-0.37468076428939012</v>
      </c>
    </row>
    <row r="115" spans="1:24" x14ac:dyDescent="0.25">
      <c r="A115">
        <v>1530</v>
      </c>
      <c r="B115">
        <v>5.7</v>
      </c>
      <c r="C115">
        <v>4.8856214173156003</v>
      </c>
      <c r="D115">
        <f>B115-C115</f>
        <v>0.81437858268439989</v>
      </c>
      <c r="F115">
        <v>1529</v>
      </c>
      <c r="G115">
        <v>3.18</v>
      </c>
      <c r="H115">
        <v>2.9437638181839798</v>
      </c>
      <c r="I115">
        <f>G115-H115</f>
        <v>0.23623618181602035</v>
      </c>
      <c r="K115">
        <v>1533</v>
      </c>
      <c r="L115">
        <v>0.35</v>
      </c>
      <c r="M115">
        <v>0.40883324843423302</v>
      </c>
      <c r="N115">
        <f>L115-M115</f>
        <v>-5.8833248434233043E-2</v>
      </c>
      <c r="P115">
        <v>1585</v>
      </c>
      <c r="Q115">
        <v>3.31</v>
      </c>
      <c r="R115">
        <v>4.0067817685089997</v>
      </c>
      <c r="S115">
        <f>Q115-R115</f>
        <v>-0.69678176850899964</v>
      </c>
      <c r="U115">
        <v>1529</v>
      </c>
      <c r="V115">
        <v>1.98</v>
      </c>
      <c r="W115">
        <v>1.92709936185179</v>
      </c>
      <c r="X115">
        <f t="shared" si="1"/>
        <v>5.290063814821E-2</v>
      </c>
    </row>
    <row r="116" spans="1:24" x14ac:dyDescent="0.25">
      <c r="A116">
        <v>1531</v>
      </c>
      <c r="B116">
        <v>3.9</v>
      </c>
      <c r="C116">
        <v>4.1682425732795201</v>
      </c>
      <c r="D116">
        <f>B116-C116</f>
        <v>-0.26824257327952017</v>
      </c>
      <c r="F116">
        <v>1530</v>
      </c>
      <c r="G116">
        <v>4.3600000000000003</v>
      </c>
      <c r="H116">
        <v>3.8396436582247699</v>
      </c>
      <c r="I116">
        <f>G116-H116</f>
        <v>0.52035634177523038</v>
      </c>
      <c r="K116">
        <v>1534</v>
      </c>
      <c r="L116">
        <v>0.35</v>
      </c>
      <c r="M116">
        <v>0.50729416431934704</v>
      </c>
      <c r="N116">
        <f>L116-M116</f>
        <v>-0.15729416431934706</v>
      </c>
      <c r="P116">
        <v>1586</v>
      </c>
      <c r="Q116">
        <v>1.94</v>
      </c>
      <c r="R116">
        <v>3.31556706944624</v>
      </c>
      <c r="S116">
        <f>Q116-R116</f>
        <v>-1.3755670694462401</v>
      </c>
      <c r="U116">
        <v>1530</v>
      </c>
      <c r="V116">
        <v>3.04</v>
      </c>
      <c r="W116">
        <v>2.7877076976229498</v>
      </c>
      <c r="X116">
        <f t="shared" si="1"/>
        <v>0.25229230237705025</v>
      </c>
    </row>
    <row r="117" spans="1:24" x14ac:dyDescent="0.25">
      <c r="A117">
        <v>1532</v>
      </c>
      <c r="B117">
        <v>4.5999999999999996</v>
      </c>
      <c r="C117">
        <v>4.9804024978342403</v>
      </c>
      <c r="D117">
        <f>B117-C117</f>
        <v>-0.38040249783424063</v>
      </c>
      <c r="F117">
        <v>1531</v>
      </c>
      <c r="G117">
        <v>3.15</v>
      </c>
      <c r="H117">
        <v>3.08919404872527</v>
      </c>
      <c r="I117">
        <f>G117-H117</f>
        <v>6.0805951274729875E-2</v>
      </c>
      <c r="K117">
        <v>1536</v>
      </c>
      <c r="L117">
        <v>1.61</v>
      </c>
      <c r="M117">
        <v>1.8682634421235</v>
      </c>
      <c r="N117">
        <f>L117-M117</f>
        <v>-0.25826344212349994</v>
      </c>
      <c r="P117">
        <v>1587</v>
      </c>
      <c r="Q117">
        <v>2.76</v>
      </c>
      <c r="R117">
        <v>2.9163830940795701</v>
      </c>
      <c r="S117">
        <f>Q117-R117</f>
        <v>-0.1563830940795703</v>
      </c>
      <c r="U117">
        <v>1531</v>
      </c>
      <c r="V117">
        <v>2.2400000000000002</v>
      </c>
      <c r="W117">
        <v>2.1265006834496898</v>
      </c>
      <c r="X117">
        <f t="shared" si="1"/>
        <v>0.11349931655031043</v>
      </c>
    </row>
    <row r="118" spans="1:24" x14ac:dyDescent="0.25">
      <c r="A118">
        <v>1533</v>
      </c>
      <c r="B118">
        <v>0.83</v>
      </c>
      <c r="C118">
        <v>0.88137643051901904</v>
      </c>
      <c r="D118">
        <f>B118-C118</f>
        <v>-5.1376430519019078E-2</v>
      </c>
      <c r="F118">
        <v>1532</v>
      </c>
      <c r="G118">
        <v>3.8</v>
      </c>
      <c r="H118">
        <v>4.0543396684545199</v>
      </c>
      <c r="I118">
        <f>G118-H118</f>
        <v>-0.25433966845452005</v>
      </c>
      <c r="K118">
        <v>1537</v>
      </c>
      <c r="L118">
        <v>1.41</v>
      </c>
      <c r="M118">
        <v>1.6384710743397899</v>
      </c>
      <c r="N118">
        <f>L118-M118</f>
        <v>-0.22847107433978997</v>
      </c>
      <c r="P118">
        <v>1590</v>
      </c>
      <c r="Q118">
        <v>2.6</v>
      </c>
      <c r="R118">
        <v>3.5678266157551799</v>
      </c>
      <c r="S118">
        <f>Q118-R118</f>
        <v>-0.96782661575517981</v>
      </c>
      <c r="U118">
        <v>1532</v>
      </c>
      <c r="V118">
        <v>2.38</v>
      </c>
      <c r="W118">
        <v>2.8364881300292599</v>
      </c>
      <c r="X118">
        <f t="shared" si="1"/>
        <v>-0.45648813002926003</v>
      </c>
    </row>
    <row r="119" spans="1:24" x14ac:dyDescent="0.25">
      <c r="A119">
        <v>1534</v>
      </c>
      <c r="B119">
        <v>0.67</v>
      </c>
      <c r="C119">
        <v>1.02605934640152</v>
      </c>
      <c r="D119">
        <f>B119-C119</f>
        <v>-0.35605934640151993</v>
      </c>
      <c r="F119">
        <v>1533</v>
      </c>
      <c r="G119">
        <v>0.92</v>
      </c>
      <c r="H119">
        <v>1.14784860808511</v>
      </c>
      <c r="I119">
        <f>G119-H119</f>
        <v>-0.22784860808510998</v>
      </c>
      <c r="K119">
        <v>1538</v>
      </c>
      <c r="L119">
        <v>0.97</v>
      </c>
      <c r="M119">
        <v>0.82745021428129595</v>
      </c>
      <c r="N119">
        <f>L119-M119</f>
        <v>0.14254978571870403</v>
      </c>
      <c r="P119">
        <v>1596</v>
      </c>
      <c r="Q119">
        <v>2.41</v>
      </c>
      <c r="R119">
        <v>2.6768820871638699</v>
      </c>
      <c r="S119">
        <f>Q119-R119</f>
        <v>-0.26688208716386974</v>
      </c>
      <c r="U119">
        <v>1533</v>
      </c>
      <c r="V119">
        <v>0.87</v>
      </c>
      <c r="W119">
        <v>0.954366606006812</v>
      </c>
      <c r="X119">
        <f t="shared" si="1"/>
        <v>-8.4366606006812006E-2</v>
      </c>
    </row>
    <row r="120" spans="1:24" x14ac:dyDescent="0.25">
      <c r="A120">
        <v>1536</v>
      </c>
      <c r="B120">
        <v>4.3</v>
      </c>
      <c r="C120">
        <v>3.9495137534667402</v>
      </c>
      <c r="D120">
        <f>B120-C120</f>
        <v>0.35048624653325966</v>
      </c>
      <c r="F120">
        <v>1534</v>
      </c>
      <c r="G120">
        <v>0.98</v>
      </c>
      <c r="H120">
        <v>1.1704436937539699</v>
      </c>
      <c r="I120">
        <f>G120-H120</f>
        <v>-0.19044369375396997</v>
      </c>
      <c r="K120">
        <v>1539</v>
      </c>
      <c r="L120">
        <v>2.19</v>
      </c>
      <c r="M120">
        <v>2.0380497115829499</v>
      </c>
      <c r="N120">
        <f>L120-M120</f>
        <v>0.15195028841705005</v>
      </c>
      <c r="P120">
        <v>1599</v>
      </c>
      <c r="Q120">
        <v>6.03</v>
      </c>
      <c r="R120">
        <v>5.86083856784989</v>
      </c>
      <c r="S120">
        <f>Q120-R120</f>
        <v>0.16916143215011026</v>
      </c>
      <c r="U120">
        <v>1534</v>
      </c>
      <c r="V120">
        <v>0.84</v>
      </c>
      <c r="W120">
        <v>0.92004279582830095</v>
      </c>
      <c r="X120">
        <f t="shared" si="1"/>
        <v>-8.0042795828300983E-2</v>
      </c>
    </row>
    <row r="121" spans="1:24" x14ac:dyDescent="0.25">
      <c r="A121">
        <v>1537</v>
      </c>
      <c r="B121">
        <v>3.1</v>
      </c>
      <c r="C121">
        <v>3.80797675196618</v>
      </c>
      <c r="D121">
        <f>B121-C121</f>
        <v>-0.70797675196617993</v>
      </c>
      <c r="F121">
        <v>1536</v>
      </c>
      <c r="G121">
        <v>4.9000000000000004</v>
      </c>
      <c r="H121">
        <v>4.6397892053826801</v>
      </c>
      <c r="I121">
        <f>G121-H121</f>
        <v>0.26021079461732022</v>
      </c>
      <c r="K121">
        <v>1540</v>
      </c>
      <c r="L121">
        <v>1.67</v>
      </c>
      <c r="M121">
        <v>1.77261806088491</v>
      </c>
      <c r="N121">
        <f>L121-M121</f>
        <v>-0.1026180608849101</v>
      </c>
      <c r="P121">
        <v>1602</v>
      </c>
      <c r="Q121">
        <v>4.5999999999999996</v>
      </c>
      <c r="R121">
        <v>3.87819767431023</v>
      </c>
      <c r="S121">
        <f>Q121-R121</f>
        <v>0.72180232568976965</v>
      </c>
      <c r="U121">
        <v>1536</v>
      </c>
      <c r="V121">
        <v>4.49</v>
      </c>
      <c r="W121">
        <v>4.3600489835564797</v>
      </c>
      <c r="X121">
        <f t="shared" si="1"/>
        <v>0.12995101644352047</v>
      </c>
    </row>
    <row r="122" spans="1:24" x14ac:dyDescent="0.25">
      <c r="A122">
        <v>1538</v>
      </c>
      <c r="B122">
        <v>2.2999999999999998</v>
      </c>
      <c r="C122">
        <v>1.5941367545505001</v>
      </c>
      <c r="D122">
        <f>B122-C122</f>
        <v>0.70586324544949974</v>
      </c>
      <c r="F122">
        <v>1537</v>
      </c>
      <c r="G122">
        <v>3.53</v>
      </c>
      <c r="H122">
        <v>3.4952816439922199</v>
      </c>
      <c r="I122">
        <f>G122-H122</f>
        <v>3.4718356007779949E-2</v>
      </c>
      <c r="K122">
        <v>1573</v>
      </c>
      <c r="L122">
        <v>0.17</v>
      </c>
      <c r="M122">
        <v>0.38317106825808001</v>
      </c>
      <c r="N122">
        <f>L122-M122</f>
        <v>-0.21317106825807999</v>
      </c>
      <c r="P122">
        <v>1603</v>
      </c>
      <c r="Q122">
        <v>4.3899999999999997</v>
      </c>
      <c r="R122">
        <v>3.5406975535110798</v>
      </c>
      <c r="S122">
        <f>Q122-R122</f>
        <v>0.84930244648891984</v>
      </c>
      <c r="U122">
        <v>1537</v>
      </c>
      <c r="V122">
        <v>2.92</v>
      </c>
      <c r="W122">
        <v>2.9145247918318198</v>
      </c>
      <c r="X122">
        <f t="shared" si="1"/>
        <v>5.4752081681801457E-3</v>
      </c>
    </row>
    <row r="123" spans="1:24" x14ac:dyDescent="0.25">
      <c r="A123">
        <v>1539</v>
      </c>
      <c r="B123">
        <v>4.8</v>
      </c>
      <c r="C123">
        <v>4.7937369015531504</v>
      </c>
      <c r="D123">
        <f>B123-C123</f>
        <v>6.2630984468494688E-3</v>
      </c>
      <c r="F123">
        <v>1538</v>
      </c>
      <c r="G123">
        <v>2.48</v>
      </c>
      <c r="H123">
        <v>2.6944879098823802</v>
      </c>
      <c r="I123">
        <f>G123-H123</f>
        <v>-0.2144879098823802</v>
      </c>
      <c r="K123">
        <v>1575</v>
      </c>
      <c r="L123">
        <v>0.25</v>
      </c>
      <c r="M123">
        <v>0.72198130681210804</v>
      </c>
      <c r="N123">
        <f>L123-M123</f>
        <v>-0.47198130681210804</v>
      </c>
      <c r="P123">
        <v>1604</v>
      </c>
      <c r="Q123">
        <v>3.37</v>
      </c>
      <c r="R123">
        <v>3.5055374087400399</v>
      </c>
      <c r="S123">
        <f>Q123-R123</f>
        <v>-0.13553740874003983</v>
      </c>
      <c r="U123">
        <v>1538</v>
      </c>
      <c r="V123">
        <v>2.25</v>
      </c>
      <c r="W123">
        <v>2.2299234306306901</v>
      </c>
      <c r="X123">
        <f t="shared" si="1"/>
        <v>2.0076569369309905E-2</v>
      </c>
    </row>
    <row r="124" spans="1:24" x14ac:dyDescent="0.25">
      <c r="A124">
        <v>1540</v>
      </c>
      <c r="B124">
        <v>3.4</v>
      </c>
      <c r="C124">
        <v>3.6034070086773902</v>
      </c>
      <c r="D124">
        <f>B124-C124</f>
        <v>-0.20340700867739026</v>
      </c>
      <c r="F124">
        <v>1539</v>
      </c>
      <c r="G124">
        <v>5.01</v>
      </c>
      <c r="H124">
        <v>4.2240313104551701</v>
      </c>
      <c r="I124">
        <f>G124-H124</f>
        <v>0.78596868954482968</v>
      </c>
      <c r="K124">
        <v>1577</v>
      </c>
      <c r="L124">
        <v>0.63</v>
      </c>
      <c r="M124">
        <v>1.6289889087105001</v>
      </c>
      <c r="N124">
        <f>L124-M124</f>
        <v>-0.99898890871050006</v>
      </c>
      <c r="P124">
        <v>1605</v>
      </c>
      <c r="Q124">
        <v>3.98</v>
      </c>
      <c r="R124">
        <v>3.7723886815589101</v>
      </c>
      <c r="S124">
        <f>Q124-R124</f>
        <v>0.20761131844108993</v>
      </c>
      <c r="U124">
        <v>1539</v>
      </c>
      <c r="V124">
        <v>3.81</v>
      </c>
      <c r="W124">
        <v>3.3570487925798198</v>
      </c>
      <c r="X124">
        <f t="shared" si="1"/>
        <v>0.45295120742018025</v>
      </c>
    </row>
    <row r="125" spans="1:24" x14ac:dyDescent="0.25">
      <c r="A125">
        <v>1573</v>
      </c>
      <c r="B125">
        <v>0.77</v>
      </c>
      <c r="C125">
        <v>1.1267728779660999</v>
      </c>
      <c r="D125">
        <f>B125-C125</f>
        <v>-0.35677287796609991</v>
      </c>
      <c r="F125">
        <v>1540</v>
      </c>
      <c r="G125">
        <v>3.6</v>
      </c>
      <c r="H125">
        <v>3.4583954319964798</v>
      </c>
      <c r="I125">
        <f>G125-H125</f>
        <v>0.14160456800352028</v>
      </c>
      <c r="K125">
        <v>1583</v>
      </c>
      <c r="L125">
        <v>1.45</v>
      </c>
      <c r="M125">
        <v>3.18643960132251</v>
      </c>
      <c r="N125">
        <f>L125-M125</f>
        <v>-1.7364396013225101</v>
      </c>
      <c r="P125">
        <v>1606</v>
      </c>
      <c r="Q125">
        <v>5.55</v>
      </c>
      <c r="R125">
        <v>3.6602276878625801</v>
      </c>
      <c r="S125">
        <f>Q125-R125</f>
        <v>1.8897723121374197</v>
      </c>
      <c r="U125">
        <v>1540</v>
      </c>
      <c r="V125">
        <v>2.59</v>
      </c>
      <c r="W125">
        <v>2.6372558537582602</v>
      </c>
      <c r="X125">
        <f t="shared" si="1"/>
        <v>-4.7255853758260358E-2</v>
      </c>
    </row>
    <row r="126" spans="1:24" x14ac:dyDescent="0.25">
      <c r="A126">
        <v>1575</v>
      </c>
      <c r="B126">
        <v>0.94</v>
      </c>
      <c r="C126">
        <v>1.1576025985332701</v>
      </c>
      <c r="D126">
        <f>B126-C126</f>
        <v>-0.21760259853327013</v>
      </c>
      <c r="F126">
        <v>1573</v>
      </c>
      <c r="G126">
        <v>1.1200000000000001</v>
      </c>
      <c r="H126">
        <v>1.3545035806522301</v>
      </c>
      <c r="I126">
        <f>G126-H126</f>
        <v>-0.23450358065222998</v>
      </c>
      <c r="K126">
        <v>1584</v>
      </c>
      <c r="L126">
        <v>0.17</v>
      </c>
      <c r="M126">
        <v>0.103067791148403</v>
      </c>
      <c r="N126">
        <f>L126-M126</f>
        <v>6.6932208851597008E-2</v>
      </c>
      <c r="P126">
        <v>1607</v>
      </c>
      <c r="Q126">
        <v>4.04</v>
      </c>
      <c r="R126">
        <v>3.4815385362144702</v>
      </c>
      <c r="S126">
        <f>Q126-R126</f>
        <v>0.55846146378552985</v>
      </c>
      <c r="U126">
        <v>1573</v>
      </c>
      <c r="V126">
        <v>1.1100000000000001</v>
      </c>
      <c r="W126">
        <v>1.1982510163795601</v>
      </c>
      <c r="X126">
        <f t="shared" si="1"/>
        <v>-8.825101637956001E-2</v>
      </c>
    </row>
    <row r="127" spans="1:24" x14ac:dyDescent="0.25">
      <c r="A127">
        <v>1577</v>
      </c>
      <c r="B127">
        <v>2.2000000000000002</v>
      </c>
      <c r="C127">
        <v>3.1844475308308402</v>
      </c>
      <c r="D127">
        <f>B127-C127</f>
        <v>-0.98444753083084002</v>
      </c>
      <c r="F127">
        <v>1575</v>
      </c>
      <c r="G127">
        <v>1.7</v>
      </c>
      <c r="H127">
        <v>1.86738996371499</v>
      </c>
      <c r="I127">
        <f>G127-H127</f>
        <v>-0.16738996371499004</v>
      </c>
      <c r="K127">
        <v>1585</v>
      </c>
      <c r="L127">
        <v>3.03</v>
      </c>
      <c r="M127">
        <v>3.0912508244554302</v>
      </c>
      <c r="N127">
        <f>L127-M127</f>
        <v>-6.1250824455430397E-2</v>
      </c>
      <c r="P127">
        <v>1608</v>
      </c>
      <c r="Q127">
        <v>2.46</v>
      </c>
      <c r="R127">
        <v>4.0509282160529496</v>
      </c>
      <c r="S127">
        <f>Q127-R127</f>
        <v>-1.5909282160529497</v>
      </c>
      <c r="U127">
        <v>1575</v>
      </c>
      <c r="V127">
        <v>1.66</v>
      </c>
      <c r="W127">
        <v>1.7054351158208301</v>
      </c>
      <c r="X127">
        <f t="shared" si="1"/>
        <v>-4.5435115820830152E-2</v>
      </c>
    </row>
    <row r="128" spans="1:24" x14ac:dyDescent="0.25">
      <c r="A128">
        <v>1583</v>
      </c>
      <c r="B128">
        <v>4.5</v>
      </c>
      <c r="C128">
        <v>6.6782321673109699</v>
      </c>
      <c r="D128">
        <f>B128-C128</f>
        <v>-2.1782321673109699</v>
      </c>
      <c r="F128">
        <v>1577</v>
      </c>
      <c r="G128">
        <v>2.42</v>
      </c>
      <c r="H128">
        <v>2.6161222158045998</v>
      </c>
      <c r="I128">
        <f>G128-H128</f>
        <v>-0.19612221580459988</v>
      </c>
      <c r="K128">
        <v>1586</v>
      </c>
      <c r="L128">
        <v>0.73</v>
      </c>
      <c r="M128">
        <v>2.5190426950038098</v>
      </c>
      <c r="N128">
        <f>L128-M128</f>
        <v>-1.7890426950038099</v>
      </c>
      <c r="P128">
        <v>1609</v>
      </c>
      <c r="Q128">
        <v>3.16</v>
      </c>
      <c r="R128">
        <v>3.22518832798439</v>
      </c>
      <c r="S128">
        <f>Q128-R128</f>
        <v>-6.5188327984389893E-2</v>
      </c>
      <c r="U128">
        <v>1577</v>
      </c>
      <c r="V128">
        <v>2.09</v>
      </c>
      <c r="W128">
        <v>2.1107738759660402</v>
      </c>
      <c r="X128">
        <f t="shared" si="1"/>
        <v>-2.0773875966040301E-2</v>
      </c>
    </row>
    <row r="129" spans="1:24" x14ac:dyDescent="0.25">
      <c r="A129">
        <v>1584</v>
      </c>
      <c r="B129">
        <v>1.1000000000000001</v>
      </c>
      <c r="C129">
        <v>1.0799944046522501</v>
      </c>
      <c r="D129">
        <f>B129-C129</f>
        <v>2.0005595347750038E-2</v>
      </c>
      <c r="F129">
        <v>1583</v>
      </c>
      <c r="G129">
        <v>3.54</v>
      </c>
      <c r="H129">
        <v>4.5001004523562802</v>
      </c>
      <c r="I129">
        <f>G129-H129</f>
        <v>-0.96010045235628017</v>
      </c>
      <c r="K129">
        <v>1587</v>
      </c>
      <c r="L129">
        <v>3.19</v>
      </c>
      <c r="M129">
        <v>1.2806619904077201</v>
      </c>
      <c r="N129">
        <f>L129-M129</f>
        <v>1.9093380095922798</v>
      </c>
      <c r="P129">
        <v>1610</v>
      </c>
      <c r="Q129">
        <v>3.58</v>
      </c>
      <c r="R129">
        <v>3.0778673114934101</v>
      </c>
      <c r="S129">
        <f>Q129-R129</f>
        <v>0.50213268850658999</v>
      </c>
      <c r="U129">
        <v>1583</v>
      </c>
      <c r="V129">
        <v>2.84</v>
      </c>
      <c r="W129">
        <v>3.0088394875780802</v>
      </c>
      <c r="X129">
        <f t="shared" si="1"/>
        <v>-0.16883948757808032</v>
      </c>
    </row>
    <row r="130" spans="1:24" x14ac:dyDescent="0.25">
      <c r="A130">
        <v>1585</v>
      </c>
      <c r="B130">
        <v>6</v>
      </c>
      <c r="C130">
        <v>6.1354782368932703</v>
      </c>
      <c r="D130">
        <f>B130-C130</f>
        <v>-0.13547823689327032</v>
      </c>
      <c r="F130">
        <v>1584</v>
      </c>
      <c r="G130">
        <v>1.78</v>
      </c>
      <c r="H130">
        <v>1.7758630434668701</v>
      </c>
      <c r="I130">
        <f>G130-H130</f>
        <v>4.136956533129954E-3</v>
      </c>
      <c r="K130">
        <v>1590</v>
      </c>
      <c r="L130">
        <v>2.83</v>
      </c>
      <c r="M130">
        <v>2.40294092994499</v>
      </c>
      <c r="N130">
        <f>L130-M130</f>
        <v>0.42705907005501009</v>
      </c>
      <c r="P130">
        <v>1611</v>
      </c>
      <c r="Q130">
        <v>3.53</v>
      </c>
      <c r="R130">
        <v>3.1230506848564401</v>
      </c>
      <c r="S130">
        <f>Q130-R130</f>
        <v>0.4069493151435597</v>
      </c>
      <c r="U130">
        <v>1584</v>
      </c>
      <c r="V130">
        <v>1.67</v>
      </c>
      <c r="W130">
        <v>1.63839054412798</v>
      </c>
      <c r="X130">
        <f t="shared" si="1"/>
        <v>3.1609455872019909E-2</v>
      </c>
    </row>
    <row r="131" spans="1:24" x14ac:dyDescent="0.25">
      <c r="A131">
        <v>1586</v>
      </c>
      <c r="B131">
        <v>2.4</v>
      </c>
      <c r="C131">
        <v>5.8474200428074798</v>
      </c>
      <c r="D131">
        <f>B131-C131</f>
        <v>-3.4474200428074799</v>
      </c>
      <c r="F131">
        <v>1585</v>
      </c>
      <c r="G131">
        <v>4.13</v>
      </c>
      <c r="H131">
        <v>4.6879697566657699</v>
      </c>
      <c r="I131">
        <f>G131-H131</f>
        <v>-0.55796975666576998</v>
      </c>
      <c r="K131">
        <v>1596</v>
      </c>
      <c r="L131">
        <v>1.76</v>
      </c>
      <c r="M131">
        <v>0.98831798881935795</v>
      </c>
      <c r="N131">
        <f>L131-M131</f>
        <v>0.77168201118064206</v>
      </c>
      <c r="P131">
        <v>1612</v>
      </c>
      <c r="Q131">
        <v>3.81</v>
      </c>
      <c r="R131">
        <v>2.8485986979601399</v>
      </c>
      <c r="S131">
        <f>Q131-R131</f>
        <v>0.96140130203986018</v>
      </c>
      <c r="U131">
        <v>1585</v>
      </c>
      <c r="V131">
        <v>3.54</v>
      </c>
      <c r="W131">
        <v>3.6911671851019299</v>
      </c>
      <c r="X131">
        <f t="shared" si="1"/>
        <v>-0.15116718510192984</v>
      </c>
    </row>
    <row r="132" spans="1:24" x14ac:dyDescent="0.25">
      <c r="A132">
        <v>1587</v>
      </c>
      <c r="B132">
        <v>1.9</v>
      </c>
      <c r="C132">
        <v>2.68394666127891</v>
      </c>
      <c r="D132">
        <f>B132-C132</f>
        <v>-0.78394666127891011</v>
      </c>
      <c r="F132">
        <v>1587</v>
      </c>
      <c r="G132">
        <v>2.33</v>
      </c>
      <c r="H132">
        <v>2.4006153347950199</v>
      </c>
      <c r="I132">
        <f>G132-H132</f>
        <v>-7.0615334795019802E-2</v>
      </c>
      <c r="K132">
        <v>1599</v>
      </c>
      <c r="L132">
        <v>5.71</v>
      </c>
      <c r="M132">
        <v>4.0471757410068596</v>
      </c>
      <c r="N132">
        <f>L132-M132</f>
        <v>1.6628242589931403</v>
      </c>
      <c r="P132">
        <v>1613</v>
      </c>
      <c r="Q132">
        <v>2.79</v>
      </c>
      <c r="R132">
        <v>3.6498101050224601</v>
      </c>
      <c r="S132">
        <f>Q132-R132</f>
        <v>-0.85981010502246003</v>
      </c>
      <c r="U132">
        <v>1586</v>
      </c>
      <c r="V132">
        <v>1.44</v>
      </c>
      <c r="W132">
        <v>1.7808306829829399</v>
      </c>
      <c r="X132">
        <f t="shared" si="1"/>
        <v>-0.34083068298293995</v>
      </c>
    </row>
    <row r="133" spans="1:24" x14ac:dyDescent="0.25">
      <c r="A133">
        <v>1590</v>
      </c>
      <c r="B133">
        <v>3.4</v>
      </c>
      <c r="C133">
        <v>4.3786214512467296</v>
      </c>
      <c r="D133">
        <f>B133-C133</f>
        <v>-0.97862145124672972</v>
      </c>
      <c r="F133">
        <v>1596</v>
      </c>
      <c r="G133">
        <v>2</v>
      </c>
      <c r="H133">
        <v>2.2965143798765602</v>
      </c>
      <c r="I133">
        <f>G133-H133</f>
        <v>-0.29651437987656015</v>
      </c>
      <c r="K133">
        <v>1602</v>
      </c>
      <c r="L133">
        <v>2.69</v>
      </c>
      <c r="M133">
        <v>2.6211983174966602</v>
      </c>
      <c r="N133">
        <f>L133-M133</f>
        <v>6.8801682503339734E-2</v>
      </c>
      <c r="P133">
        <v>1614</v>
      </c>
      <c r="Q133">
        <v>5.24</v>
      </c>
      <c r="R133">
        <v>3.8179246061097301</v>
      </c>
      <c r="S133">
        <f>Q133-R133</f>
        <v>1.4220753938902702</v>
      </c>
      <c r="U133">
        <v>1587</v>
      </c>
      <c r="V133">
        <v>1.92</v>
      </c>
      <c r="W133">
        <v>2.0801516801128899</v>
      </c>
      <c r="X133">
        <f t="shared" si="1"/>
        <v>-0.16015168011288994</v>
      </c>
    </row>
    <row r="134" spans="1:24" x14ac:dyDescent="0.25">
      <c r="A134">
        <v>1596</v>
      </c>
      <c r="B134">
        <v>2</v>
      </c>
      <c r="C134">
        <v>1.3765241821808001</v>
      </c>
      <c r="D134">
        <f>B134-C134</f>
        <v>0.62347581781919992</v>
      </c>
      <c r="F134">
        <v>1599</v>
      </c>
      <c r="G134">
        <v>6.66</v>
      </c>
      <c r="H134">
        <v>6.2953963217503599</v>
      </c>
      <c r="I134">
        <f>G134-H134</f>
        <v>0.36460367824964024</v>
      </c>
      <c r="K134">
        <v>1603</v>
      </c>
      <c r="L134">
        <v>2.2400000000000002</v>
      </c>
      <c r="M134">
        <v>2.24599169839265</v>
      </c>
      <c r="N134">
        <f>L134-M134</f>
        <v>-5.9916983926497913E-3</v>
      </c>
      <c r="P134">
        <v>1616</v>
      </c>
      <c r="Q134">
        <v>3.87</v>
      </c>
      <c r="R134">
        <v>3.5307542692667599</v>
      </c>
      <c r="S134">
        <f>Q134-R134</f>
        <v>0.33924573073324016</v>
      </c>
      <c r="U134">
        <v>1590</v>
      </c>
      <c r="V134">
        <v>2.02</v>
      </c>
      <c r="W134">
        <v>2.35330737584867</v>
      </c>
      <c r="X134">
        <f t="shared" si="1"/>
        <v>-0.33330737584866998</v>
      </c>
    </row>
    <row r="135" spans="1:24" x14ac:dyDescent="0.25">
      <c r="A135">
        <v>1599</v>
      </c>
      <c r="B135">
        <v>11.1</v>
      </c>
      <c r="C135">
        <v>10.2227754089157</v>
      </c>
      <c r="D135">
        <f>B135-C135</f>
        <v>0.87722459108429973</v>
      </c>
      <c r="F135">
        <v>1602</v>
      </c>
      <c r="G135">
        <v>4.5199999999999996</v>
      </c>
      <c r="H135">
        <v>4.0640237999605899</v>
      </c>
      <c r="I135">
        <f>G135-H135</f>
        <v>0.45597620003940964</v>
      </c>
      <c r="K135">
        <v>1604</v>
      </c>
      <c r="L135">
        <v>2.66</v>
      </c>
      <c r="M135">
        <v>2.2153576463995699</v>
      </c>
      <c r="N135">
        <f>L135-M135</f>
        <v>0.44464235360043025</v>
      </c>
      <c r="P135">
        <v>1618</v>
      </c>
      <c r="Q135">
        <v>5.39</v>
      </c>
      <c r="R135">
        <v>5.2136568934352399</v>
      </c>
      <c r="S135">
        <f>Q135-R135</f>
        <v>0.17634310656475982</v>
      </c>
      <c r="U135">
        <v>1596</v>
      </c>
      <c r="V135">
        <v>1.87</v>
      </c>
      <c r="W135">
        <v>1.9449695469936801</v>
      </c>
      <c r="X135">
        <f t="shared" si="1"/>
        <v>-7.496954699367997E-2</v>
      </c>
    </row>
    <row r="136" spans="1:24" x14ac:dyDescent="0.25">
      <c r="A136">
        <v>1602</v>
      </c>
      <c r="B136">
        <v>5.4</v>
      </c>
      <c r="C136">
        <v>5.5112934806318004</v>
      </c>
      <c r="D136">
        <f>B136-C136</f>
        <v>-0.1112934806318</v>
      </c>
      <c r="F136">
        <v>1603</v>
      </c>
      <c r="G136">
        <v>4.0999999999999996</v>
      </c>
      <c r="H136">
        <v>3.8873436643847201</v>
      </c>
      <c r="I136">
        <f>G136-H136</f>
        <v>0.21265633561527952</v>
      </c>
      <c r="K136">
        <v>1605</v>
      </c>
      <c r="L136">
        <v>3.9</v>
      </c>
      <c r="M136">
        <v>2.8135951693181198</v>
      </c>
      <c r="N136">
        <f>L136-M136</f>
        <v>1.0864048306818801</v>
      </c>
      <c r="P136">
        <v>1620</v>
      </c>
      <c r="Q136">
        <v>1.94</v>
      </c>
      <c r="R136">
        <v>2.3090018395757901</v>
      </c>
      <c r="S136">
        <f>Q136-R136</f>
        <v>-0.36900183957579014</v>
      </c>
      <c r="U136">
        <v>1599</v>
      </c>
      <c r="V136">
        <v>3.97</v>
      </c>
      <c r="W136">
        <v>3.8876123318756401</v>
      </c>
      <c r="X136">
        <f t="shared" si="1"/>
        <v>8.2387668124360047E-2</v>
      </c>
    </row>
    <row r="137" spans="1:24" x14ac:dyDescent="0.25">
      <c r="A137">
        <v>1603</v>
      </c>
      <c r="B137">
        <v>4.8</v>
      </c>
      <c r="C137">
        <v>4.5108833147761302</v>
      </c>
      <c r="D137">
        <f>B137-C137</f>
        <v>0.28911668522386957</v>
      </c>
      <c r="F137">
        <v>1604</v>
      </c>
      <c r="G137">
        <v>3.99</v>
      </c>
      <c r="H137">
        <v>4.4004556731984596</v>
      </c>
      <c r="I137">
        <f>G137-H137</f>
        <v>-0.41045567319845944</v>
      </c>
      <c r="K137">
        <v>1606</v>
      </c>
      <c r="L137">
        <v>2.31</v>
      </c>
      <c r="M137">
        <v>3.1022815631710299</v>
      </c>
      <c r="N137">
        <f>L137-M137</f>
        <v>-0.79228156317102982</v>
      </c>
      <c r="P137">
        <v>1625</v>
      </c>
      <c r="Q137">
        <v>5.72</v>
      </c>
      <c r="R137">
        <v>4.5718093932588699</v>
      </c>
      <c r="S137">
        <f>Q137-R137</f>
        <v>1.1481906067411298</v>
      </c>
      <c r="U137">
        <v>1602</v>
      </c>
      <c r="V137">
        <v>3.16</v>
      </c>
      <c r="W137">
        <v>2.91029345858469</v>
      </c>
      <c r="X137">
        <f t="shared" si="1"/>
        <v>0.24970654141531012</v>
      </c>
    </row>
    <row r="138" spans="1:24" x14ac:dyDescent="0.25">
      <c r="A138">
        <v>1604</v>
      </c>
      <c r="B138">
        <v>5.9</v>
      </c>
      <c r="C138">
        <v>4.7341806436452503</v>
      </c>
      <c r="D138">
        <f>B138-C138</f>
        <v>1.1658193563547501</v>
      </c>
      <c r="F138">
        <v>1605</v>
      </c>
      <c r="G138">
        <v>5.0999999999999996</v>
      </c>
      <c r="H138">
        <v>5.1030370247683301</v>
      </c>
      <c r="I138">
        <f>G138-H138</f>
        <v>-3.0370247683304541E-3</v>
      </c>
      <c r="K138">
        <v>1607</v>
      </c>
      <c r="L138">
        <v>3.2</v>
      </c>
      <c r="M138">
        <v>2.3966399218458201</v>
      </c>
      <c r="N138">
        <f>L138-M138</f>
        <v>0.80336007815418009</v>
      </c>
      <c r="P138">
        <v>1633</v>
      </c>
      <c r="Q138">
        <v>3.31</v>
      </c>
      <c r="R138">
        <v>3.3611180017974802</v>
      </c>
      <c r="S138">
        <f>Q138-R138</f>
        <v>-5.1118001797480161E-2</v>
      </c>
      <c r="U138">
        <v>1603</v>
      </c>
      <c r="V138">
        <v>3.09</v>
      </c>
      <c r="W138">
        <v>2.9525059918814098</v>
      </c>
      <c r="X138">
        <f t="shared" si="1"/>
        <v>0.13749400811859003</v>
      </c>
    </row>
    <row r="139" spans="1:24" x14ac:dyDescent="0.25">
      <c r="A139">
        <v>1605</v>
      </c>
      <c r="B139">
        <v>8.1</v>
      </c>
      <c r="C139">
        <v>6.5715952494317902</v>
      </c>
      <c r="D139">
        <f>B139-C139</f>
        <v>1.5284047505682095</v>
      </c>
      <c r="F139">
        <v>1606</v>
      </c>
      <c r="G139">
        <v>9.1199999999999992</v>
      </c>
      <c r="H139">
        <v>7.9085160888430899</v>
      </c>
      <c r="I139">
        <f>G139-H139</f>
        <v>1.2114839111569093</v>
      </c>
      <c r="K139">
        <v>1608</v>
      </c>
      <c r="L139">
        <v>3.82</v>
      </c>
      <c r="M139">
        <v>2.7440663084242298</v>
      </c>
      <c r="N139">
        <f>L139-M139</f>
        <v>1.07593369157577</v>
      </c>
      <c r="P139">
        <v>1634</v>
      </c>
      <c r="Q139">
        <v>2.79</v>
      </c>
      <c r="R139">
        <v>3.2133601673090402</v>
      </c>
      <c r="S139">
        <f>Q139-R139</f>
        <v>-0.42336016730904014</v>
      </c>
      <c r="U139">
        <v>1604</v>
      </c>
      <c r="V139">
        <v>3.17</v>
      </c>
      <c r="W139">
        <v>3.2125913494454799</v>
      </c>
      <c r="X139">
        <f t="shared" si="1"/>
        <v>-4.2591349445479931E-2</v>
      </c>
    </row>
    <row r="140" spans="1:24" x14ac:dyDescent="0.25">
      <c r="A140">
        <v>1606</v>
      </c>
      <c r="B140">
        <v>7.5</v>
      </c>
      <c r="C140">
        <v>7.88058128067133</v>
      </c>
      <c r="D140">
        <f>B140-C140</f>
        <v>-0.38058128067133001</v>
      </c>
      <c r="F140">
        <v>1607</v>
      </c>
      <c r="G140">
        <v>4.96</v>
      </c>
      <c r="H140">
        <v>4.4236995104670997</v>
      </c>
      <c r="I140">
        <f>G140-H140</f>
        <v>0.53630048953290022</v>
      </c>
      <c r="K140">
        <v>1609</v>
      </c>
      <c r="L140">
        <v>1.95</v>
      </c>
      <c r="M140">
        <v>1.7675270825823399</v>
      </c>
      <c r="N140">
        <f>L140-M140</f>
        <v>0.18247291741766003</v>
      </c>
      <c r="P140">
        <v>1635</v>
      </c>
      <c r="Q140">
        <v>2.78</v>
      </c>
      <c r="R140">
        <v>3.1942676679962601</v>
      </c>
      <c r="S140">
        <f>Q140-R140</f>
        <v>-0.41426766799626025</v>
      </c>
      <c r="U140">
        <v>1605</v>
      </c>
      <c r="V140">
        <v>3.59</v>
      </c>
      <c r="W140">
        <v>3.8931652193304598</v>
      </c>
      <c r="X140">
        <f t="shared" si="1"/>
        <v>-0.30316521933045992</v>
      </c>
    </row>
    <row r="141" spans="1:24" x14ac:dyDescent="0.25">
      <c r="A141">
        <v>1607</v>
      </c>
      <c r="B141">
        <v>6.3</v>
      </c>
      <c r="C141">
        <v>4.4589471379070602</v>
      </c>
      <c r="D141">
        <f>B141-C141</f>
        <v>1.8410528620929396</v>
      </c>
      <c r="F141">
        <v>1608</v>
      </c>
      <c r="G141">
        <v>3.91</v>
      </c>
      <c r="H141">
        <v>4.2157940426516101</v>
      </c>
      <c r="I141">
        <f>G141-H141</f>
        <v>-0.30579404265160992</v>
      </c>
      <c r="K141">
        <v>1610</v>
      </c>
      <c r="L141">
        <v>1.3</v>
      </c>
      <c r="M141">
        <v>1.3765519704890199</v>
      </c>
      <c r="N141">
        <f>L141-M141</f>
        <v>-7.6551970489019849E-2</v>
      </c>
      <c r="P141">
        <v>1636</v>
      </c>
      <c r="Q141">
        <v>4.0999999999999996</v>
      </c>
      <c r="R141">
        <v>3.4588938617149001</v>
      </c>
      <c r="S141">
        <f>Q141-R141</f>
        <v>0.64110613828509955</v>
      </c>
      <c r="U141">
        <v>1606</v>
      </c>
      <c r="V141">
        <v>4.8</v>
      </c>
      <c r="W141">
        <v>4.49570531910428</v>
      </c>
      <c r="X141">
        <f t="shared" si="1"/>
        <v>0.30429468089571987</v>
      </c>
    </row>
    <row r="142" spans="1:24" x14ac:dyDescent="0.25">
      <c r="A142">
        <v>1608</v>
      </c>
      <c r="B142">
        <v>6.4</v>
      </c>
      <c r="C142">
        <v>6.2646867927512799</v>
      </c>
      <c r="D142">
        <f>B142-C142</f>
        <v>0.13531320724872042</v>
      </c>
      <c r="F142">
        <v>1609</v>
      </c>
      <c r="G142">
        <v>3.83</v>
      </c>
      <c r="H142">
        <v>3.8860205241139698</v>
      </c>
      <c r="I142">
        <f>G142-H142</f>
        <v>-5.6020524113969739E-2</v>
      </c>
      <c r="K142">
        <v>1611</v>
      </c>
      <c r="L142">
        <v>0.88</v>
      </c>
      <c r="M142">
        <v>1.08054697418222</v>
      </c>
      <c r="N142">
        <f>L142-M142</f>
        <v>-0.20054697418222001</v>
      </c>
      <c r="P142">
        <v>1637</v>
      </c>
      <c r="Q142">
        <v>3.11</v>
      </c>
      <c r="R142">
        <v>3.2269195580049601</v>
      </c>
      <c r="S142">
        <f>Q142-R142</f>
        <v>-0.11691955800496023</v>
      </c>
      <c r="U142">
        <v>1607</v>
      </c>
      <c r="V142">
        <v>3.39</v>
      </c>
      <c r="W142">
        <v>3.2643916643469701</v>
      </c>
      <c r="X142">
        <f t="shared" si="1"/>
        <v>0.12560833565302998</v>
      </c>
    </row>
    <row r="143" spans="1:24" x14ac:dyDescent="0.25">
      <c r="A143">
        <v>1609</v>
      </c>
      <c r="B143">
        <v>3.9</v>
      </c>
      <c r="C143">
        <v>3.50645650501058</v>
      </c>
      <c r="D143">
        <f>B143-C143</f>
        <v>0.39354349498941987</v>
      </c>
      <c r="F143">
        <v>1610</v>
      </c>
      <c r="G143">
        <v>3.05</v>
      </c>
      <c r="H143">
        <v>2.7011970762433402</v>
      </c>
      <c r="I143">
        <f>G143-H143</f>
        <v>0.34880292375665967</v>
      </c>
      <c r="K143">
        <v>1612</v>
      </c>
      <c r="L143">
        <v>0.37</v>
      </c>
      <c r="M143">
        <v>0.678963454154067</v>
      </c>
      <c r="N143">
        <f>L143-M143</f>
        <v>-0.30896345415406701</v>
      </c>
      <c r="P143">
        <v>1638</v>
      </c>
      <c r="Q143">
        <v>2.72</v>
      </c>
      <c r="R143">
        <v>3.2199242110112798</v>
      </c>
      <c r="S143">
        <f>Q143-R143</f>
        <v>-0.4999242110112796</v>
      </c>
      <c r="U143">
        <v>1608</v>
      </c>
      <c r="V143">
        <v>2.46</v>
      </c>
      <c r="W143">
        <v>2.90645365355036</v>
      </c>
      <c r="X143">
        <f t="shared" si="1"/>
        <v>-0.44645365355036004</v>
      </c>
    </row>
    <row r="144" spans="1:24" x14ac:dyDescent="0.25">
      <c r="A144">
        <v>1610</v>
      </c>
      <c r="B144">
        <v>2.9</v>
      </c>
      <c r="C144">
        <v>3.1324013181192898</v>
      </c>
      <c r="D144">
        <f>B144-C144</f>
        <v>-0.23240131811928988</v>
      </c>
      <c r="F144">
        <v>1611</v>
      </c>
      <c r="G144">
        <v>2.4700000000000002</v>
      </c>
      <c r="H144">
        <v>2.8425570237417399</v>
      </c>
      <c r="I144">
        <f>G144-H144</f>
        <v>-0.37255702374173971</v>
      </c>
      <c r="K144">
        <v>1613</v>
      </c>
      <c r="L144">
        <v>2.2000000000000002</v>
      </c>
      <c r="M144">
        <v>2.2804327816960299</v>
      </c>
      <c r="N144">
        <f>L144-M144</f>
        <v>-8.0432781696029743E-2</v>
      </c>
      <c r="P144">
        <v>1639</v>
      </c>
      <c r="Q144">
        <v>6.7</v>
      </c>
      <c r="R144">
        <v>6.6695284108623003</v>
      </c>
      <c r="S144">
        <f>Q144-R144</f>
        <v>3.0471589137699873E-2</v>
      </c>
      <c r="U144">
        <v>1609</v>
      </c>
      <c r="V144">
        <v>2.93</v>
      </c>
      <c r="W144">
        <v>3.3637260180971298</v>
      </c>
      <c r="X144">
        <f t="shared" ref="X144:X203" si="2">V144-W144</f>
        <v>-0.43372601809712963</v>
      </c>
    </row>
    <row r="145" spans="1:24" x14ac:dyDescent="0.25">
      <c r="A145">
        <v>1611</v>
      </c>
      <c r="B145">
        <v>3.1</v>
      </c>
      <c r="C145">
        <v>2.9003650802955101</v>
      </c>
      <c r="D145">
        <f>B145-C145</f>
        <v>0.19963491970448999</v>
      </c>
      <c r="F145">
        <v>1612</v>
      </c>
      <c r="G145">
        <v>2.5</v>
      </c>
      <c r="H145">
        <v>2.58701021471364</v>
      </c>
      <c r="I145">
        <f>G145-H145</f>
        <v>-8.7010214713640011E-2</v>
      </c>
      <c r="K145">
        <v>1614</v>
      </c>
      <c r="L145">
        <v>3.63</v>
      </c>
      <c r="M145">
        <v>2.50303396060123</v>
      </c>
      <c r="N145">
        <f>L145-M145</f>
        <v>1.1269660393987699</v>
      </c>
      <c r="P145">
        <v>1640</v>
      </c>
      <c r="Q145">
        <v>2.7</v>
      </c>
      <c r="R145">
        <v>3.2291293924547602</v>
      </c>
      <c r="S145">
        <f>Q145-R145</f>
        <v>-0.52912939245475998</v>
      </c>
      <c r="U145">
        <v>1610</v>
      </c>
      <c r="V145">
        <v>2.2999999999999998</v>
      </c>
      <c r="W145">
        <v>2.1922859429359698</v>
      </c>
      <c r="X145">
        <f t="shared" si="2"/>
        <v>0.10771405706403003</v>
      </c>
    </row>
    <row r="146" spans="1:24" x14ac:dyDescent="0.25">
      <c r="A146">
        <v>1612</v>
      </c>
      <c r="B146">
        <v>1.7</v>
      </c>
      <c r="C146">
        <v>1.73047498342154</v>
      </c>
      <c r="D146">
        <f>B146-C146</f>
        <v>-3.0474983421540092E-2</v>
      </c>
      <c r="F146">
        <v>1613</v>
      </c>
      <c r="G146">
        <v>3.52</v>
      </c>
      <c r="H146">
        <v>3.82293215106561</v>
      </c>
      <c r="I146">
        <f>G146-H146</f>
        <v>-0.30293215106561</v>
      </c>
      <c r="K146">
        <v>1616</v>
      </c>
      <c r="L146">
        <v>0.91</v>
      </c>
      <c r="M146">
        <v>1.4169575347564101</v>
      </c>
      <c r="N146">
        <f>L146-M146</f>
        <v>-0.50695753475641003</v>
      </c>
      <c r="P146">
        <v>1641</v>
      </c>
      <c r="Q146">
        <v>2.76</v>
      </c>
      <c r="R146">
        <v>3.2864329755680499</v>
      </c>
      <c r="S146">
        <f>Q146-R146</f>
        <v>-0.52643297556805013</v>
      </c>
      <c r="U146">
        <v>1611</v>
      </c>
      <c r="V146">
        <v>2.19</v>
      </c>
      <c r="W146">
        <v>2.65433696241054</v>
      </c>
      <c r="X146">
        <f t="shared" si="2"/>
        <v>-0.46433696241054001</v>
      </c>
    </row>
    <row r="147" spans="1:24" x14ac:dyDescent="0.25">
      <c r="A147">
        <v>1613</v>
      </c>
      <c r="B147">
        <v>4.5999999999999996</v>
      </c>
      <c r="C147">
        <v>5.5164146975314603</v>
      </c>
      <c r="D147">
        <f>B147-C147</f>
        <v>-0.91641469753146065</v>
      </c>
      <c r="F147">
        <v>1614</v>
      </c>
      <c r="G147">
        <v>4.01</v>
      </c>
      <c r="H147">
        <v>4.0257379301685301</v>
      </c>
      <c r="I147">
        <f>G147-H147</f>
        <v>-1.5737930168530312E-2</v>
      </c>
      <c r="K147">
        <v>1618</v>
      </c>
      <c r="L147">
        <v>4.2</v>
      </c>
      <c r="M147">
        <v>4.0892484619371103</v>
      </c>
      <c r="N147">
        <f>L147-M147</f>
        <v>0.11075153806288984</v>
      </c>
      <c r="P147">
        <v>1642</v>
      </c>
      <c r="Q147">
        <v>4.01</v>
      </c>
      <c r="R147">
        <v>4.2709728843717496</v>
      </c>
      <c r="S147">
        <f>Q147-R147</f>
        <v>-0.26097288437174981</v>
      </c>
      <c r="U147">
        <v>1612</v>
      </c>
      <c r="V147">
        <v>2.4300000000000002</v>
      </c>
      <c r="W147">
        <v>2.35722459794879</v>
      </c>
      <c r="X147">
        <f t="shared" si="2"/>
        <v>7.2775402051210136E-2</v>
      </c>
    </row>
    <row r="148" spans="1:24" x14ac:dyDescent="0.25">
      <c r="A148">
        <v>1614</v>
      </c>
      <c r="B148">
        <v>6.7</v>
      </c>
      <c r="C148">
        <v>4.2158409238404504</v>
      </c>
      <c r="D148">
        <f>B148-C148</f>
        <v>2.4841590761595498</v>
      </c>
      <c r="F148">
        <v>1616</v>
      </c>
      <c r="G148">
        <v>3.19</v>
      </c>
      <c r="H148">
        <v>3.8174567866448701</v>
      </c>
      <c r="I148">
        <f>G148-H148</f>
        <v>-0.62745678664487015</v>
      </c>
      <c r="K148">
        <v>1620</v>
      </c>
      <c r="L148">
        <v>0.31</v>
      </c>
      <c r="M148">
        <v>0.40603862248139699</v>
      </c>
      <c r="N148">
        <f>L148-M148</f>
        <v>-9.6038622481396996E-2</v>
      </c>
      <c r="P148">
        <v>1643</v>
      </c>
      <c r="Q148">
        <v>5.81</v>
      </c>
      <c r="R148">
        <v>4.4471029496870296</v>
      </c>
      <c r="S148">
        <f>Q148-R148</f>
        <v>1.36289705031297</v>
      </c>
      <c r="U148">
        <v>1613</v>
      </c>
      <c r="V148">
        <v>2.68</v>
      </c>
      <c r="W148">
        <v>2.8535230306199701</v>
      </c>
      <c r="X148">
        <f t="shared" si="2"/>
        <v>-0.17352303061996999</v>
      </c>
    </row>
    <row r="149" spans="1:24" x14ac:dyDescent="0.25">
      <c r="A149">
        <v>1616</v>
      </c>
      <c r="B149">
        <v>2.6</v>
      </c>
      <c r="C149">
        <v>2.4635635744762499</v>
      </c>
      <c r="D149">
        <f>B149-C149</f>
        <v>0.13643642552375024</v>
      </c>
      <c r="F149">
        <v>1618</v>
      </c>
      <c r="G149">
        <v>9.01</v>
      </c>
      <c r="H149">
        <v>7.9196007798108496</v>
      </c>
      <c r="I149">
        <f>G149-H149</f>
        <v>1.0903992201891501</v>
      </c>
      <c r="K149">
        <v>1625</v>
      </c>
      <c r="L149">
        <v>2.7</v>
      </c>
      <c r="M149">
        <v>2.76317493773149</v>
      </c>
      <c r="N149">
        <f>L149-M149</f>
        <v>-6.3174937731489855E-2</v>
      </c>
      <c r="P149">
        <v>1644</v>
      </c>
      <c r="Q149">
        <v>3.62</v>
      </c>
      <c r="R149">
        <v>3.2220830229854398</v>
      </c>
      <c r="S149">
        <f>Q149-R149</f>
        <v>0.3979169770145603</v>
      </c>
      <c r="U149">
        <v>1614</v>
      </c>
      <c r="V149">
        <v>3.33</v>
      </c>
      <c r="W149">
        <v>3.2271272550370802</v>
      </c>
      <c r="X149">
        <f t="shared" si="2"/>
        <v>0.10287274496291987</v>
      </c>
    </row>
    <row r="150" spans="1:24" x14ac:dyDescent="0.25">
      <c r="A150">
        <v>1618</v>
      </c>
      <c r="B150">
        <v>11.3</v>
      </c>
      <c r="C150">
        <v>9.4671878792698596</v>
      </c>
      <c r="D150">
        <f>B150-C150</f>
        <v>1.8328121207301411</v>
      </c>
      <c r="F150">
        <v>1620</v>
      </c>
      <c r="G150">
        <v>1.76</v>
      </c>
      <c r="H150">
        <v>1.8854992713687</v>
      </c>
      <c r="I150">
        <f>G150-H150</f>
        <v>-0.12549927136869998</v>
      </c>
      <c r="K150">
        <v>1633</v>
      </c>
      <c r="L150">
        <v>0.97</v>
      </c>
      <c r="M150">
        <v>0.96560876572924803</v>
      </c>
      <c r="N150">
        <f>L150-M150</f>
        <v>4.3912342707519425E-3</v>
      </c>
      <c r="P150">
        <v>1645</v>
      </c>
      <c r="Q150">
        <v>3.67</v>
      </c>
      <c r="R150">
        <v>3.6774267004704</v>
      </c>
      <c r="S150">
        <f>Q150-R150</f>
        <v>-7.4267004704000605E-3</v>
      </c>
      <c r="U150">
        <v>1616</v>
      </c>
      <c r="V150">
        <v>2.92</v>
      </c>
      <c r="W150">
        <v>3.1885124947061199</v>
      </c>
      <c r="X150">
        <f t="shared" si="2"/>
        <v>-0.26851249470611993</v>
      </c>
    </row>
    <row r="151" spans="1:24" x14ac:dyDescent="0.25">
      <c r="A151">
        <v>1620</v>
      </c>
      <c r="B151">
        <v>1.1000000000000001</v>
      </c>
      <c r="C151">
        <v>1.27436985956883</v>
      </c>
      <c r="D151">
        <f>B151-C151</f>
        <v>-0.17436985956882989</v>
      </c>
      <c r="F151">
        <v>1625</v>
      </c>
      <c r="G151">
        <v>5.57</v>
      </c>
      <c r="H151">
        <v>5.29875353346781</v>
      </c>
      <c r="I151">
        <f>G151-H151</f>
        <v>0.27124646653219031</v>
      </c>
      <c r="K151">
        <v>1634</v>
      </c>
      <c r="L151">
        <v>1.61</v>
      </c>
      <c r="M151">
        <v>1.9591347838459801</v>
      </c>
      <c r="N151">
        <f>L151-M151</f>
        <v>-0.34913478384597996</v>
      </c>
      <c r="P151">
        <v>1646</v>
      </c>
      <c r="Q151">
        <v>3.39</v>
      </c>
      <c r="R151">
        <v>3.12048410694337</v>
      </c>
      <c r="S151">
        <f>Q151-R151</f>
        <v>0.26951589305663015</v>
      </c>
      <c r="U151">
        <v>1618</v>
      </c>
      <c r="V151">
        <v>5.86</v>
      </c>
      <c r="W151">
        <v>5.3781153945452296</v>
      </c>
      <c r="X151">
        <f t="shared" si="2"/>
        <v>0.48188460545477074</v>
      </c>
    </row>
    <row r="152" spans="1:24" x14ac:dyDescent="0.25">
      <c r="A152">
        <v>1625</v>
      </c>
      <c r="B152">
        <v>6.7</v>
      </c>
      <c r="C152">
        <v>7.6024649906758999</v>
      </c>
      <c r="D152">
        <f>B152-C152</f>
        <v>-0.90246499067589969</v>
      </c>
      <c r="F152">
        <v>1633</v>
      </c>
      <c r="G152">
        <v>2.48</v>
      </c>
      <c r="H152">
        <v>2.9929978813153801</v>
      </c>
      <c r="I152">
        <f>G152-H152</f>
        <v>-0.51299788131538016</v>
      </c>
      <c r="K152">
        <v>1635</v>
      </c>
      <c r="L152">
        <v>1.67</v>
      </c>
      <c r="M152">
        <v>1.9354908023825399</v>
      </c>
      <c r="N152">
        <f>L152-M152</f>
        <v>-0.26549080238253997</v>
      </c>
      <c r="P152">
        <v>1692</v>
      </c>
      <c r="Q152">
        <v>2.8</v>
      </c>
      <c r="R152">
        <v>3.4700126981236399</v>
      </c>
      <c r="S152">
        <f>Q152-R152</f>
        <v>-0.67001269812364006</v>
      </c>
      <c r="U152">
        <v>1620</v>
      </c>
      <c r="V152">
        <v>1.61</v>
      </c>
      <c r="W152">
        <v>1.6427094730763701</v>
      </c>
      <c r="X152">
        <f t="shared" si="2"/>
        <v>-3.2709473076369955E-2</v>
      </c>
    </row>
    <row r="153" spans="1:24" x14ac:dyDescent="0.25">
      <c r="A153">
        <v>1633</v>
      </c>
      <c r="B153">
        <v>2.2999999999999998</v>
      </c>
      <c r="C153">
        <v>2.0692193282389901</v>
      </c>
      <c r="D153">
        <f>B153-C153</f>
        <v>0.23078067176100969</v>
      </c>
      <c r="F153">
        <v>1634</v>
      </c>
      <c r="G153">
        <v>4.9000000000000004</v>
      </c>
      <c r="H153">
        <v>4.0594873970881897</v>
      </c>
      <c r="I153">
        <f>G153-H153</f>
        <v>0.84051260291181062</v>
      </c>
      <c r="K153">
        <v>1636</v>
      </c>
      <c r="L153">
        <v>2.19</v>
      </c>
      <c r="M153">
        <v>2.7965147984532801</v>
      </c>
      <c r="N153">
        <f>L153-M153</f>
        <v>-0.60651479845328016</v>
      </c>
      <c r="P153">
        <v>1693</v>
      </c>
      <c r="Q153">
        <v>3.48</v>
      </c>
      <c r="R153">
        <v>2.7356793755955802</v>
      </c>
      <c r="S153">
        <f>Q153-R153</f>
        <v>0.74432062440441982</v>
      </c>
      <c r="U153">
        <v>1625</v>
      </c>
      <c r="V153">
        <v>4.09</v>
      </c>
      <c r="W153">
        <v>3.8263179621935599</v>
      </c>
      <c r="X153">
        <f t="shared" si="2"/>
        <v>0.26368203780643995</v>
      </c>
    </row>
    <row r="154" spans="1:24" x14ac:dyDescent="0.25">
      <c r="A154">
        <v>1634</v>
      </c>
      <c r="B154">
        <v>4.3</v>
      </c>
      <c r="C154">
        <v>3.40327891516056</v>
      </c>
      <c r="D154">
        <f>B154-C154</f>
        <v>0.8967210848394398</v>
      </c>
      <c r="F154">
        <v>1635</v>
      </c>
      <c r="G154">
        <v>3.6</v>
      </c>
      <c r="H154">
        <v>3.8473626398270402</v>
      </c>
      <c r="I154">
        <f>G154-H154</f>
        <v>-0.2473626398270401</v>
      </c>
      <c r="K154">
        <v>1637</v>
      </c>
      <c r="L154">
        <v>1.41</v>
      </c>
      <c r="M154">
        <v>1.8313118290874699</v>
      </c>
      <c r="N154">
        <f>L154-M154</f>
        <v>-0.42131182908747</v>
      </c>
      <c r="P154">
        <v>1694</v>
      </c>
      <c r="Q154">
        <v>3.74</v>
      </c>
      <c r="R154">
        <v>3.0350382738648101</v>
      </c>
      <c r="S154">
        <f>Q154-R154</f>
        <v>0.70496172613519015</v>
      </c>
      <c r="U154">
        <v>1633</v>
      </c>
      <c r="V154">
        <v>2.25</v>
      </c>
      <c r="W154">
        <v>2.5629673012121001</v>
      </c>
      <c r="X154">
        <f t="shared" si="2"/>
        <v>-0.31296730121210015</v>
      </c>
    </row>
    <row r="155" spans="1:24" x14ac:dyDescent="0.25">
      <c r="A155">
        <v>1635</v>
      </c>
      <c r="B155">
        <v>3.4</v>
      </c>
      <c r="C155">
        <v>4.1909292772148099</v>
      </c>
      <c r="D155">
        <f>B155-C155</f>
        <v>-0.79092927721480999</v>
      </c>
      <c r="F155">
        <v>1636</v>
      </c>
      <c r="G155">
        <v>5.01</v>
      </c>
      <c r="H155">
        <v>5.2972384088721602</v>
      </c>
      <c r="I155">
        <f>G155-H155</f>
        <v>-0.28723840887216046</v>
      </c>
      <c r="K155">
        <v>1638</v>
      </c>
      <c r="L155">
        <v>0.95</v>
      </c>
      <c r="M155">
        <v>2.4695108120737501</v>
      </c>
      <c r="N155">
        <f>L155-M155</f>
        <v>-1.5195108120737502</v>
      </c>
      <c r="P155">
        <v>1695</v>
      </c>
      <c r="Q155">
        <v>3.51</v>
      </c>
      <c r="R155">
        <v>3.1404613095315899</v>
      </c>
      <c r="S155">
        <f>Q155-R155</f>
        <v>0.36953869046840992</v>
      </c>
      <c r="U155">
        <v>1634</v>
      </c>
      <c r="V155">
        <v>4.49</v>
      </c>
      <c r="W155">
        <v>3.7571080543174702</v>
      </c>
      <c r="X155">
        <f t="shared" si="2"/>
        <v>0.73289194568253002</v>
      </c>
    </row>
    <row r="156" spans="1:24" x14ac:dyDescent="0.25">
      <c r="A156">
        <v>1636</v>
      </c>
      <c r="B156">
        <v>4.8</v>
      </c>
      <c r="C156">
        <v>4.95733814172221</v>
      </c>
      <c r="D156">
        <f>B156-C156</f>
        <v>-0.15733814172221017</v>
      </c>
      <c r="F156">
        <v>1637</v>
      </c>
      <c r="G156">
        <v>3.53</v>
      </c>
      <c r="H156">
        <v>3.2773205351164201</v>
      </c>
      <c r="I156">
        <f>G156-H156</f>
        <v>0.25267946488357973</v>
      </c>
      <c r="K156">
        <v>1640</v>
      </c>
      <c r="L156">
        <v>2.39</v>
      </c>
      <c r="M156">
        <v>1.9231487476831</v>
      </c>
      <c r="N156">
        <f>L156-M156</f>
        <v>0.46685125231690017</v>
      </c>
      <c r="P156">
        <v>1696</v>
      </c>
      <c r="Q156">
        <v>2</v>
      </c>
      <c r="R156">
        <v>3.2006199999015301</v>
      </c>
      <c r="S156">
        <f>Q156-R156</f>
        <v>-1.2006199999015301</v>
      </c>
      <c r="U156">
        <v>1635</v>
      </c>
      <c r="V156">
        <v>2.59</v>
      </c>
      <c r="W156">
        <v>2.6714204528179701</v>
      </c>
      <c r="X156">
        <f t="shared" si="2"/>
        <v>-8.1420452817970279E-2</v>
      </c>
    </row>
    <row r="157" spans="1:24" x14ac:dyDescent="0.25">
      <c r="A157">
        <v>1637</v>
      </c>
      <c r="B157">
        <v>3.1</v>
      </c>
      <c r="C157">
        <v>3.5970254800340502</v>
      </c>
      <c r="D157">
        <f>B157-C157</f>
        <v>-0.49702548003405012</v>
      </c>
      <c r="F157">
        <v>1638</v>
      </c>
      <c r="G157">
        <v>2.61</v>
      </c>
      <c r="H157">
        <v>4.0371129974209499</v>
      </c>
      <c r="I157">
        <f>G157-H157</f>
        <v>-1.42711299742095</v>
      </c>
      <c r="K157">
        <v>1641</v>
      </c>
      <c r="L157">
        <v>0.73</v>
      </c>
      <c r="M157">
        <v>1.70538266796293</v>
      </c>
      <c r="N157">
        <f>L157-M157</f>
        <v>-0.97538266796293005</v>
      </c>
      <c r="P157">
        <v>1697</v>
      </c>
      <c r="Q157">
        <v>4.8600000000000003</v>
      </c>
      <c r="R157">
        <v>5.2999562300637102</v>
      </c>
      <c r="S157">
        <f>Q157-R157</f>
        <v>-0.43995623006370987</v>
      </c>
      <c r="U157">
        <v>1636</v>
      </c>
      <c r="V157">
        <v>3.81</v>
      </c>
      <c r="W157">
        <v>3.65993668916727</v>
      </c>
      <c r="X157">
        <f t="shared" si="2"/>
        <v>0.15006331083273006</v>
      </c>
    </row>
    <row r="158" spans="1:24" x14ac:dyDescent="0.25">
      <c r="A158">
        <v>1638</v>
      </c>
      <c r="B158">
        <v>2.6</v>
      </c>
      <c r="C158">
        <v>5.1306918976014204</v>
      </c>
      <c r="D158">
        <f>B158-C158</f>
        <v>-2.5306918976014203</v>
      </c>
      <c r="F158">
        <v>1639</v>
      </c>
      <c r="G158">
        <v>5.94</v>
      </c>
      <c r="H158">
        <v>5.8745806856752001</v>
      </c>
      <c r="I158">
        <f>G158-H158</f>
        <v>6.5419314324800304E-2</v>
      </c>
      <c r="K158">
        <v>1642</v>
      </c>
      <c r="L158">
        <v>3</v>
      </c>
      <c r="M158">
        <v>2.6159653282256898</v>
      </c>
      <c r="N158">
        <f>L158-M158</f>
        <v>0.38403467177431017</v>
      </c>
      <c r="P158">
        <v>1698</v>
      </c>
      <c r="Q158">
        <v>4.79</v>
      </c>
      <c r="R158">
        <v>4.1537101794091598</v>
      </c>
      <c r="S158">
        <f>Q158-R158</f>
        <v>0.63628982059084027</v>
      </c>
      <c r="U158">
        <v>1637</v>
      </c>
      <c r="V158">
        <v>2.92</v>
      </c>
      <c r="W158">
        <v>2.6530435409559998</v>
      </c>
      <c r="X158">
        <f t="shared" si="2"/>
        <v>0.26695645904400012</v>
      </c>
    </row>
    <row r="159" spans="1:24" x14ac:dyDescent="0.25">
      <c r="A159">
        <v>1639</v>
      </c>
      <c r="B159">
        <v>15</v>
      </c>
      <c r="C159">
        <v>15.199420231870199</v>
      </c>
      <c r="D159">
        <f>B159-C159</f>
        <v>-0.19942023187019942</v>
      </c>
      <c r="F159">
        <v>1640</v>
      </c>
      <c r="G159">
        <v>3.81</v>
      </c>
      <c r="H159">
        <v>4.0490716355229504</v>
      </c>
      <c r="I159">
        <f>G159-H159</f>
        <v>-0.2390716355229503</v>
      </c>
      <c r="K159">
        <v>1643</v>
      </c>
      <c r="L159">
        <v>4.92</v>
      </c>
      <c r="M159">
        <v>3.3667701686435101</v>
      </c>
      <c r="N159">
        <f>L159-M159</f>
        <v>1.5532298313564898</v>
      </c>
      <c r="P159">
        <v>1699</v>
      </c>
      <c r="Q159">
        <v>4.7300000000000004</v>
      </c>
      <c r="R159">
        <v>3.69879682432276</v>
      </c>
      <c r="S159">
        <f>Q159-R159</f>
        <v>1.0312031756772404</v>
      </c>
      <c r="U159">
        <v>1638</v>
      </c>
      <c r="V159">
        <v>2.36</v>
      </c>
      <c r="W159">
        <v>2.9165028980188801</v>
      </c>
      <c r="X159">
        <f t="shared" si="2"/>
        <v>-0.5565028980188802</v>
      </c>
    </row>
    <row r="160" spans="1:24" x14ac:dyDescent="0.25">
      <c r="A160">
        <v>1640</v>
      </c>
      <c r="B160">
        <v>4.2</v>
      </c>
      <c r="C160">
        <v>3.8696957691186098</v>
      </c>
      <c r="D160">
        <f>B160-C160</f>
        <v>0.33030423088139038</v>
      </c>
      <c r="F160">
        <v>1641</v>
      </c>
      <c r="G160">
        <v>2.63</v>
      </c>
      <c r="H160">
        <v>2.8521779429273901</v>
      </c>
      <c r="I160">
        <f>G160-H160</f>
        <v>-0.22217794292739024</v>
      </c>
      <c r="K160">
        <v>1644</v>
      </c>
      <c r="L160">
        <v>0.78</v>
      </c>
      <c r="M160">
        <v>1.10761482613014</v>
      </c>
      <c r="N160">
        <f>L160-M160</f>
        <v>-0.32761482613013992</v>
      </c>
      <c r="P160">
        <v>1700</v>
      </c>
      <c r="Q160">
        <v>4.51</v>
      </c>
      <c r="R160">
        <v>3.6024068283383501</v>
      </c>
      <c r="S160">
        <f>Q160-R160</f>
        <v>0.90759317166164966</v>
      </c>
      <c r="U160">
        <v>1639</v>
      </c>
      <c r="V160">
        <v>1.67</v>
      </c>
      <c r="W160">
        <v>1.77440181507561</v>
      </c>
      <c r="X160">
        <f t="shared" si="2"/>
        <v>-0.10440181507561008</v>
      </c>
    </row>
    <row r="161" spans="1:24" x14ac:dyDescent="0.25">
      <c r="A161">
        <v>1641</v>
      </c>
      <c r="B161">
        <v>2.4</v>
      </c>
      <c r="C161">
        <v>4.3646122347393099</v>
      </c>
      <c r="D161">
        <f>B161-C161</f>
        <v>-1.96461223473931</v>
      </c>
      <c r="F161">
        <v>1642</v>
      </c>
      <c r="G161">
        <v>4.76</v>
      </c>
      <c r="H161">
        <v>4.2248965631955198</v>
      </c>
      <c r="I161">
        <f>G161-H161</f>
        <v>0.53510343680448003</v>
      </c>
      <c r="K161">
        <v>1645</v>
      </c>
      <c r="L161">
        <v>1.76</v>
      </c>
      <c r="M161">
        <v>2.33019689215444</v>
      </c>
      <c r="N161">
        <f>L161-M161</f>
        <v>-0.57019689215444003</v>
      </c>
      <c r="P161">
        <v>1701</v>
      </c>
      <c r="Q161">
        <v>4.79</v>
      </c>
      <c r="R161">
        <v>3.6187213998579799</v>
      </c>
      <c r="S161">
        <f>Q161-R161</f>
        <v>1.1712786001420201</v>
      </c>
      <c r="U161">
        <v>1640</v>
      </c>
      <c r="V161">
        <v>3.21</v>
      </c>
      <c r="W161">
        <v>3.4159186601763398</v>
      </c>
      <c r="X161">
        <f t="shared" si="2"/>
        <v>-0.20591866017633986</v>
      </c>
    </row>
    <row r="162" spans="1:24" x14ac:dyDescent="0.25">
      <c r="A162">
        <v>1642</v>
      </c>
      <c r="B162">
        <v>6</v>
      </c>
      <c r="C162">
        <v>6.4757931131961897</v>
      </c>
      <c r="D162">
        <f>B162-C162</f>
        <v>-0.47579311319618967</v>
      </c>
      <c r="F162">
        <v>1643</v>
      </c>
      <c r="G162">
        <v>6.41</v>
      </c>
      <c r="H162">
        <v>6.4929031582034504</v>
      </c>
      <c r="I162">
        <f>G162-H162</f>
        <v>-8.2903158203450289E-2</v>
      </c>
      <c r="K162">
        <v>1646</v>
      </c>
      <c r="L162">
        <v>1.67</v>
      </c>
      <c r="M162">
        <v>1.79109575719851</v>
      </c>
      <c r="N162">
        <f>L162-M162</f>
        <v>-0.12109575719851007</v>
      </c>
      <c r="P162">
        <v>1725</v>
      </c>
      <c r="Q162">
        <v>3.1</v>
      </c>
      <c r="R162">
        <v>2.91596411185136</v>
      </c>
      <c r="S162">
        <f>Q162-R162</f>
        <v>0.18403588814864014</v>
      </c>
      <c r="U162">
        <v>1641</v>
      </c>
      <c r="V162">
        <v>2.4300000000000002</v>
      </c>
      <c r="W162">
        <v>2.19953837794854</v>
      </c>
      <c r="X162">
        <f t="shared" si="2"/>
        <v>0.23046162205146015</v>
      </c>
    </row>
    <row r="163" spans="1:24" x14ac:dyDescent="0.25">
      <c r="A163">
        <v>1643</v>
      </c>
      <c r="B163">
        <v>8.5</v>
      </c>
      <c r="C163">
        <v>7.94496683877823</v>
      </c>
      <c r="D163">
        <f>B163-C163</f>
        <v>0.55503316122177004</v>
      </c>
      <c r="F163">
        <v>1644</v>
      </c>
      <c r="G163">
        <v>3.54</v>
      </c>
      <c r="H163">
        <v>3.3620605932532399</v>
      </c>
      <c r="I163">
        <f>G163-H163</f>
        <v>0.17793940674676012</v>
      </c>
      <c r="K163">
        <v>1692</v>
      </c>
      <c r="L163">
        <v>0.95</v>
      </c>
      <c r="M163">
        <v>1.14119478479829</v>
      </c>
      <c r="N163">
        <f>L163-M163</f>
        <v>-0.19119478479829</v>
      </c>
      <c r="P163">
        <v>1726</v>
      </c>
      <c r="Q163">
        <v>2.11</v>
      </c>
      <c r="R163">
        <v>3.1135796407241001</v>
      </c>
      <c r="S163">
        <f>Q163-R163</f>
        <v>-1.0035796407241002</v>
      </c>
      <c r="U163">
        <v>1642</v>
      </c>
      <c r="V163">
        <v>3.41</v>
      </c>
      <c r="W163">
        <v>3.2601434703835199</v>
      </c>
      <c r="X163">
        <f t="shared" si="2"/>
        <v>0.14985652961648022</v>
      </c>
    </row>
    <row r="164" spans="1:24" x14ac:dyDescent="0.25">
      <c r="A164">
        <v>1644</v>
      </c>
      <c r="B164">
        <v>2.6</v>
      </c>
      <c r="C164">
        <v>2.3775802578118599</v>
      </c>
      <c r="D164">
        <f>B164-C164</f>
        <v>0.2224197421881402</v>
      </c>
      <c r="F164">
        <v>1645</v>
      </c>
      <c r="G164">
        <v>4.03</v>
      </c>
      <c r="H164">
        <v>4.0750045570493398</v>
      </c>
      <c r="I164">
        <f>G164-H164</f>
        <v>-4.5004557049339589E-2</v>
      </c>
      <c r="K164">
        <v>1693</v>
      </c>
      <c r="L164">
        <v>1.19</v>
      </c>
      <c r="M164">
        <v>0.90322565936683297</v>
      </c>
      <c r="N164">
        <f>L164-M164</f>
        <v>0.28677434063316698</v>
      </c>
      <c r="P164">
        <v>1727</v>
      </c>
      <c r="Q164">
        <v>5.32</v>
      </c>
      <c r="R164">
        <v>3.6703979370233601</v>
      </c>
      <c r="S164">
        <f>Q164-R164</f>
        <v>1.6496020629766401</v>
      </c>
      <c r="U164">
        <v>1643</v>
      </c>
      <c r="V164">
        <v>4.2</v>
      </c>
      <c r="W164">
        <v>4.1703045834178303</v>
      </c>
      <c r="X164">
        <f t="shared" si="2"/>
        <v>2.9695416582169898E-2</v>
      </c>
    </row>
    <row r="165" spans="1:24" x14ac:dyDescent="0.25">
      <c r="A165">
        <v>1645</v>
      </c>
      <c r="B165">
        <v>3.8</v>
      </c>
      <c r="C165">
        <v>4.1587865300882898</v>
      </c>
      <c r="D165">
        <f>B165-C165</f>
        <v>-0.35878653008828998</v>
      </c>
      <c r="F165">
        <v>1646</v>
      </c>
      <c r="G165">
        <v>3.39</v>
      </c>
      <c r="H165">
        <v>3.4575646793626298</v>
      </c>
      <c r="I165">
        <f>G165-H165</f>
        <v>-6.7564679362629665E-2</v>
      </c>
      <c r="K165">
        <v>1694</v>
      </c>
      <c r="L165">
        <v>1.37</v>
      </c>
      <c r="M165">
        <v>1.5809268837661901</v>
      </c>
      <c r="N165">
        <f>L165-M165</f>
        <v>-0.21092688376618995</v>
      </c>
      <c r="P165">
        <v>1728</v>
      </c>
      <c r="Q165">
        <v>3.39</v>
      </c>
      <c r="R165">
        <v>3.1385037256178698</v>
      </c>
      <c r="S165">
        <f>Q165-R165</f>
        <v>0.25149627438213029</v>
      </c>
      <c r="U165">
        <v>1644</v>
      </c>
      <c r="V165">
        <v>2.78</v>
      </c>
      <c r="W165">
        <v>2.5974294823939199</v>
      </c>
      <c r="X165">
        <f t="shared" si="2"/>
        <v>0.1825705176060799</v>
      </c>
    </row>
    <row r="166" spans="1:24" x14ac:dyDescent="0.25">
      <c r="A166">
        <v>1646</v>
      </c>
      <c r="B166">
        <v>3.2</v>
      </c>
      <c r="C166">
        <v>3.6073554663062999</v>
      </c>
      <c r="D166">
        <f>B166-C166</f>
        <v>-0.40735546630629971</v>
      </c>
      <c r="F166">
        <v>1692</v>
      </c>
      <c r="G166">
        <v>3.55</v>
      </c>
      <c r="H166">
        <v>3.1941075566923098</v>
      </c>
      <c r="I166">
        <f>G166-H166</f>
        <v>0.35589244330768999</v>
      </c>
      <c r="K166">
        <v>1695</v>
      </c>
      <c r="L166">
        <v>2.1</v>
      </c>
      <c r="M166">
        <v>1.99266505555847</v>
      </c>
      <c r="N166">
        <f>L166-M166</f>
        <v>0.10733494444153013</v>
      </c>
      <c r="P166">
        <v>1729</v>
      </c>
      <c r="Q166">
        <v>2.54</v>
      </c>
      <c r="R166">
        <v>3.3516847944402</v>
      </c>
      <c r="S166">
        <f>Q166-R166</f>
        <v>-0.81168479444019992</v>
      </c>
      <c r="U166">
        <v>1645</v>
      </c>
      <c r="V166">
        <v>3</v>
      </c>
      <c r="W166">
        <v>2.94718537544709</v>
      </c>
      <c r="X166">
        <f t="shared" si="2"/>
        <v>5.2814624552909972E-2</v>
      </c>
    </row>
    <row r="167" spans="1:24" x14ac:dyDescent="0.25">
      <c r="A167">
        <v>1692</v>
      </c>
      <c r="B167">
        <v>2.5</v>
      </c>
      <c r="C167">
        <v>2.4186012732945401</v>
      </c>
      <c r="D167">
        <f>B167-C167</f>
        <v>8.139872670545989E-2</v>
      </c>
      <c r="F167">
        <v>1693</v>
      </c>
      <c r="G167">
        <v>2.92</v>
      </c>
      <c r="H167">
        <v>3.0454459784988002</v>
      </c>
      <c r="I167">
        <f>G167-H167</f>
        <v>-0.12544597849880024</v>
      </c>
      <c r="K167">
        <v>1696</v>
      </c>
      <c r="L167">
        <v>1.05</v>
      </c>
      <c r="M167">
        <v>2.0552509467319999</v>
      </c>
      <c r="N167">
        <f>L167-M167</f>
        <v>-1.0052509467319999</v>
      </c>
      <c r="P167">
        <v>1730</v>
      </c>
      <c r="Q167">
        <v>3.2</v>
      </c>
      <c r="R167">
        <v>3.0815876931253801</v>
      </c>
      <c r="S167">
        <f>Q167-R167</f>
        <v>0.11841230687462012</v>
      </c>
      <c r="U167">
        <v>1646</v>
      </c>
      <c r="V167">
        <v>3.28</v>
      </c>
      <c r="W167">
        <v>2.9378489179517602</v>
      </c>
      <c r="X167">
        <f t="shared" si="2"/>
        <v>0.34215108204823963</v>
      </c>
    </row>
    <row r="168" spans="1:24" x14ac:dyDescent="0.25">
      <c r="A168">
        <v>1693</v>
      </c>
      <c r="B168">
        <v>2.6</v>
      </c>
      <c r="C168">
        <v>2.1825413668054598</v>
      </c>
      <c r="D168">
        <f>B168-C168</f>
        <v>0.41745863319454024</v>
      </c>
      <c r="F168">
        <v>1694</v>
      </c>
      <c r="G168">
        <v>3.75</v>
      </c>
      <c r="H168">
        <v>3.58324129374504</v>
      </c>
      <c r="I168">
        <f>G168-H168</f>
        <v>0.16675870625496003</v>
      </c>
      <c r="K168">
        <v>1697</v>
      </c>
      <c r="L168">
        <v>4.93</v>
      </c>
      <c r="M168">
        <v>4.0833257413591397</v>
      </c>
      <c r="N168">
        <f>L168-M168</f>
        <v>0.84667425864085999</v>
      </c>
      <c r="P168">
        <v>1731</v>
      </c>
      <c r="Q168">
        <v>2.81</v>
      </c>
      <c r="R168">
        <v>3.32712625789227</v>
      </c>
      <c r="S168">
        <f>Q168-R168</f>
        <v>-0.51712625789226996</v>
      </c>
      <c r="U168">
        <v>1692</v>
      </c>
      <c r="V168">
        <v>2.92</v>
      </c>
      <c r="W168">
        <v>2.58734490591505</v>
      </c>
      <c r="X168">
        <f t="shared" si="2"/>
        <v>0.33265509408494998</v>
      </c>
    </row>
    <row r="169" spans="1:24" x14ac:dyDescent="0.25">
      <c r="A169">
        <v>1694</v>
      </c>
      <c r="B169">
        <v>3.2</v>
      </c>
      <c r="C169">
        <v>3.0106496826346301</v>
      </c>
      <c r="D169">
        <f>B169-C169</f>
        <v>0.18935031736537011</v>
      </c>
      <c r="F169">
        <v>1695</v>
      </c>
      <c r="G169">
        <v>3.94</v>
      </c>
      <c r="H169">
        <v>3.5543070893508801</v>
      </c>
      <c r="I169">
        <f>G169-H169</f>
        <v>0.38569291064911981</v>
      </c>
      <c r="K169">
        <v>1698</v>
      </c>
      <c r="L169">
        <v>0.4</v>
      </c>
      <c r="M169">
        <v>0.573612571836704</v>
      </c>
      <c r="N169">
        <f>L169-M169</f>
        <v>-0.17361257183670398</v>
      </c>
      <c r="P169">
        <v>1732</v>
      </c>
      <c r="Q169">
        <v>3.15</v>
      </c>
      <c r="R169">
        <v>3.49910334748383</v>
      </c>
      <c r="S169">
        <f>Q169-R169</f>
        <v>-0.3491033474838301</v>
      </c>
      <c r="U169">
        <v>1693</v>
      </c>
      <c r="V169">
        <v>2.5</v>
      </c>
      <c r="W169">
        <v>2.5971215561108401</v>
      </c>
      <c r="X169">
        <f t="shared" si="2"/>
        <v>-9.7121556110840057E-2</v>
      </c>
    </row>
    <row r="170" spans="1:24" x14ac:dyDescent="0.25">
      <c r="A170">
        <v>1695</v>
      </c>
      <c r="B170">
        <v>4.5999999999999996</v>
      </c>
      <c r="C170">
        <v>4.5034094851171398</v>
      </c>
      <c r="D170">
        <f>B170-C170</f>
        <v>9.6590514882859857E-2</v>
      </c>
      <c r="F170">
        <v>1696</v>
      </c>
      <c r="G170">
        <v>2.33</v>
      </c>
      <c r="H170">
        <v>3.2598559397143498</v>
      </c>
      <c r="I170">
        <f>G170-H170</f>
        <v>-0.92985593971434977</v>
      </c>
      <c r="K170">
        <v>1699</v>
      </c>
      <c r="L170">
        <v>2.64</v>
      </c>
      <c r="M170">
        <v>2.7407903518569801</v>
      </c>
      <c r="N170">
        <f>L170-M170</f>
        <v>-0.10079035185697993</v>
      </c>
      <c r="P170">
        <v>1733</v>
      </c>
      <c r="Q170">
        <v>4.58</v>
      </c>
      <c r="R170">
        <v>3.8551814242331099</v>
      </c>
      <c r="S170">
        <f>Q170-R170</f>
        <v>0.72481857576689013</v>
      </c>
      <c r="U170">
        <v>1694</v>
      </c>
      <c r="V170">
        <v>3.58</v>
      </c>
      <c r="W170">
        <v>3.04200282109543</v>
      </c>
      <c r="X170">
        <f t="shared" si="2"/>
        <v>0.53799717890457011</v>
      </c>
    </row>
    <row r="171" spans="1:24" x14ac:dyDescent="0.25">
      <c r="A171">
        <v>1696</v>
      </c>
      <c r="B171">
        <v>2.5</v>
      </c>
      <c r="C171">
        <v>4.5956856431938098</v>
      </c>
      <c r="D171">
        <f>B171-C171</f>
        <v>-2.0956856431938098</v>
      </c>
      <c r="F171">
        <v>1697</v>
      </c>
      <c r="G171">
        <v>6.8</v>
      </c>
      <c r="H171">
        <v>5.7026403338302503</v>
      </c>
      <c r="I171">
        <f>G171-H171</f>
        <v>1.0973596661697496</v>
      </c>
      <c r="K171">
        <v>1700</v>
      </c>
      <c r="L171">
        <v>2.72</v>
      </c>
      <c r="M171">
        <v>2.7537923530150801</v>
      </c>
      <c r="N171">
        <f>L171-M171</f>
        <v>-3.3792353015079879E-2</v>
      </c>
      <c r="P171">
        <v>1735</v>
      </c>
      <c r="Q171">
        <v>4.2300000000000004</v>
      </c>
      <c r="R171">
        <v>3.6078069421020098</v>
      </c>
      <c r="S171">
        <f>Q171-R171</f>
        <v>0.62219305789799062</v>
      </c>
      <c r="U171">
        <v>1695</v>
      </c>
      <c r="V171">
        <v>2.93</v>
      </c>
      <c r="W171">
        <v>2.6711844628535002</v>
      </c>
      <c r="X171">
        <f t="shared" si="2"/>
        <v>0.25881553714649996</v>
      </c>
    </row>
    <row r="172" spans="1:24" x14ac:dyDescent="0.25">
      <c r="A172">
        <v>1697</v>
      </c>
      <c r="B172">
        <v>12</v>
      </c>
      <c r="C172">
        <v>10.505055051606099</v>
      </c>
      <c r="D172">
        <f>B172-C172</f>
        <v>1.4949449483939006</v>
      </c>
      <c r="F172">
        <v>1698</v>
      </c>
      <c r="G172">
        <v>4.5199999999999996</v>
      </c>
      <c r="H172">
        <v>4.0426844670753299</v>
      </c>
      <c r="I172">
        <f>G172-H172</f>
        <v>0.47731553292466966</v>
      </c>
      <c r="K172">
        <v>1701</v>
      </c>
      <c r="L172">
        <v>0.69</v>
      </c>
      <c r="M172">
        <v>0.93264602158975696</v>
      </c>
      <c r="N172">
        <f>L172-M172</f>
        <v>-0.24264602158975701</v>
      </c>
      <c r="P172">
        <v>1736</v>
      </c>
      <c r="Q172">
        <v>3.49</v>
      </c>
      <c r="R172">
        <v>3.4611629058887599</v>
      </c>
      <c r="S172">
        <f>Q172-R172</f>
        <v>2.8837094111240358E-2</v>
      </c>
      <c r="U172">
        <v>1696</v>
      </c>
      <c r="V172">
        <v>1.92</v>
      </c>
      <c r="W172">
        <v>2.3396271812566298</v>
      </c>
      <c r="X172">
        <f t="shared" si="2"/>
        <v>-0.4196271812566299</v>
      </c>
    </row>
    <row r="173" spans="1:24" x14ac:dyDescent="0.25">
      <c r="A173">
        <v>1698</v>
      </c>
      <c r="B173">
        <v>2.2999999999999998</v>
      </c>
      <c r="C173">
        <v>2.1706299452178701</v>
      </c>
      <c r="D173">
        <f>B173-C173</f>
        <v>0.12937005478212971</v>
      </c>
      <c r="F173">
        <v>1699</v>
      </c>
      <c r="G173">
        <v>6.25</v>
      </c>
      <c r="H173">
        <v>5.5081421103376398</v>
      </c>
      <c r="I173">
        <f>G173-H173</f>
        <v>0.74185788966236021</v>
      </c>
      <c r="K173">
        <v>1725</v>
      </c>
      <c r="L173">
        <v>1.01</v>
      </c>
      <c r="M173">
        <v>1.2772752357005399</v>
      </c>
      <c r="N173">
        <f>L173-M173</f>
        <v>-0.2672752357005399</v>
      </c>
      <c r="P173">
        <v>1737</v>
      </c>
      <c r="Q173">
        <v>3.49</v>
      </c>
      <c r="R173">
        <v>3.7471248246716802</v>
      </c>
      <c r="S173">
        <f>Q173-R173</f>
        <v>-0.25712482467167996</v>
      </c>
      <c r="U173">
        <v>1697</v>
      </c>
      <c r="V173">
        <v>4.0999999999999996</v>
      </c>
      <c r="W173">
        <v>3.6152389071819102</v>
      </c>
      <c r="X173">
        <f t="shared" si="2"/>
        <v>0.48476109281808943</v>
      </c>
    </row>
    <row r="174" spans="1:24" x14ac:dyDescent="0.25">
      <c r="A174">
        <v>1701</v>
      </c>
      <c r="B174">
        <v>2.7</v>
      </c>
      <c r="C174">
        <v>2.3600282751922399</v>
      </c>
      <c r="D174">
        <f>B174-C174</f>
        <v>0.33997172480776028</v>
      </c>
      <c r="F174">
        <v>1700</v>
      </c>
      <c r="G174">
        <v>5.81</v>
      </c>
      <c r="H174">
        <v>5.4995375107915603</v>
      </c>
      <c r="I174">
        <f>G174-H174</f>
        <v>0.31046248920843933</v>
      </c>
      <c r="K174">
        <v>1726</v>
      </c>
      <c r="L174">
        <v>1.04</v>
      </c>
      <c r="M174">
        <v>1.41920181507064</v>
      </c>
      <c r="N174">
        <f>L174-M174</f>
        <v>-0.37920181507063999</v>
      </c>
      <c r="P174">
        <v>1738</v>
      </c>
      <c r="Q174">
        <v>3.1</v>
      </c>
      <c r="R174">
        <v>3.1452529183406002</v>
      </c>
      <c r="S174">
        <f>Q174-R174</f>
        <v>-4.5252918340600079E-2</v>
      </c>
      <c r="U174">
        <v>1698</v>
      </c>
      <c r="V174">
        <v>4.03</v>
      </c>
      <c r="W174">
        <v>3.7837070682199201</v>
      </c>
      <c r="X174">
        <f t="shared" si="2"/>
        <v>0.24629293178008016</v>
      </c>
    </row>
    <row r="175" spans="1:24" x14ac:dyDescent="0.25">
      <c r="A175">
        <v>1725</v>
      </c>
      <c r="B175">
        <v>2.4</v>
      </c>
      <c r="C175">
        <v>2.27779544078984</v>
      </c>
      <c r="D175">
        <f>B175-C175</f>
        <v>0.12220455921015994</v>
      </c>
      <c r="F175">
        <v>1701</v>
      </c>
      <c r="G175">
        <v>4.57</v>
      </c>
      <c r="H175">
        <v>3.8701733313628801</v>
      </c>
      <c r="I175">
        <f>G175-H175</f>
        <v>0.69982666863712018</v>
      </c>
      <c r="K175">
        <v>1727</v>
      </c>
      <c r="L175">
        <v>3.35</v>
      </c>
      <c r="M175">
        <v>2.7123451499643201</v>
      </c>
      <c r="N175">
        <f>L175-M175</f>
        <v>0.63765485003568001</v>
      </c>
      <c r="P175">
        <v>1739</v>
      </c>
      <c r="Q175">
        <v>1.82</v>
      </c>
      <c r="R175">
        <v>2.3109400488585501</v>
      </c>
      <c r="S175">
        <f>Q175-R175</f>
        <v>-0.49094004885855003</v>
      </c>
      <c r="U175">
        <v>1699</v>
      </c>
      <c r="V175">
        <v>4.34</v>
      </c>
      <c r="W175">
        <v>3.9072595879351901</v>
      </c>
      <c r="X175">
        <f t="shared" si="2"/>
        <v>0.43274041206480973</v>
      </c>
    </row>
    <row r="176" spans="1:24" x14ac:dyDescent="0.25">
      <c r="A176">
        <v>1726</v>
      </c>
      <c r="B176">
        <v>2.8</v>
      </c>
      <c r="C176">
        <v>3.3044564038490698</v>
      </c>
      <c r="D176">
        <f>B176-C176</f>
        <v>-0.50445640384906998</v>
      </c>
      <c r="F176">
        <v>1725</v>
      </c>
      <c r="G176">
        <v>3.23</v>
      </c>
      <c r="H176">
        <v>3.2067872260851602</v>
      </c>
      <c r="I176">
        <f>G176-H176</f>
        <v>2.3212773914839779E-2</v>
      </c>
      <c r="K176">
        <v>1728</v>
      </c>
      <c r="L176">
        <v>2.59</v>
      </c>
      <c r="M176">
        <v>2.1195742797820798</v>
      </c>
      <c r="N176">
        <f>L176-M176</f>
        <v>0.47042572021792006</v>
      </c>
      <c r="P176">
        <v>1781</v>
      </c>
      <c r="Q176">
        <v>2.81</v>
      </c>
      <c r="R176">
        <v>3.2308943690512999</v>
      </c>
      <c r="S176">
        <f>Q176-R176</f>
        <v>-0.42089436905129984</v>
      </c>
      <c r="U176">
        <v>1700</v>
      </c>
      <c r="V176">
        <v>4.1399999999999997</v>
      </c>
      <c r="W176">
        <v>4.1687235044720303</v>
      </c>
      <c r="X176">
        <f t="shared" si="2"/>
        <v>-2.8723504472030648E-2</v>
      </c>
    </row>
    <row r="177" spans="1:24" x14ac:dyDescent="0.25">
      <c r="A177">
        <v>1727</v>
      </c>
      <c r="B177">
        <v>5.3</v>
      </c>
      <c r="C177">
        <v>5.2061803446778496</v>
      </c>
      <c r="D177">
        <f>B177-C177</f>
        <v>9.3819655322150197E-2</v>
      </c>
      <c r="F177">
        <v>1726</v>
      </c>
      <c r="G177">
        <v>3.54</v>
      </c>
      <c r="H177">
        <v>3.4116572211665601</v>
      </c>
      <c r="I177">
        <f>G177-H177</f>
        <v>0.12834277883343992</v>
      </c>
      <c r="K177">
        <v>1729</v>
      </c>
      <c r="L177">
        <v>1.8</v>
      </c>
      <c r="M177">
        <v>1.92488423336812</v>
      </c>
      <c r="N177">
        <f>L177-M177</f>
        <v>-0.12488423336811993</v>
      </c>
      <c r="P177">
        <v>1782</v>
      </c>
      <c r="Q177">
        <v>2.86</v>
      </c>
      <c r="R177">
        <v>3.6909286964302899</v>
      </c>
      <c r="S177">
        <f>Q177-R177</f>
        <v>-0.83092869643028999</v>
      </c>
      <c r="U177">
        <v>1701</v>
      </c>
      <c r="V177">
        <v>3.97</v>
      </c>
      <c r="W177">
        <v>3.5604135324005801</v>
      </c>
      <c r="X177">
        <f t="shared" si="2"/>
        <v>0.40958646759942008</v>
      </c>
    </row>
    <row r="178" spans="1:24" x14ac:dyDescent="0.25">
      <c r="A178">
        <v>1728</v>
      </c>
      <c r="B178">
        <v>5.8</v>
      </c>
      <c r="C178">
        <v>4.8326042824979698</v>
      </c>
      <c r="D178">
        <f>B178-C178</f>
        <v>0.96739571750203002</v>
      </c>
      <c r="F178">
        <v>1727</v>
      </c>
      <c r="G178">
        <v>5.52</v>
      </c>
      <c r="H178">
        <v>4.6454041359399598</v>
      </c>
      <c r="I178">
        <f>G178-H178</f>
        <v>0.87459586406003975</v>
      </c>
      <c r="K178">
        <v>1730</v>
      </c>
      <c r="L178">
        <v>0.76</v>
      </c>
      <c r="M178">
        <v>0.67060663220400896</v>
      </c>
      <c r="N178">
        <f>L178-M178</f>
        <v>8.9393367795991052E-2</v>
      </c>
      <c r="P178">
        <v>1783</v>
      </c>
      <c r="Q178">
        <v>3.39</v>
      </c>
      <c r="R178">
        <v>3.25402654076355</v>
      </c>
      <c r="S178">
        <f>Q178-R178</f>
        <v>0.1359734592364501</v>
      </c>
      <c r="U178">
        <v>1725</v>
      </c>
      <c r="V178">
        <v>2.46</v>
      </c>
      <c r="W178">
        <v>2.4595168286331801</v>
      </c>
      <c r="X178">
        <f t="shared" si="2"/>
        <v>4.8317136681985673E-4</v>
      </c>
    </row>
    <row r="179" spans="1:24" x14ac:dyDescent="0.25">
      <c r="A179">
        <v>1729</v>
      </c>
      <c r="B179">
        <v>4.2</v>
      </c>
      <c r="C179">
        <v>4.1987454250291201</v>
      </c>
      <c r="D179">
        <f>B179-C179</f>
        <v>1.2545749708801068E-3</v>
      </c>
      <c r="F179">
        <v>1728</v>
      </c>
      <c r="G179">
        <v>4.32</v>
      </c>
      <c r="H179">
        <v>3.9358316398661102</v>
      </c>
      <c r="I179">
        <f>G179-H179</f>
        <v>0.38416836013389011</v>
      </c>
      <c r="K179">
        <v>1731</v>
      </c>
      <c r="L179">
        <v>1.83</v>
      </c>
      <c r="M179">
        <v>1.5555653109974099</v>
      </c>
      <c r="N179">
        <f>L179-M179</f>
        <v>0.27443468900259016</v>
      </c>
      <c r="P179">
        <v>1784</v>
      </c>
      <c r="Q179">
        <v>3.24</v>
      </c>
      <c r="R179">
        <v>2.97436639537933</v>
      </c>
      <c r="S179">
        <f>Q179-R179</f>
        <v>0.26563360462067021</v>
      </c>
      <c r="U179">
        <v>1726</v>
      </c>
      <c r="V179">
        <v>2.3199999999999998</v>
      </c>
      <c r="W179">
        <v>2.4734808589066999</v>
      </c>
      <c r="X179">
        <f t="shared" si="2"/>
        <v>-0.15348085890670005</v>
      </c>
    </row>
    <row r="180" spans="1:24" x14ac:dyDescent="0.25">
      <c r="A180">
        <v>1730</v>
      </c>
      <c r="B180">
        <v>2.5</v>
      </c>
      <c r="C180">
        <v>1.3009167282679901</v>
      </c>
      <c r="D180">
        <f>B180-C180</f>
        <v>1.1990832717320099</v>
      </c>
      <c r="F180">
        <v>1729</v>
      </c>
      <c r="G180">
        <v>3.9</v>
      </c>
      <c r="H180">
        <v>3.5678288947667798</v>
      </c>
      <c r="I180">
        <f>G180-H180</f>
        <v>0.33217110523322013</v>
      </c>
      <c r="K180">
        <v>1732</v>
      </c>
      <c r="L180">
        <v>1.22</v>
      </c>
      <c r="M180">
        <v>1.9373636521516899</v>
      </c>
      <c r="N180">
        <f>L180-M180</f>
        <v>-0.71736365215168996</v>
      </c>
      <c r="P180">
        <v>1785</v>
      </c>
      <c r="Q180">
        <v>3.01</v>
      </c>
      <c r="R180">
        <v>3.0049897330801199</v>
      </c>
      <c r="S180">
        <f>Q180-R180</f>
        <v>5.0102669198799354E-3</v>
      </c>
      <c r="U180">
        <v>1727</v>
      </c>
      <c r="V180">
        <v>4.2699999999999996</v>
      </c>
      <c r="W180">
        <v>3.55462692834086</v>
      </c>
      <c r="X180">
        <f t="shared" si="2"/>
        <v>0.71537307165913955</v>
      </c>
    </row>
    <row r="181" spans="1:24" x14ac:dyDescent="0.25">
      <c r="A181">
        <v>1731</v>
      </c>
      <c r="B181">
        <v>3.9</v>
      </c>
      <c r="C181">
        <v>3.13881847086085</v>
      </c>
      <c r="D181">
        <f>B181-C181</f>
        <v>0.76118152913914994</v>
      </c>
      <c r="F181">
        <v>1730</v>
      </c>
      <c r="G181">
        <v>3.29</v>
      </c>
      <c r="H181">
        <v>3.2003203222794698</v>
      </c>
      <c r="I181">
        <f>G181-H181</f>
        <v>8.9679677720530204E-2</v>
      </c>
      <c r="K181">
        <v>1733</v>
      </c>
      <c r="L181">
        <v>3.47</v>
      </c>
      <c r="M181">
        <v>2.7010159543177101</v>
      </c>
      <c r="N181">
        <f>L181-M181</f>
        <v>0.76898404568229006</v>
      </c>
      <c r="P181">
        <v>1786</v>
      </c>
      <c r="Q181">
        <v>5.0999999999999996</v>
      </c>
      <c r="R181">
        <v>3.3349780530647402</v>
      </c>
      <c r="S181">
        <f>Q181-R181</f>
        <v>1.7650219469352595</v>
      </c>
      <c r="U181">
        <v>1728</v>
      </c>
      <c r="V181">
        <v>3.3</v>
      </c>
      <c r="W181">
        <v>3.1801099574999299</v>
      </c>
      <c r="X181">
        <f t="shared" si="2"/>
        <v>0.11989004250006996</v>
      </c>
    </row>
    <row r="182" spans="1:24" x14ac:dyDescent="0.25">
      <c r="A182">
        <v>1732</v>
      </c>
      <c r="B182">
        <v>5.0999999999999996</v>
      </c>
      <c r="C182">
        <v>4.4263240840718696</v>
      </c>
      <c r="D182">
        <f>B182-C182</f>
        <v>0.67367591592813003</v>
      </c>
      <c r="F182">
        <v>1731</v>
      </c>
      <c r="G182">
        <v>3.65</v>
      </c>
      <c r="H182">
        <v>3.4392826386143498</v>
      </c>
      <c r="I182">
        <f>G182-H182</f>
        <v>0.21071736138565011</v>
      </c>
      <c r="K182">
        <v>1735</v>
      </c>
      <c r="L182">
        <v>2.04</v>
      </c>
      <c r="M182">
        <v>2.3027865273322998</v>
      </c>
      <c r="N182">
        <f>L182-M182</f>
        <v>-0.26278652733229979</v>
      </c>
      <c r="P182">
        <v>1787</v>
      </c>
      <c r="Q182">
        <v>3.74</v>
      </c>
      <c r="R182">
        <v>3.3469652421758802</v>
      </c>
      <c r="S182">
        <f>Q182-R182</f>
        <v>0.39303475782412001</v>
      </c>
      <c r="U182">
        <v>1729</v>
      </c>
      <c r="V182">
        <v>2.4900000000000002</v>
      </c>
      <c r="W182">
        <v>2.66904237343573</v>
      </c>
      <c r="X182">
        <f t="shared" si="2"/>
        <v>-0.17904237343572982</v>
      </c>
    </row>
    <row r="183" spans="1:24" x14ac:dyDescent="0.25">
      <c r="A183">
        <v>1733</v>
      </c>
      <c r="B183">
        <v>5.7</v>
      </c>
      <c r="C183">
        <v>5.40659987150074</v>
      </c>
      <c r="D183">
        <f>B183-C183</f>
        <v>0.29340012849926023</v>
      </c>
      <c r="F183">
        <v>1732</v>
      </c>
      <c r="G183">
        <v>2.77</v>
      </c>
      <c r="H183">
        <v>3.6435641866980202</v>
      </c>
      <c r="I183">
        <f>G183-H183</f>
        <v>-0.87356418669802016</v>
      </c>
      <c r="K183">
        <v>1736</v>
      </c>
      <c r="L183">
        <v>1.29</v>
      </c>
      <c r="M183">
        <v>1.4758806433138101</v>
      </c>
      <c r="N183">
        <f>L183-M183</f>
        <v>-0.18588064331381005</v>
      </c>
      <c r="P183">
        <v>1789</v>
      </c>
      <c r="Q183">
        <v>4.0599999999999996</v>
      </c>
      <c r="R183">
        <v>3.9463387259463198</v>
      </c>
      <c r="S183">
        <f>Q183-R183</f>
        <v>0.11366127405367976</v>
      </c>
      <c r="U183">
        <v>1730</v>
      </c>
      <c r="V183">
        <v>2.87</v>
      </c>
      <c r="W183">
        <v>2.8350404928051298</v>
      </c>
      <c r="X183">
        <f t="shared" si="2"/>
        <v>3.4959507194870287E-2</v>
      </c>
    </row>
    <row r="184" spans="1:24" x14ac:dyDescent="0.25">
      <c r="A184">
        <v>1735</v>
      </c>
      <c r="B184">
        <v>4.3</v>
      </c>
      <c r="C184">
        <v>4.5409313613198403</v>
      </c>
      <c r="D184">
        <f>B184-C184</f>
        <v>-0.2409313613198405</v>
      </c>
      <c r="F184">
        <v>1733</v>
      </c>
      <c r="G184">
        <v>5.32</v>
      </c>
      <c r="H184">
        <v>4.4583931307578304</v>
      </c>
      <c r="I184">
        <f>G184-H184</f>
        <v>0.86160686924216989</v>
      </c>
      <c r="K184">
        <v>1737</v>
      </c>
      <c r="L184">
        <v>2.83</v>
      </c>
      <c r="M184">
        <v>2.3239587821273302</v>
      </c>
      <c r="N184">
        <f>L184-M184</f>
        <v>0.50604121787266987</v>
      </c>
      <c r="P184">
        <v>1790</v>
      </c>
      <c r="Q184">
        <v>4.1500000000000004</v>
      </c>
      <c r="R184">
        <v>3.6266183733236801</v>
      </c>
      <c r="S184">
        <f>Q184-R184</f>
        <v>0.52338162667632027</v>
      </c>
      <c r="U184">
        <v>1731</v>
      </c>
      <c r="V184">
        <v>2.68</v>
      </c>
      <c r="W184">
        <v>2.5126321989149201</v>
      </c>
      <c r="X184">
        <f t="shared" si="2"/>
        <v>0.16736780108508009</v>
      </c>
    </row>
    <row r="185" spans="1:24" x14ac:dyDescent="0.25">
      <c r="A185">
        <v>1736</v>
      </c>
      <c r="B185">
        <v>2.6</v>
      </c>
      <c r="C185">
        <v>2.4643196993735601</v>
      </c>
      <c r="D185">
        <f>B185-C185</f>
        <v>0.13568030062643999</v>
      </c>
      <c r="F185">
        <v>1735</v>
      </c>
      <c r="G185">
        <v>4.41</v>
      </c>
      <c r="H185">
        <v>4.3472833845552596</v>
      </c>
      <c r="I185">
        <f>G185-H185</f>
        <v>6.2716615444740498E-2</v>
      </c>
      <c r="K185">
        <v>1738</v>
      </c>
      <c r="L185">
        <v>1.34</v>
      </c>
      <c r="M185">
        <v>1.3280273569558201</v>
      </c>
      <c r="N185">
        <f>L185-M185</f>
        <v>1.1972643044179998E-2</v>
      </c>
      <c r="P185">
        <v>1791</v>
      </c>
      <c r="Q185">
        <v>3.99</v>
      </c>
      <c r="R185">
        <v>3.6828996214576599</v>
      </c>
      <c r="S185">
        <f>Q185-R185</f>
        <v>0.30710037854234029</v>
      </c>
      <c r="U185">
        <v>1732</v>
      </c>
      <c r="V185">
        <v>2.4</v>
      </c>
      <c r="W185">
        <v>2.7415770902630201</v>
      </c>
      <c r="X185">
        <f t="shared" si="2"/>
        <v>-0.34157709026302019</v>
      </c>
    </row>
    <row r="186" spans="1:24" x14ac:dyDescent="0.25">
      <c r="A186">
        <v>1737</v>
      </c>
      <c r="B186">
        <v>4.5</v>
      </c>
      <c r="C186">
        <v>4.7713889030249996</v>
      </c>
      <c r="D186">
        <f>B186-C186</f>
        <v>-0.27138890302499963</v>
      </c>
      <c r="F186">
        <v>1736</v>
      </c>
      <c r="G186">
        <v>3.56</v>
      </c>
      <c r="H186">
        <v>3.6925458960537001</v>
      </c>
      <c r="I186">
        <f>G186-H186</f>
        <v>-0.13254589605370004</v>
      </c>
      <c r="K186">
        <v>1739</v>
      </c>
      <c r="L186">
        <v>0.52</v>
      </c>
      <c r="M186">
        <v>0.71491916106731102</v>
      </c>
      <c r="N186">
        <f>L186-M186</f>
        <v>-0.194919161067311</v>
      </c>
      <c r="P186">
        <v>1792</v>
      </c>
      <c r="Q186">
        <v>3.72</v>
      </c>
      <c r="R186">
        <v>4.1161933670043398</v>
      </c>
      <c r="S186">
        <f>Q186-R186</f>
        <v>-0.3961933670043396</v>
      </c>
      <c r="U186">
        <v>1733</v>
      </c>
      <c r="V186">
        <v>3.74</v>
      </c>
      <c r="W186">
        <v>3.3947566163070499</v>
      </c>
      <c r="X186">
        <f t="shared" si="2"/>
        <v>0.34524338369295027</v>
      </c>
    </row>
    <row r="187" spans="1:24" x14ac:dyDescent="0.25">
      <c r="A187">
        <v>1738</v>
      </c>
      <c r="B187">
        <v>2.8</v>
      </c>
      <c r="C187">
        <v>3.0796688710710698</v>
      </c>
      <c r="D187">
        <f>B187-C187</f>
        <v>-0.27966887107106997</v>
      </c>
      <c r="F187">
        <v>1737</v>
      </c>
      <c r="G187">
        <v>3.76</v>
      </c>
      <c r="H187">
        <v>3.8847142361301299</v>
      </c>
      <c r="I187">
        <f>G187-H187</f>
        <v>-0.12471423613013011</v>
      </c>
      <c r="K187">
        <v>1781</v>
      </c>
      <c r="L187">
        <v>2.25</v>
      </c>
      <c r="M187">
        <v>1.8082769092632001</v>
      </c>
      <c r="N187">
        <f>L187-M187</f>
        <v>0.44172309073679994</v>
      </c>
      <c r="P187">
        <v>1793</v>
      </c>
      <c r="Q187">
        <v>4.54</v>
      </c>
      <c r="R187">
        <v>3.5914584800488001</v>
      </c>
      <c r="S187">
        <f>Q187-R187</f>
        <v>0.94854151995119995</v>
      </c>
      <c r="U187">
        <v>1735</v>
      </c>
      <c r="V187">
        <v>3.09</v>
      </c>
      <c r="W187">
        <v>3.1649547735850301</v>
      </c>
      <c r="X187">
        <f t="shared" si="2"/>
        <v>-7.4954773585030221E-2</v>
      </c>
    </row>
    <row r="188" spans="1:24" x14ac:dyDescent="0.25">
      <c r="A188">
        <v>1739</v>
      </c>
      <c r="B188">
        <v>1.3</v>
      </c>
      <c r="C188">
        <v>2.2480140687446801</v>
      </c>
      <c r="D188">
        <f>B188-C188</f>
        <v>-0.94801406874468008</v>
      </c>
      <c r="F188">
        <v>1738</v>
      </c>
      <c r="G188">
        <v>2.86</v>
      </c>
      <c r="H188">
        <v>2.7217045391457</v>
      </c>
      <c r="I188">
        <f>G188-H188</f>
        <v>0.13829546085429989</v>
      </c>
      <c r="K188">
        <v>1782</v>
      </c>
      <c r="L188">
        <v>2.06</v>
      </c>
      <c r="M188">
        <v>2.0324550543850499</v>
      </c>
      <c r="N188">
        <f>L188-M188</f>
        <v>2.7544945614950134E-2</v>
      </c>
      <c r="U188">
        <v>1736</v>
      </c>
      <c r="V188">
        <v>2.9</v>
      </c>
      <c r="W188">
        <v>3.1579737448985998</v>
      </c>
      <c r="X188">
        <f t="shared" si="2"/>
        <v>-0.25797374489859992</v>
      </c>
    </row>
    <row r="189" spans="1:24" x14ac:dyDescent="0.25">
      <c r="A189">
        <v>1781</v>
      </c>
      <c r="B189">
        <v>4</v>
      </c>
      <c r="C189">
        <v>3.3983978765375999</v>
      </c>
      <c r="D189">
        <f>B189-C189</f>
        <v>0.60160212346240005</v>
      </c>
      <c r="F189">
        <v>1739</v>
      </c>
      <c r="G189">
        <v>1.62</v>
      </c>
      <c r="H189">
        <v>1.75613069195022</v>
      </c>
      <c r="I189">
        <f>G189-H189</f>
        <v>-0.13613069195021987</v>
      </c>
      <c r="K189">
        <v>1783</v>
      </c>
      <c r="L189">
        <v>0.89</v>
      </c>
      <c r="M189">
        <v>1.5642484406469299</v>
      </c>
      <c r="N189">
        <f>L189-M189</f>
        <v>-0.6742484406469299</v>
      </c>
      <c r="U189">
        <v>1737</v>
      </c>
      <c r="V189">
        <v>2.48</v>
      </c>
      <c r="W189">
        <v>2.5823242159066102</v>
      </c>
      <c r="X189">
        <f t="shared" si="2"/>
        <v>-0.10232421590661023</v>
      </c>
    </row>
    <row r="190" spans="1:24" x14ac:dyDescent="0.25">
      <c r="A190">
        <v>1782</v>
      </c>
      <c r="B190">
        <v>4.7</v>
      </c>
      <c r="C190">
        <v>4.2515210093493403</v>
      </c>
      <c r="D190">
        <f>B190-C190</f>
        <v>0.44847899065065988</v>
      </c>
      <c r="F190">
        <v>1781</v>
      </c>
      <c r="G190">
        <v>3.85</v>
      </c>
      <c r="H190">
        <v>3.2853850346698801</v>
      </c>
      <c r="I190">
        <f>G190-H190</f>
        <v>0.56461496533012001</v>
      </c>
      <c r="K190">
        <v>1784</v>
      </c>
      <c r="L190">
        <v>1.47</v>
      </c>
      <c r="M190">
        <v>1.33558773160835</v>
      </c>
      <c r="N190">
        <f>L190-M190</f>
        <v>0.13441226839164999</v>
      </c>
      <c r="U190">
        <v>1738</v>
      </c>
      <c r="V190">
        <v>2.67</v>
      </c>
      <c r="W190">
        <v>2.3871911120635101</v>
      </c>
      <c r="X190">
        <f t="shared" si="2"/>
        <v>0.28280888793648984</v>
      </c>
    </row>
    <row r="191" spans="1:24" x14ac:dyDescent="0.25">
      <c r="A191">
        <v>1783</v>
      </c>
      <c r="B191">
        <v>4.5999999999999996</v>
      </c>
      <c r="C191">
        <v>5.0156319101112796</v>
      </c>
      <c r="D191">
        <f>B191-C191</f>
        <v>-0.41563191011127998</v>
      </c>
      <c r="F191">
        <v>1782</v>
      </c>
      <c r="G191">
        <v>4.71</v>
      </c>
      <c r="H191">
        <v>4.2351959197455802</v>
      </c>
      <c r="I191">
        <f>G191-H191</f>
        <v>0.47480408025441978</v>
      </c>
      <c r="K191">
        <v>1785</v>
      </c>
      <c r="L191">
        <v>0.79</v>
      </c>
      <c r="M191">
        <v>1.12376973749642</v>
      </c>
      <c r="N191">
        <f>L191-M191</f>
        <v>-0.33376973749641992</v>
      </c>
      <c r="U191">
        <v>1739</v>
      </c>
      <c r="V191">
        <v>1.1499999999999999</v>
      </c>
      <c r="W191">
        <v>1.2833102308786</v>
      </c>
      <c r="X191">
        <f t="shared" si="2"/>
        <v>-0.13331023087860006</v>
      </c>
    </row>
    <row r="192" spans="1:24" x14ac:dyDescent="0.25">
      <c r="A192">
        <v>1784</v>
      </c>
      <c r="B192">
        <v>2.9</v>
      </c>
      <c r="C192">
        <v>3.02115488951226</v>
      </c>
      <c r="D192">
        <f>B192-C192</f>
        <v>-0.12115488951226006</v>
      </c>
      <c r="F192">
        <v>1783</v>
      </c>
      <c r="G192">
        <v>2.0699999999999998</v>
      </c>
      <c r="H192">
        <v>2.7768705418817001</v>
      </c>
      <c r="I192">
        <f>G192-H192</f>
        <v>-0.70687054188170029</v>
      </c>
      <c r="K192">
        <v>1786</v>
      </c>
      <c r="L192">
        <v>2.5499999999999998</v>
      </c>
      <c r="M192">
        <v>2.24283544315327</v>
      </c>
      <c r="N192">
        <f>L192-M192</f>
        <v>0.30716455684672983</v>
      </c>
      <c r="U192">
        <v>1781</v>
      </c>
      <c r="V192">
        <v>2.92</v>
      </c>
      <c r="W192">
        <v>2.7145360697627199</v>
      </c>
      <c r="X192">
        <f t="shared" si="2"/>
        <v>0.20546393023728005</v>
      </c>
    </row>
    <row r="193" spans="1:24" x14ac:dyDescent="0.25">
      <c r="A193">
        <v>1785</v>
      </c>
      <c r="B193">
        <v>2</v>
      </c>
      <c r="C193">
        <v>2.2403182523610701</v>
      </c>
      <c r="D193">
        <f>B193-C193</f>
        <v>-0.24031825236107007</v>
      </c>
      <c r="F193">
        <v>1784</v>
      </c>
      <c r="G193">
        <v>2.39</v>
      </c>
      <c r="H193">
        <v>2.7569075970206498</v>
      </c>
      <c r="I193">
        <f>G193-H193</f>
        <v>-0.36690759702064968</v>
      </c>
      <c r="K193">
        <v>1787</v>
      </c>
      <c r="L193">
        <v>2.4700000000000002</v>
      </c>
      <c r="M193">
        <v>2.3636666133407598</v>
      </c>
      <c r="N193">
        <f>L193-M193</f>
        <v>0.10633338665924041</v>
      </c>
      <c r="U193">
        <v>1782</v>
      </c>
      <c r="V193">
        <v>3.57</v>
      </c>
      <c r="W193">
        <v>3.27406922782041</v>
      </c>
      <c r="X193">
        <f t="shared" si="2"/>
        <v>0.29593077217958985</v>
      </c>
    </row>
    <row r="194" spans="1:24" x14ac:dyDescent="0.25">
      <c r="A194">
        <v>1786</v>
      </c>
      <c r="B194">
        <v>4.8</v>
      </c>
      <c r="C194">
        <v>5.6406052416230601</v>
      </c>
      <c r="D194">
        <f>B194-C194</f>
        <v>-0.84060524162306027</v>
      </c>
      <c r="F194">
        <v>1785</v>
      </c>
      <c r="G194">
        <v>2.73</v>
      </c>
      <c r="H194">
        <v>2.9000130771791501</v>
      </c>
      <c r="I194">
        <f>G194-H194</f>
        <v>-0.17001307717915015</v>
      </c>
      <c r="K194">
        <v>1789</v>
      </c>
      <c r="L194">
        <v>2.19</v>
      </c>
      <c r="M194">
        <v>3.2076440148309699</v>
      </c>
      <c r="N194">
        <f>L194-M194</f>
        <v>-1.01764401483097</v>
      </c>
      <c r="U194">
        <v>1783</v>
      </c>
      <c r="V194">
        <v>1.18</v>
      </c>
      <c r="W194">
        <v>1.5522685622471</v>
      </c>
      <c r="X194">
        <f t="shared" si="2"/>
        <v>-0.37226856224710003</v>
      </c>
    </row>
    <row r="195" spans="1:24" x14ac:dyDescent="0.25">
      <c r="A195">
        <v>1787</v>
      </c>
      <c r="B195">
        <v>4.0999999999999996</v>
      </c>
      <c r="C195">
        <v>4.3745637759946296</v>
      </c>
      <c r="D195">
        <f>B195-C195</f>
        <v>-0.27456377599463</v>
      </c>
      <c r="F195">
        <v>1786</v>
      </c>
      <c r="G195">
        <v>3.79</v>
      </c>
      <c r="H195">
        <v>3.5378685193067398</v>
      </c>
      <c r="I195">
        <f>G195-H195</f>
        <v>0.25213148069326019</v>
      </c>
      <c r="K195">
        <v>1790</v>
      </c>
      <c r="L195">
        <v>2.5299999999999998</v>
      </c>
      <c r="M195">
        <v>2.9316954106337101</v>
      </c>
      <c r="N195">
        <f>L195-M195</f>
        <v>-0.40169541063371028</v>
      </c>
      <c r="U195">
        <v>1784</v>
      </c>
      <c r="V195">
        <v>2.29</v>
      </c>
      <c r="W195">
        <v>2.3270210817430099</v>
      </c>
      <c r="X195">
        <f t="shared" si="2"/>
        <v>-3.7021081743009887E-2</v>
      </c>
    </row>
    <row r="196" spans="1:24" x14ac:dyDescent="0.25">
      <c r="A196">
        <v>1789</v>
      </c>
      <c r="B196">
        <v>5.6</v>
      </c>
      <c r="C196">
        <v>6.28868710412093</v>
      </c>
      <c r="D196">
        <f>B196-C196</f>
        <v>-0.68868710412093037</v>
      </c>
      <c r="F196">
        <v>1787</v>
      </c>
      <c r="G196">
        <v>4.3499999999999996</v>
      </c>
      <c r="H196">
        <v>4.2778496866498097</v>
      </c>
      <c r="I196">
        <f>G196-H196</f>
        <v>7.2150313350189954E-2</v>
      </c>
      <c r="K196">
        <v>1791</v>
      </c>
      <c r="L196">
        <v>2.38</v>
      </c>
      <c r="M196">
        <v>2.8714446544032901</v>
      </c>
      <c r="N196">
        <f>L196-M196</f>
        <v>-0.49144465440329022</v>
      </c>
      <c r="U196">
        <v>1785</v>
      </c>
      <c r="V196">
        <v>2.2599999999999998</v>
      </c>
      <c r="W196">
        <v>2.36448665364829</v>
      </c>
      <c r="X196">
        <f t="shared" si="2"/>
        <v>-0.10448665364829024</v>
      </c>
    </row>
    <row r="197" spans="1:24" x14ac:dyDescent="0.25">
      <c r="A197">
        <v>1790</v>
      </c>
      <c r="B197">
        <v>6.5</v>
      </c>
      <c r="C197">
        <v>5.7500123129321503</v>
      </c>
      <c r="D197">
        <f>B197-C197</f>
        <v>0.74998768706784968</v>
      </c>
      <c r="F197">
        <v>1789</v>
      </c>
      <c r="G197">
        <v>5.13</v>
      </c>
      <c r="H197">
        <v>5.2046683507844804</v>
      </c>
      <c r="I197">
        <f>G197-H197</f>
        <v>-7.4668350784480531E-2</v>
      </c>
      <c r="K197">
        <v>1793</v>
      </c>
      <c r="L197">
        <v>2.19</v>
      </c>
      <c r="M197">
        <v>2.3466986866889101</v>
      </c>
      <c r="N197">
        <f>L197-M197</f>
        <v>-0.15669868668891018</v>
      </c>
      <c r="U197">
        <v>1786</v>
      </c>
      <c r="V197">
        <v>2.75</v>
      </c>
      <c r="W197">
        <v>2.5635036241309299</v>
      </c>
      <c r="X197">
        <f t="shared" si="2"/>
        <v>0.18649637586907009</v>
      </c>
    </row>
    <row r="198" spans="1:24" x14ac:dyDescent="0.25">
      <c r="A198">
        <v>1791</v>
      </c>
      <c r="B198">
        <v>6.4</v>
      </c>
      <c r="C198">
        <v>5.9293631446110497</v>
      </c>
      <c r="D198">
        <f>B198-C198</f>
        <v>0.47063685538895061</v>
      </c>
      <c r="F198">
        <v>1790</v>
      </c>
      <c r="G198">
        <v>5.77</v>
      </c>
      <c r="H198">
        <v>5.4634201200625201</v>
      </c>
      <c r="I198">
        <f>G198-H198</f>
        <v>0.30657987993747948</v>
      </c>
      <c r="U198">
        <v>1787</v>
      </c>
      <c r="V198">
        <v>3.23</v>
      </c>
      <c r="W198">
        <v>3.3653114945298399</v>
      </c>
      <c r="X198">
        <f t="shared" si="2"/>
        <v>-0.13531149452983993</v>
      </c>
    </row>
    <row r="199" spans="1:24" x14ac:dyDescent="0.25">
      <c r="A199">
        <v>1792</v>
      </c>
      <c r="B199">
        <v>5.9</v>
      </c>
      <c r="C199">
        <v>6.38934772234271</v>
      </c>
      <c r="D199">
        <f>B199-C199</f>
        <v>-0.48934772234270962</v>
      </c>
      <c r="F199">
        <v>1791</v>
      </c>
      <c r="G199">
        <v>5.28</v>
      </c>
      <c r="H199">
        <v>5.2367579230565404</v>
      </c>
      <c r="I199">
        <f>G199-H199</f>
        <v>4.3242076943459828E-2</v>
      </c>
      <c r="U199">
        <v>1789</v>
      </c>
      <c r="V199">
        <v>4.0599999999999996</v>
      </c>
      <c r="W199">
        <v>4.0070942714835498</v>
      </c>
      <c r="X199">
        <f t="shared" si="2"/>
        <v>5.2905728516449813E-2</v>
      </c>
    </row>
    <row r="200" spans="1:24" x14ac:dyDescent="0.25">
      <c r="A200">
        <v>1793</v>
      </c>
      <c r="B200">
        <v>4.3</v>
      </c>
      <c r="C200">
        <v>3.9722275433859502</v>
      </c>
      <c r="D200">
        <f>B200-C200</f>
        <v>0.32777245661404963</v>
      </c>
      <c r="F200">
        <v>1792</v>
      </c>
      <c r="G200">
        <v>5.59</v>
      </c>
      <c r="H200">
        <v>5.2132383886425204</v>
      </c>
      <c r="I200">
        <f>G200-H200</f>
        <v>0.37676161135747943</v>
      </c>
      <c r="U200">
        <v>1790</v>
      </c>
      <c r="V200">
        <v>4.3099999999999996</v>
      </c>
      <c r="W200">
        <v>4.3262424336587202</v>
      </c>
      <c r="X200">
        <f t="shared" si="2"/>
        <v>-1.6242433658720579E-2</v>
      </c>
    </row>
    <row r="201" spans="1:24" x14ac:dyDescent="0.25">
      <c r="F201">
        <v>1793</v>
      </c>
      <c r="G201">
        <v>4.2699999999999996</v>
      </c>
      <c r="H201">
        <v>4.4470092296791597</v>
      </c>
      <c r="I201">
        <f>G201-H201</f>
        <v>-0.17700922967916011</v>
      </c>
      <c r="U201">
        <v>1791</v>
      </c>
      <c r="V201">
        <v>4.1900000000000004</v>
      </c>
      <c r="W201">
        <v>4.09024115975883</v>
      </c>
      <c r="X201">
        <f t="shared" si="2"/>
        <v>9.9758840241170432E-2</v>
      </c>
    </row>
    <row r="202" spans="1:24" x14ac:dyDescent="0.25">
      <c r="U202">
        <v>1792</v>
      </c>
      <c r="V202">
        <v>4.07</v>
      </c>
      <c r="W202">
        <v>4.1340851752506804</v>
      </c>
      <c r="X202">
        <f t="shared" si="2"/>
        <v>-6.4085175250680138E-2</v>
      </c>
    </row>
    <row r="203" spans="1:24" x14ac:dyDescent="0.25">
      <c r="U203">
        <v>1793</v>
      </c>
      <c r="V203">
        <v>3.38</v>
      </c>
      <c r="W203">
        <v>3.20055129854495</v>
      </c>
      <c r="X203">
        <f t="shared" si="2"/>
        <v>0.17944870145504987</v>
      </c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zoomScale="70" zoomScaleNormal="70" workbookViewId="0">
      <selection activeCell="Y21" sqref="Y21"/>
    </sheetView>
  </sheetViews>
  <sheetFormatPr defaultRowHeight="15" x14ac:dyDescent="0.25"/>
  <cols>
    <col min="1" max="1" width="19.28515625" bestFit="1" customWidth="1"/>
  </cols>
  <sheetData>
    <row r="1" spans="1:4" ht="19.5" x14ac:dyDescent="0.3">
      <c r="A1" s="29" t="s">
        <v>26</v>
      </c>
    </row>
    <row r="2" spans="1:4" x14ac:dyDescent="0.25">
      <c r="A2" s="30" t="s">
        <v>13</v>
      </c>
      <c r="B2" s="31"/>
      <c r="C2" s="31"/>
      <c r="D2" s="32"/>
    </row>
    <row r="3" spans="1:4" x14ac:dyDescent="0.25">
      <c r="A3" s="33" t="s">
        <v>9</v>
      </c>
      <c r="B3" s="34" t="s">
        <v>10</v>
      </c>
      <c r="C3" s="34" t="s">
        <v>27</v>
      </c>
      <c r="D3" s="35" t="s">
        <v>28</v>
      </c>
    </row>
    <row r="4" spans="1:4" x14ac:dyDescent="0.25">
      <c r="A4">
        <v>4000</v>
      </c>
      <c r="B4">
        <v>4.7</v>
      </c>
      <c r="C4">
        <v>5.6907278423126302</v>
      </c>
      <c r="D4">
        <v>5.2555916365473898</v>
      </c>
    </row>
    <row r="5" spans="1:4" x14ac:dyDescent="0.25">
      <c r="A5">
        <v>4001</v>
      </c>
      <c r="B5">
        <v>4.9000000000000004</v>
      </c>
      <c r="C5">
        <v>5.6465817356034798</v>
      </c>
      <c r="D5">
        <v>5.2114455298382403</v>
      </c>
    </row>
    <row r="6" spans="1:4" x14ac:dyDescent="0.25">
      <c r="A6">
        <v>1000</v>
      </c>
      <c r="B6">
        <v>2.2000000000000002</v>
      </c>
      <c r="C6">
        <v>1.95413567794396</v>
      </c>
      <c r="D6">
        <v>1.5189994721787199</v>
      </c>
    </row>
    <row r="7" spans="1:4" x14ac:dyDescent="0.25">
      <c r="A7">
        <v>1001</v>
      </c>
      <c r="B7">
        <v>2.2000000000000002</v>
      </c>
      <c r="C7">
        <v>2.0345714652514699</v>
      </c>
      <c r="D7">
        <v>1.59943525948623</v>
      </c>
    </row>
    <row r="8" spans="1:4" x14ac:dyDescent="0.25">
      <c r="A8">
        <v>1002</v>
      </c>
      <c r="B8">
        <v>2.2000000000000002</v>
      </c>
      <c r="C8">
        <v>2.0027528622089301</v>
      </c>
      <c r="D8">
        <v>1.56761665644369</v>
      </c>
    </row>
    <row r="9" spans="1:4" x14ac:dyDescent="0.25">
      <c r="A9">
        <v>1</v>
      </c>
      <c r="B9">
        <v>4</v>
      </c>
      <c r="C9">
        <v>4.5354174245274796</v>
      </c>
      <c r="D9">
        <v>4.1002812187622402</v>
      </c>
    </row>
    <row r="10" spans="1:4" x14ac:dyDescent="0.25">
      <c r="A10">
        <v>2</v>
      </c>
      <c r="B10">
        <v>4</v>
      </c>
      <c r="C10">
        <v>4.5723726337026598</v>
      </c>
      <c r="D10">
        <v>4.1372364279374301</v>
      </c>
    </row>
    <row r="11" spans="1:4" x14ac:dyDescent="0.25">
      <c r="A11">
        <v>3</v>
      </c>
      <c r="B11">
        <v>4.3</v>
      </c>
      <c r="C11">
        <v>4.8334669082763702</v>
      </c>
      <c r="D11">
        <v>4.3983307025111298</v>
      </c>
    </row>
    <row r="12" spans="1:4" x14ac:dyDescent="0.25">
      <c r="A12">
        <v>4</v>
      </c>
      <c r="B12">
        <v>4.3</v>
      </c>
      <c r="C12">
        <v>4.7818879434565797</v>
      </c>
      <c r="D12">
        <v>4.3467517376913403</v>
      </c>
    </row>
    <row r="13" spans="1:4" x14ac:dyDescent="0.25">
      <c r="A13">
        <v>5</v>
      </c>
      <c r="B13">
        <v>3.5</v>
      </c>
      <c r="C13">
        <v>4.1060217319171697</v>
      </c>
      <c r="D13">
        <v>3.6708855261519302</v>
      </c>
    </row>
    <row r="14" spans="1:4" x14ac:dyDescent="0.25">
      <c r="A14">
        <v>6</v>
      </c>
      <c r="B14">
        <v>3.4</v>
      </c>
      <c r="C14">
        <v>4.0069519401365703</v>
      </c>
      <c r="D14">
        <v>3.5718157343713299</v>
      </c>
    </row>
    <row r="15" spans="1:4" x14ac:dyDescent="0.25">
      <c r="A15">
        <v>8</v>
      </c>
      <c r="B15">
        <v>8.6</v>
      </c>
      <c r="C15">
        <v>9.3567463038455703</v>
      </c>
      <c r="D15">
        <v>8.9216100980803308</v>
      </c>
    </row>
    <row r="17" spans="1:7" x14ac:dyDescent="0.25">
      <c r="A17" t="s">
        <v>0</v>
      </c>
      <c r="B17">
        <v>0.58488300000000004</v>
      </c>
    </row>
    <row r="18" spans="1:7" x14ac:dyDescent="0.25">
      <c r="A18" t="s">
        <v>29</v>
      </c>
      <c r="B18">
        <v>-0.43513600000000002</v>
      </c>
    </row>
    <row r="19" spans="1:7" x14ac:dyDescent="0.25">
      <c r="A19" t="s">
        <v>30</v>
      </c>
      <c r="B19">
        <v>0.39082499999999998</v>
      </c>
    </row>
    <row r="20" spans="1:7" x14ac:dyDescent="0.25">
      <c r="A20" t="s">
        <v>2</v>
      </c>
      <c r="B20">
        <v>0.97959700000000005</v>
      </c>
    </row>
    <row r="21" spans="1:7" x14ac:dyDescent="0.25">
      <c r="A21" t="s">
        <v>31</v>
      </c>
    </row>
    <row r="27" spans="1:7" x14ac:dyDescent="0.25">
      <c r="A27" s="30" t="s">
        <v>18</v>
      </c>
      <c r="B27" s="31"/>
      <c r="C27" s="31"/>
      <c r="D27" s="32"/>
      <c r="G27" s="36"/>
    </row>
    <row r="28" spans="1:7" x14ac:dyDescent="0.25">
      <c r="A28" s="33" t="s">
        <v>9</v>
      </c>
      <c r="B28" s="34" t="s">
        <v>10</v>
      </c>
      <c r="C28" s="34" t="s">
        <v>27</v>
      </c>
      <c r="D28" s="35" t="s">
        <v>28</v>
      </c>
    </row>
    <row r="29" spans="1:7" x14ac:dyDescent="0.25">
      <c r="A29">
        <v>4000</v>
      </c>
      <c r="B29">
        <v>3.84</v>
      </c>
      <c r="C29">
        <v>3.42555236819666</v>
      </c>
      <c r="D29">
        <v>3.8413759925542501</v>
      </c>
    </row>
    <row r="30" spans="1:7" x14ac:dyDescent="0.25">
      <c r="A30">
        <v>4001</v>
      </c>
      <c r="B30">
        <v>3.87</v>
      </c>
      <c r="C30">
        <v>3.2023604846992102</v>
      </c>
      <c r="D30">
        <v>3.6181841090567999</v>
      </c>
    </row>
    <row r="31" spans="1:7" x14ac:dyDescent="0.25">
      <c r="A31">
        <v>1000</v>
      </c>
      <c r="B31">
        <v>3.04</v>
      </c>
      <c r="C31">
        <v>2.6835413993034001</v>
      </c>
      <c r="D31">
        <v>3.0993650236609902</v>
      </c>
    </row>
    <row r="32" spans="1:7" x14ac:dyDescent="0.25">
      <c r="A32">
        <v>1001</v>
      </c>
      <c r="B32">
        <v>3.07</v>
      </c>
      <c r="C32">
        <v>2.6314844989405199</v>
      </c>
      <c r="D32">
        <v>3.0473081232981101</v>
      </c>
    </row>
    <row r="33" spans="1:4" x14ac:dyDescent="0.25">
      <c r="A33">
        <v>1002</v>
      </c>
      <c r="B33">
        <v>3.17</v>
      </c>
      <c r="C33">
        <v>2.6587874914740701</v>
      </c>
      <c r="D33">
        <v>3.0746111158316598</v>
      </c>
    </row>
    <row r="34" spans="1:4" x14ac:dyDescent="0.25">
      <c r="A34">
        <v>1</v>
      </c>
      <c r="B34">
        <v>3.52</v>
      </c>
      <c r="C34">
        <v>3.2532006503209798</v>
      </c>
      <c r="D34">
        <v>3.66902427467857</v>
      </c>
    </row>
    <row r="35" spans="1:4" x14ac:dyDescent="0.25">
      <c r="A35">
        <v>2</v>
      </c>
      <c r="B35">
        <v>3.55</v>
      </c>
      <c r="C35">
        <v>3.29608432542376</v>
      </c>
      <c r="D35">
        <v>3.7119079497813501</v>
      </c>
    </row>
    <row r="36" spans="1:4" x14ac:dyDescent="0.25">
      <c r="A36">
        <v>3</v>
      </c>
      <c r="B36">
        <v>3.53</v>
      </c>
      <c r="C36">
        <v>3.2465413038515099</v>
      </c>
      <c r="D36">
        <v>3.6623649282091102</v>
      </c>
    </row>
    <row r="37" spans="1:4" x14ac:dyDescent="0.25">
      <c r="A37">
        <v>4</v>
      </c>
      <c r="B37">
        <v>3.59</v>
      </c>
      <c r="C37">
        <v>3.2404170052028798</v>
      </c>
      <c r="D37">
        <v>3.6562406295604699</v>
      </c>
    </row>
    <row r="38" spans="1:4" x14ac:dyDescent="0.25">
      <c r="A38">
        <v>5</v>
      </c>
      <c r="B38">
        <v>3.97</v>
      </c>
      <c r="C38">
        <v>3.2630772237574601</v>
      </c>
      <c r="D38">
        <v>3.6789008481150498</v>
      </c>
    </row>
    <row r="39" spans="1:4" x14ac:dyDescent="0.25">
      <c r="A39">
        <v>6</v>
      </c>
      <c r="B39">
        <v>3.76</v>
      </c>
      <c r="C39">
        <v>3.2414882935006601</v>
      </c>
      <c r="D39">
        <v>3.6573119178582498</v>
      </c>
    </row>
    <row r="40" spans="1:4" x14ac:dyDescent="0.25">
      <c r="A40">
        <v>8</v>
      </c>
      <c r="B40">
        <v>4.72</v>
      </c>
      <c r="C40">
        <v>4.4975814630377897</v>
      </c>
      <c r="D40">
        <v>4.9134050873953798</v>
      </c>
    </row>
    <row r="43" spans="1:4" x14ac:dyDescent="0.25">
      <c r="A43" s="2" t="s">
        <v>0</v>
      </c>
      <c r="B43">
        <v>0.44295200000000001</v>
      </c>
    </row>
    <row r="44" spans="1:4" x14ac:dyDescent="0.25">
      <c r="A44" s="2" t="s">
        <v>29</v>
      </c>
      <c r="B44">
        <v>0.41582400000000003</v>
      </c>
    </row>
    <row r="45" spans="1:4" x14ac:dyDescent="0.25">
      <c r="A45" s="2" t="s">
        <v>30</v>
      </c>
      <c r="B45">
        <v>0.15263499999999999</v>
      </c>
    </row>
    <row r="46" spans="1:4" x14ac:dyDescent="0.25">
      <c r="A46" s="2" t="s">
        <v>2</v>
      </c>
      <c r="B46">
        <v>0.89390400000000003</v>
      </c>
    </row>
    <row r="52" spans="1:4" x14ac:dyDescent="0.25">
      <c r="A52" s="30" t="s">
        <v>15</v>
      </c>
      <c r="B52" s="31"/>
      <c r="C52" s="31"/>
      <c r="D52" s="32"/>
    </row>
    <row r="53" spans="1:4" x14ac:dyDescent="0.25">
      <c r="A53" s="33" t="s">
        <v>9</v>
      </c>
      <c r="B53" s="34" t="s">
        <v>10</v>
      </c>
      <c r="C53" s="34" t="s">
        <v>27</v>
      </c>
      <c r="D53" s="35" t="s">
        <v>28</v>
      </c>
    </row>
    <row r="54" spans="1:4" x14ac:dyDescent="0.25">
      <c r="A54">
        <v>4000</v>
      </c>
      <c r="B54">
        <v>1.87</v>
      </c>
      <c r="C54">
        <v>1.99329868891409</v>
      </c>
      <c r="D54">
        <v>1.9842863298153901</v>
      </c>
    </row>
    <row r="55" spans="1:4" x14ac:dyDescent="0.25">
      <c r="A55">
        <v>4001</v>
      </c>
      <c r="B55">
        <v>1.98</v>
      </c>
      <c r="C55">
        <v>1.89866164006333</v>
      </c>
      <c r="D55">
        <v>1.8896492809646199</v>
      </c>
    </row>
    <row r="56" spans="1:4" x14ac:dyDescent="0.25">
      <c r="A56">
        <v>1000</v>
      </c>
      <c r="B56">
        <v>0.96</v>
      </c>
      <c r="C56">
        <v>1.04573969010416</v>
      </c>
      <c r="D56">
        <v>1.0367273310054601</v>
      </c>
    </row>
    <row r="57" spans="1:4" x14ac:dyDescent="0.25">
      <c r="A57">
        <v>1001</v>
      </c>
      <c r="B57">
        <v>0.95</v>
      </c>
      <c r="C57">
        <v>0.94268097699305997</v>
      </c>
      <c r="D57">
        <v>0.93366861789435796</v>
      </c>
    </row>
    <row r="58" spans="1:4" x14ac:dyDescent="0.25">
      <c r="A58">
        <v>1002</v>
      </c>
      <c r="B58">
        <v>0.93</v>
      </c>
      <c r="C58">
        <v>1.0281322745730499</v>
      </c>
      <c r="D58">
        <v>1.01911991547435</v>
      </c>
    </row>
    <row r="59" spans="1:4" x14ac:dyDescent="0.25">
      <c r="A59">
        <v>1</v>
      </c>
      <c r="B59">
        <v>1.84</v>
      </c>
      <c r="C59">
        <v>1.8366581537183799</v>
      </c>
      <c r="D59">
        <v>1.82764579461968</v>
      </c>
    </row>
    <row r="60" spans="1:4" x14ac:dyDescent="0.25">
      <c r="A60">
        <v>2</v>
      </c>
      <c r="B60">
        <v>1.71</v>
      </c>
      <c r="C60">
        <v>1.8691135735470901</v>
      </c>
      <c r="D60">
        <v>1.8601012144483799</v>
      </c>
    </row>
    <row r="61" spans="1:4" x14ac:dyDescent="0.25">
      <c r="A61">
        <v>3</v>
      </c>
      <c r="B61">
        <v>1.8</v>
      </c>
      <c r="C61">
        <v>1.9338836690227501</v>
      </c>
      <c r="D61">
        <v>1.92487130992405</v>
      </c>
    </row>
    <row r="62" spans="1:4" x14ac:dyDescent="0.25">
      <c r="A62">
        <v>4</v>
      </c>
      <c r="B62">
        <v>1.59</v>
      </c>
      <c r="C62">
        <v>1.92257305880477</v>
      </c>
      <c r="D62">
        <v>1.9135606997060599</v>
      </c>
    </row>
    <row r="63" spans="1:4" x14ac:dyDescent="0.25">
      <c r="A63">
        <v>5</v>
      </c>
      <c r="B63">
        <v>1.42</v>
      </c>
      <c r="C63">
        <v>1.08533195023198</v>
      </c>
      <c r="D63">
        <v>1.0763195911332699</v>
      </c>
    </row>
    <row r="64" spans="1:4" x14ac:dyDescent="0.25">
      <c r="A64">
        <v>6</v>
      </c>
      <c r="B64">
        <v>1.2</v>
      </c>
      <c r="C64">
        <v>1.0402492281186</v>
      </c>
      <c r="D64">
        <v>1.0312368690199001</v>
      </c>
    </row>
    <row r="65" spans="1:4" x14ac:dyDescent="0.25">
      <c r="A65">
        <v>8</v>
      </c>
      <c r="B65">
        <v>2.99</v>
      </c>
      <c r="C65">
        <v>2.7518254050931801</v>
      </c>
      <c r="D65">
        <v>2.74281304599447</v>
      </c>
    </row>
    <row r="68" spans="1:4" x14ac:dyDescent="0.25">
      <c r="A68" t="s">
        <v>0</v>
      </c>
      <c r="B68">
        <v>0.17957400000000001</v>
      </c>
    </row>
    <row r="69" spans="1:4" x14ac:dyDescent="0.25">
      <c r="A69" t="s">
        <v>29</v>
      </c>
      <c r="B69">
        <v>-9.0123600000000005E-3</v>
      </c>
    </row>
    <row r="70" spans="1:4" x14ac:dyDescent="0.25">
      <c r="A70" t="s">
        <v>30</v>
      </c>
      <c r="B70">
        <v>0.17934800000000001</v>
      </c>
    </row>
    <row r="71" spans="1:4" x14ac:dyDescent="0.25">
      <c r="A71" t="s">
        <v>2</v>
      </c>
      <c r="B71">
        <v>0.89742299999999997</v>
      </c>
    </row>
    <row r="76" spans="1:4" x14ac:dyDescent="0.25">
      <c r="A76" s="30" t="s">
        <v>16</v>
      </c>
      <c r="B76" s="31"/>
      <c r="C76" s="31"/>
      <c r="D76" s="32"/>
    </row>
    <row r="77" spans="1:4" x14ac:dyDescent="0.25">
      <c r="A77" s="33" t="s">
        <v>9</v>
      </c>
      <c r="B77" s="34" t="s">
        <v>10</v>
      </c>
      <c r="C77" s="34" t="s">
        <v>27</v>
      </c>
      <c r="D77" s="35" t="s">
        <v>28</v>
      </c>
    </row>
    <row r="78" spans="1:4" x14ac:dyDescent="0.25">
      <c r="A78">
        <v>4000</v>
      </c>
      <c r="B78">
        <v>2.75</v>
      </c>
      <c r="C78">
        <v>3.9100008789948002</v>
      </c>
      <c r="D78">
        <v>3.1369111240757199</v>
      </c>
    </row>
    <row r="79" spans="1:4" x14ac:dyDescent="0.25">
      <c r="A79">
        <v>4001</v>
      </c>
      <c r="B79">
        <v>2.82</v>
      </c>
      <c r="C79">
        <v>3.80486767390944</v>
      </c>
      <c r="D79">
        <v>3.03177791899037</v>
      </c>
    </row>
    <row r="80" spans="1:4" x14ac:dyDescent="0.25">
      <c r="A80">
        <v>1000</v>
      </c>
      <c r="B80">
        <v>2.4500000000000002</v>
      </c>
      <c r="C80">
        <v>3.4155172087263299</v>
      </c>
      <c r="D80">
        <v>2.6424274538072599</v>
      </c>
    </row>
    <row r="81" spans="1:4" x14ac:dyDescent="0.25">
      <c r="A81">
        <v>1001</v>
      </c>
      <c r="B81">
        <v>2.4700000000000002</v>
      </c>
      <c r="C81">
        <v>3.71556171153957</v>
      </c>
      <c r="D81">
        <v>2.9424719566205</v>
      </c>
    </row>
    <row r="82" spans="1:4" x14ac:dyDescent="0.25">
      <c r="A82">
        <v>1002</v>
      </c>
      <c r="B82">
        <v>2.44</v>
      </c>
      <c r="C82">
        <v>3.6299546386421002</v>
      </c>
      <c r="D82">
        <v>2.8568648837230199</v>
      </c>
    </row>
    <row r="83" spans="1:4" x14ac:dyDescent="0.25">
      <c r="A83">
        <v>1</v>
      </c>
      <c r="B83">
        <v>2.81</v>
      </c>
      <c r="C83">
        <v>3.5475458259044701</v>
      </c>
      <c r="D83">
        <v>2.7744560709853898</v>
      </c>
    </row>
    <row r="84" spans="1:4" x14ac:dyDescent="0.25">
      <c r="A84">
        <v>2</v>
      </c>
      <c r="B84">
        <v>2.89</v>
      </c>
      <c r="C84">
        <v>3.5568995263679</v>
      </c>
      <c r="D84">
        <v>2.7838097714488299</v>
      </c>
    </row>
    <row r="85" spans="1:4" x14ac:dyDescent="0.25">
      <c r="A85">
        <v>3</v>
      </c>
      <c r="B85">
        <v>2.92</v>
      </c>
      <c r="C85">
        <v>3.5454409748742699</v>
      </c>
      <c r="D85">
        <v>2.7723512199551901</v>
      </c>
    </row>
    <row r="86" spans="1:4" x14ac:dyDescent="0.25">
      <c r="A86">
        <v>4</v>
      </c>
      <c r="B86">
        <v>2.58</v>
      </c>
      <c r="C86">
        <v>3.5563727195168502</v>
      </c>
      <c r="D86">
        <v>2.7832829645977801</v>
      </c>
    </row>
    <row r="87" spans="1:4" x14ac:dyDescent="0.25">
      <c r="A87">
        <v>5</v>
      </c>
      <c r="B87">
        <v>3.31</v>
      </c>
      <c r="C87">
        <v>2.1756626772033401</v>
      </c>
      <c r="D87">
        <v>1.40257292228427</v>
      </c>
    </row>
    <row r="88" spans="1:4" x14ac:dyDescent="0.25">
      <c r="A88">
        <v>6</v>
      </c>
      <c r="B88">
        <v>2.95</v>
      </c>
      <c r="C88">
        <v>2.1731129520847099</v>
      </c>
      <c r="D88">
        <v>1.4000231971656401</v>
      </c>
    </row>
    <row r="89" spans="1:4" x14ac:dyDescent="0.25">
      <c r="A89">
        <v>8</v>
      </c>
      <c r="B89">
        <v>2.89</v>
      </c>
      <c r="C89">
        <v>5.5261402712651098</v>
      </c>
      <c r="D89">
        <v>4.7530505163460397</v>
      </c>
    </row>
    <row r="92" spans="1:4" x14ac:dyDescent="0.25">
      <c r="A92" t="s">
        <v>0</v>
      </c>
      <c r="B92">
        <v>1.20374</v>
      </c>
    </row>
    <row r="93" spans="1:4" x14ac:dyDescent="0.25">
      <c r="A93" t="s">
        <v>29</v>
      </c>
      <c r="B93">
        <v>-0.77309000000000005</v>
      </c>
    </row>
    <row r="94" spans="1:4" x14ac:dyDescent="0.25">
      <c r="A94" t="s">
        <v>30</v>
      </c>
      <c r="B94">
        <v>0.92267299999999997</v>
      </c>
    </row>
    <row r="95" spans="1:4" x14ac:dyDescent="0.25">
      <c r="A95" t="s">
        <v>2</v>
      </c>
      <c r="B95">
        <v>0.107279</v>
      </c>
    </row>
    <row r="100" spans="1:4" x14ac:dyDescent="0.25">
      <c r="A100" s="30" t="s">
        <v>17</v>
      </c>
      <c r="B100" s="31"/>
      <c r="C100" s="31"/>
      <c r="D100" s="32"/>
    </row>
    <row r="101" spans="1:4" x14ac:dyDescent="0.25">
      <c r="A101" s="33" t="s">
        <v>9</v>
      </c>
      <c r="B101" s="34" t="s">
        <v>10</v>
      </c>
      <c r="C101" s="34" t="s">
        <v>27</v>
      </c>
      <c r="D101" s="35" t="s">
        <v>28</v>
      </c>
    </row>
    <row r="102" spans="1:4" x14ac:dyDescent="0.25">
      <c r="A102">
        <v>4000</v>
      </c>
      <c r="B102">
        <v>2.8</v>
      </c>
      <c r="C102">
        <v>2.2884814740705499</v>
      </c>
      <c r="D102">
        <v>3.0507187381318701</v>
      </c>
    </row>
    <row r="103" spans="1:4" x14ac:dyDescent="0.25">
      <c r="A103">
        <v>4001</v>
      </c>
      <c r="B103">
        <v>2.87</v>
      </c>
      <c r="C103">
        <v>2.1100902262362999</v>
      </c>
      <c r="D103">
        <v>2.8723274902976201</v>
      </c>
    </row>
    <row r="104" spans="1:4" x14ac:dyDescent="0.25">
      <c r="A104">
        <v>1000</v>
      </c>
      <c r="B104">
        <v>2.61</v>
      </c>
      <c r="C104">
        <v>1.92340533611788</v>
      </c>
      <c r="D104">
        <v>2.68564260017919</v>
      </c>
    </row>
    <row r="105" spans="1:4" x14ac:dyDescent="0.25">
      <c r="A105">
        <v>1001</v>
      </c>
      <c r="B105">
        <v>2.57</v>
      </c>
      <c r="C105">
        <v>1.9911628312607901</v>
      </c>
      <c r="D105">
        <v>2.7534000953221098</v>
      </c>
    </row>
    <row r="106" spans="1:4" x14ac:dyDescent="0.25">
      <c r="A106">
        <v>1002</v>
      </c>
      <c r="B106">
        <v>2.58</v>
      </c>
      <c r="C106">
        <v>1.92399253343597</v>
      </c>
      <c r="D106">
        <v>2.6862297974972802</v>
      </c>
    </row>
    <row r="107" spans="1:4" x14ac:dyDescent="0.25">
      <c r="A107">
        <v>1</v>
      </c>
      <c r="B107">
        <v>2.72</v>
      </c>
      <c r="C107">
        <v>1.9483681159486499</v>
      </c>
      <c r="D107">
        <v>2.7106053800099601</v>
      </c>
    </row>
    <row r="108" spans="1:4" x14ac:dyDescent="0.25">
      <c r="A108">
        <v>2</v>
      </c>
      <c r="B108">
        <v>2.74</v>
      </c>
      <c r="C108">
        <v>1.9978394575479901</v>
      </c>
      <c r="D108">
        <v>2.7600767216093001</v>
      </c>
    </row>
    <row r="109" spans="1:4" x14ac:dyDescent="0.25">
      <c r="A109">
        <v>3</v>
      </c>
      <c r="B109">
        <v>2.75</v>
      </c>
      <c r="C109">
        <v>1.9534231802242501</v>
      </c>
      <c r="D109">
        <v>2.7156604442855699</v>
      </c>
    </row>
    <row r="110" spans="1:4" x14ac:dyDescent="0.25">
      <c r="A110">
        <v>4</v>
      </c>
      <c r="B110">
        <v>2.74</v>
      </c>
      <c r="C110">
        <v>1.9642508344849701</v>
      </c>
      <c r="D110">
        <v>2.72648809854629</v>
      </c>
    </row>
    <row r="111" spans="1:4" x14ac:dyDescent="0.25">
      <c r="A111">
        <v>5</v>
      </c>
      <c r="B111">
        <v>3.09</v>
      </c>
      <c r="C111">
        <v>2.0259047334710401</v>
      </c>
      <c r="D111">
        <v>2.78814199753235</v>
      </c>
    </row>
    <row r="112" spans="1:4" x14ac:dyDescent="0.25">
      <c r="A112">
        <v>6</v>
      </c>
      <c r="B112">
        <v>3.08</v>
      </c>
      <c r="C112">
        <v>2.0384713725271499</v>
      </c>
      <c r="D112">
        <v>2.8007086365884701</v>
      </c>
    </row>
    <row r="116" spans="1:2" x14ac:dyDescent="0.25">
      <c r="A116" t="s">
        <v>32</v>
      </c>
      <c r="B116">
        <v>0.77901699999999996</v>
      </c>
    </row>
    <row r="117" spans="1:2" x14ac:dyDescent="0.25">
      <c r="A117" t="s">
        <v>33</v>
      </c>
      <c r="B117">
        <v>0.76223700000000005</v>
      </c>
    </row>
    <row r="118" spans="1:2" x14ac:dyDescent="0.25">
      <c r="A118" t="s">
        <v>34</v>
      </c>
      <c r="B118">
        <v>0.16081699999999999</v>
      </c>
    </row>
    <row r="119" spans="1:2" x14ac:dyDescent="0.25">
      <c r="A119" t="s">
        <v>35</v>
      </c>
      <c r="B119">
        <v>0.14489099999999999</v>
      </c>
    </row>
  </sheetData>
  <mergeCells count="5">
    <mergeCell ref="A2:D2"/>
    <mergeCell ref="A27:D27"/>
    <mergeCell ref="A52:D52"/>
    <mergeCell ref="A76:D76"/>
    <mergeCell ref="A100:D10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abSelected="1" topLeftCell="A22" zoomScale="55" zoomScaleNormal="55" workbookViewId="0">
      <selection activeCell="R100" sqref="R100"/>
    </sheetView>
  </sheetViews>
  <sheetFormatPr defaultRowHeight="15" x14ac:dyDescent="0.25"/>
  <cols>
    <col min="1" max="1" width="21.140625" bestFit="1" customWidth="1"/>
    <col min="2" max="2" width="12.85546875" style="3" bestFit="1" customWidth="1"/>
    <col min="3" max="3" width="15.42578125" style="41" customWidth="1"/>
    <col min="4" max="6" width="11.5703125" style="41" bestFit="1" customWidth="1"/>
    <col min="7" max="7" width="7.140625" style="41" customWidth="1"/>
    <col min="8" max="8" width="9.140625" style="41"/>
    <col min="9" max="9" width="9.140625" style="53"/>
    <col min="10" max="10" width="10.42578125" style="41" bestFit="1" customWidth="1"/>
    <col min="11" max="11" width="10.5703125" style="3" bestFit="1" customWidth="1"/>
    <col min="12" max="16" width="9.140625" style="3"/>
    <col min="17" max="17" width="15.140625" customWidth="1"/>
    <col min="18" max="18" width="12.85546875" style="3" bestFit="1" customWidth="1"/>
    <col min="19" max="19" width="15.42578125" style="41" customWidth="1"/>
    <col min="20" max="22" width="11.5703125" style="41" bestFit="1" customWidth="1"/>
    <col min="23" max="23" width="7.140625" style="41" customWidth="1"/>
    <col min="24" max="24" width="9.140625" style="3"/>
    <col min="26" max="26" width="9.140625" style="3"/>
    <col min="27" max="27" width="9.140625" style="3" customWidth="1"/>
    <col min="28" max="31" width="9.140625" style="3"/>
    <col min="32" max="32" width="9.140625" style="3" customWidth="1"/>
    <col min="34" max="34" width="9.140625" style="3"/>
    <col min="35" max="35" width="9.140625" style="3" customWidth="1"/>
    <col min="36" max="39" width="9.140625" style="3"/>
    <col min="40" max="40" width="12.5703125" customWidth="1"/>
    <col min="42" max="42" width="9.140625" style="3"/>
    <col min="43" max="43" width="9.140625" style="3" customWidth="1"/>
    <col min="44" max="49" width="9.140625" style="3"/>
  </cols>
  <sheetData>
    <row r="1" spans="1:50" x14ac:dyDescent="0.25">
      <c r="B1" s="37" t="s">
        <v>38</v>
      </c>
      <c r="C1" s="37"/>
      <c r="D1" s="37"/>
      <c r="E1" s="37"/>
      <c r="F1" s="37"/>
      <c r="G1" s="37"/>
      <c r="H1" s="3"/>
      <c r="I1"/>
      <c r="J1" s="3"/>
      <c r="Q1" s="3"/>
      <c r="S1" s="3"/>
      <c r="T1" s="3"/>
      <c r="U1" s="3"/>
      <c r="V1" s="3"/>
      <c r="W1" s="3"/>
    </row>
    <row r="2" spans="1:50" x14ac:dyDescent="0.25">
      <c r="B2" s="37"/>
      <c r="C2" s="37"/>
      <c r="D2" s="37"/>
      <c r="E2" s="37"/>
      <c r="F2" s="37"/>
      <c r="G2" s="37"/>
      <c r="H2" s="3"/>
      <c r="I2"/>
      <c r="J2" s="3"/>
      <c r="Q2" s="3"/>
      <c r="S2" s="3"/>
      <c r="T2" s="3"/>
      <c r="U2" s="3"/>
      <c r="V2" s="3"/>
      <c r="W2" s="3"/>
    </row>
    <row r="3" spans="1:50" x14ac:dyDescent="0.25">
      <c r="B3" s="38" t="s">
        <v>39</v>
      </c>
      <c r="C3" s="38" t="s">
        <v>13</v>
      </c>
      <c r="D3" s="38" t="s">
        <v>18</v>
      </c>
      <c r="E3" s="38" t="s">
        <v>15</v>
      </c>
      <c r="F3" s="38" t="s">
        <v>16</v>
      </c>
      <c r="G3" s="38" t="s">
        <v>17</v>
      </c>
      <c r="H3" s="3"/>
      <c r="I3"/>
      <c r="J3" s="3"/>
      <c r="Q3" s="3"/>
      <c r="S3" s="3"/>
      <c r="T3" s="3"/>
      <c r="U3" s="3"/>
      <c r="V3" s="3"/>
      <c r="W3" s="3"/>
    </row>
    <row r="4" spans="1:50" ht="15" customHeight="1" x14ac:dyDescent="0.25">
      <c r="A4" s="37" t="s">
        <v>40</v>
      </c>
      <c r="B4" s="39">
        <v>189009</v>
      </c>
      <c r="C4" s="40">
        <f>CORREL(C42:C52,K42:K52)^2</f>
        <v>0.92547370581421784</v>
      </c>
      <c r="D4" s="40">
        <f>CORREL(D42:D52,L42:L52)^2</f>
        <v>0.70654932855910679</v>
      </c>
      <c r="E4" s="40">
        <f>CORREL(E42:E52,M42:M52)^2</f>
        <v>0.68281536133505116</v>
      </c>
      <c r="F4" s="40">
        <f>CORREL(F42:F52,N42:N52)^2</f>
        <v>0.95856346409348603</v>
      </c>
      <c r="G4" s="40">
        <f>CORREL(G42:G52,O42:O52)^2</f>
        <v>0.78977612488663362</v>
      </c>
      <c r="H4" s="3"/>
      <c r="I4"/>
      <c r="J4" s="3"/>
      <c r="Q4" s="3"/>
      <c r="S4" s="3"/>
      <c r="T4" s="3"/>
      <c r="U4" s="3"/>
      <c r="V4" s="3"/>
      <c r="W4" s="3"/>
    </row>
    <row r="5" spans="1:50" ht="15" customHeight="1" x14ac:dyDescent="0.25">
      <c r="A5" s="37"/>
      <c r="B5" s="39">
        <v>189013</v>
      </c>
      <c r="C5" s="40">
        <f>CORREL(C42:C52,S42:S52)^2</f>
        <v>0.93488528434832596</v>
      </c>
      <c r="D5" s="40">
        <f>CORREL(D42:D52,T42:T52)^2</f>
        <v>0.94919726951204431</v>
      </c>
      <c r="E5" s="40">
        <f>CORREL(E42:E52,U42:U52)^2</f>
        <v>0.72278128146909248</v>
      </c>
      <c r="F5" s="40">
        <f>CORREL(F42:F52,V42:V52)^2</f>
        <v>0.95508512137249313</v>
      </c>
      <c r="G5" s="40">
        <f>CORREL(G42:G52,W42:W52)^2</f>
        <v>0.95767910040757398</v>
      </c>
      <c r="H5" s="3"/>
      <c r="I5"/>
      <c r="J5" s="3"/>
      <c r="Q5" s="3"/>
      <c r="S5" s="3"/>
      <c r="T5" s="3"/>
      <c r="U5" s="3"/>
      <c r="V5" s="3"/>
      <c r="W5" s="3"/>
    </row>
    <row r="6" spans="1:50" ht="15" customHeight="1" x14ac:dyDescent="0.25">
      <c r="A6" s="37"/>
      <c r="B6" s="39">
        <v>189017</v>
      </c>
      <c r="C6" s="40">
        <f>CORREL(C42:C52,AA42:AA52)^2</f>
        <v>0.89921328182765059</v>
      </c>
      <c r="D6" s="40">
        <f>CORREL(D42:D52,AB42:AB52)^2</f>
        <v>0.94034050032266525</v>
      </c>
      <c r="E6" s="40">
        <f>CORREL(E42:E52,AC42:AC52)^2</f>
        <v>0.83396602103210493</v>
      </c>
      <c r="F6" s="40">
        <f>CORREL(F42:F52,AD42:AD52)^2</f>
        <v>0.96114287650153329</v>
      </c>
      <c r="G6" s="40">
        <f>CORREL(G42:G52,AE42:AE52)^2</f>
        <v>0.90881185812431575</v>
      </c>
      <c r="H6" s="3"/>
      <c r="I6"/>
      <c r="J6" s="3"/>
      <c r="Q6" s="3"/>
      <c r="S6" s="3"/>
      <c r="T6" s="3"/>
      <c r="U6" s="3"/>
      <c r="V6" s="3"/>
      <c r="W6" s="3"/>
    </row>
    <row r="7" spans="1:50" x14ac:dyDescent="0.25">
      <c r="A7" s="37"/>
      <c r="B7" s="39">
        <v>190006</v>
      </c>
      <c r="C7" s="40">
        <f>CORREL(C42:C52,AI42:AI52)^2</f>
        <v>0.94125894439570978</v>
      </c>
      <c r="D7" s="40">
        <f>CORREL(D42:D52,AJ42:AJ52)^2</f>
        <v>0.9091620702062575</v>
      </c>
      <c r="E7" s="40">
        <f>CORREL(E42:E52,AK42:AK52)^2</f>
        <v>0.95470421648749948</v>
      </c>
      <c r="F7" s="40">
        <f>CORREL(F42:F52,AL42:AL52)^2</f>
        <v>0.97174311313341522</v>
      </c>
      <c r="G7" s="40">
        <f>CORREL(G42:G52,AM42:AM52)^2</f>
        <v>0.93739528073317779</v>
      </c>
      <c r="H7" s="3"/>
      <c r="I7"/>
      <c r="J7" s="3"/>
      <c r="Q7" s="3"/>
      <c r="S7" s="3"/>
      <c r="T7" s="3"/>
      <c r="U7" s="3"/>
      <c r="V7" s="3"/>
      <c r="W7" s="3"/>
    </row>
    <row r="8" spans="1:50" x14ac:dyDescent="0.25">
      <c r="A8" s="3"/>
      <c r="H8" s="3"/>
      <c r="I8"/>
      <c r="J8" s="3"/>
      <c r="Q8" s="3"/>
      <c r="S8" s="3"/>
      <c r="T8" s="3"/>
      <c r="U8" s="3"/>
      <c r="V8" s="3"/>
      <c r="W8" s="3"/>
    </row>
    <row r="9" spans="1:50" x14ac:dyDescent="0.25">
      <c r="A9" s="42" t="s">
        <v>41</v>
      </c>
      <c r="B9" s="39">
        <f>B4</f>
        <v>189009</v>
      </c>
      <c r="C9" s="40">
        <f>AVERAGE(C42:C52)-AVERAGE(K42:K52)</f>
        <v>-0.3280653399893243</v>
      </c>
      <c r="D9" s="40">
        <f>AVERAGE(D42:D52)-AVERAGE(L42:L52)</f>
        <v>-3.1690396648835772E-3</v>
      </c>
      <c r="E9" s="40">
        <f>AVERAGE(E42:E52)-AVERAGE(M42:M52)</f>
        <v>-0.37624350499670678</v>
      </c>
      <c r="F9" s="40">
        <f>AVERAGE(F42:F52)-AVERAGE(N42:N52)</f>
        <v>-0.10586263778632077</v>
      </c>
      <c r="G9" s="40">
        <f>AVERAGE(G42:G52)-AVERAGE(O42:O52)</f>
        <v>8.1358101897359258E-2</v>
      </c>
      <c r="H9" s="3"/>
      <c r="I9"/>
      <c r="J9" s="3"/>
      <c r="Q9" s="3"/>
      <c r="S9" s="3"/>
      <c r="T9" s="3"/>
      <c r="U9" s="3"/>
      <c r="V9" s="3"/>
      <c r="W9" s="3"/>
    </row>
    <row r="10" spans="1:50" x14ac:dyDescent="0.25">
      <c r="A10" s="43"/>
      <c r="B10" s="39">
        <f>B5</f>
        <v>189013</v>
      </c>
      <c r="C10" s="40">
        <f>AVERAGE(C42:C52)-AVERAGE(S42:S52)</f>
        <v>0.1262296998020922</v>
      </c>
      <c r="D10" s="40">
        <f>AVERAGE(D42:D52)-AVERAGE(T42:T52)</f>
        <v>-1.2279467251346432E-2</v>
      </c>
      <c r="E10" s="40">
        <f>AVERAGE(E42:E52)-AVERAGE(U42:U52)</f>
        <v>-7.9375765150452082E-2</v>
      </c>
      <c r="F10" s="40">
        <f>AVERAGE(F42:F52)-AVERAGE(V42:V52)</f>
        <v>5.6309386327126898E-2</v>
      </c>
      <c r="G10" s="40">
        <f>AVERAGE(G42:G52)-AVERAGE(W42:W52)</f>
        <v>-1.6512106899359669E-2</v>
      </c>
      <c r="H10" s="3"/>
      <c r="I10"/>
      <c r="J10" s="3"/>
      <c r="Q10" s="3"/>
      <c r="S10" s="3"/>
      <c r="T10" s="3"/>
      <c r="U10" s="3"/>
      <c r="V10" s="3"/>
      <c r="W10" s="3"/>
    </row>
    <row r="11" spans="1:50" x14ac:dyDescent="0.25">
      <c r="A11" s="43"/>
      <c r="B11" s="39">
        <f>B6</f>
        <v>189017</v>
      </c>
      <c r="C11" s="40">
        <f>AVERAGE(C42:C52)-AVERAGE(AA42:AA52)</f>
        <v>-0.20407937210844374</v>
      </c>
      <c r="D11" s="40">
        <f>AVERAGE(D42:D52)-AVERAGE(AB42:AB52)</f>
        <v>-8.4424150388922037E-2</v>
      </c>
      <c r="E11" s="40">
        <f>AVERAGE(E42:E52)-AVERAGE(AC42:AC52)</f>
        <v>-0.15518170766528216</v>
      </c>
      <c r="F11" s="40">
        <f>AVERAGE(F42:F52)-AVERAGE(AD42:AD52)</f>
        <v>-1.8811745001370728E-2</v>
      </c>
      <c r="G11" s="40">
        <f>AVERAGE(G42:G52)-AVERAGE(AE42:AE52)</f>
        <v>-1.3426142156937271E-2</v>
      </c>
      <c r="H11" s="3"/>
      <c r="I11"/>
      <c r="J11" s="3"/>
      <c r="Q11" s="3"/>
      <c r="S11" s="3"/>
      <c r="T11" s="3"/>
      <c r="U11" s="3"/>
      <c r="V11" s="3"/>
      <c r="W11" s="3"/>
    </row>
    <row r="12" spans="1:50" x14ac:dyDescent="0.25">
      <c r="A12" s="44"/>
      <c r="B12" s="39">
        <f>B7</f>
        <v>190006</v>
      </c>
      <c r="C12" s="40">
        <f>AVERAGE(C42:C52)-AVERAGE(AI42:AI52)</f>
        <v>0.16071109785461779</v>
      </c>
      <c r="D12" s="40">
        <f>AVERAGE(D42:D52)-AVERAGE(AJ42:AJ52)</f>
        <v>3.1047267869774409E-2</v>
      </c>
      <c r="E12" s="40">
        <f>AVERAGE(E42:E52)-AVERAGE(AK42:AK52)</f>
        <v>-7.6691286466285202E-2</v>
      </c>
      <c r="F12" s="40">
        <f>AVERAGE(F42:F52)-AVERAGE(AL42:AL52)</f>
        <v>1.1707177866403295E-2</v>
      </c>
      <c r="G12" s="40">
        <f>AVERAGE(G42:G52)-AVERAGE(AM42:AM52)</f>
        <v>8.0597519828164543E-2</v>
      </c>
      <c r="H12" s="3"/>
      <c r="I12"/>
      <c r="J12" s="3"/>
      <c r="Q12" s="3"/>
      <c r="S12" s="3"/>
      <c r="T12" s="3"/>
      <c r="U12" s="3"/>
      <c r="V12" s="3"/>
      <c r="W12" s="3"/>
    </row>
    <row r="13" spans="1:50" s="3" customFormat="1" x14ac:dyDescent="0.25">
      <c r="B13" s="39"/>
      <c r="C13" s="40"/>
      <c r="D13" s="40"/>
      <c r="E13" s="40"/>
      <c r="F13" s="40"/>
      <c r="G13" s="40"/>
      <c r="I13"/>
      <c r="Y13"/>
      <c r="AG13"/>
      <c r="AN13"/>
      <c r="AO13"/>
      <c r="AX13"/>
    </row>
    <row r="14" spans="1:50" s="3" customFormat="1" x14ac:dyDescent="0.25">
      <c r="A14" s="45" t="s">
        <v>3</v>
      </c>
      <c r="B14" s="39">
        <f>B4</f>
        <v>189009</v>
      </c>
      <c r="C14" s="40">
        <f>SLOPE(K$54:K$64,C$42:C$52)</f>
        <v>0.99477047434821531</v>
      </c>
      <c r="D14" s="40">
        <f>SLOPE(L$54:L$64,D$42:D$52)</f>
        <v>0.75433778227403481</v>
      </c>
      <c r="E14" s="40">
        <f>SLOPE(M$54:M$64,E$42:E$52)</f>
        <v>0.86687113302783281</v>
      </c>
      <c r="F14" s="40">
        <f>SLOPE(N$54:N$64,F$42:F$52)</f>
        <v>1.0034834046527659</v>
      </c>
      <c r="G14" s="40">
        <f>SLOPE(O$54:O$64,G$42:G$52)</f>
        <v>0.67344835459482655</v>
      </c>
      <c r="I14"/>
      <c r="Y14"/>
      <c r="AG14"/>
      <c r="AN14"/>
      <c r="AO14"/>
      <c r="AX14"/>
    </row>
    <row r="15" spans="1:50" s="3" customFormat="1" x14ac:dyDescent="0.25">
      <c r="A15" s="46"/>
      <c r="B15" s="39">
        <f>B5</f>
        <v>189013</v>
      </c>
      <c r="C15" s="40">
        <f>SLOPE(S$54:S$64,C$42:C$52)</f>
        <v>0.90209333188330765</v>
      </c>
      <c r="D15" s="40">
        <f>SLOPE(T$54:T$64,D$42:D$52)</f>
        <v>0.91194979145732158</v>
      </c>
      <c r="E15" s="40">
        <f>SLOPE(U$54:U$64,E$42:E$52)</f>
        <v>0.7531768731379026</v>
      </c>
      <c r="F15" s="40">
        <f>SLOPE(V$54:V$64,F$42:F$52)</f>
        <v>0.98906670228114257</v>
      </c>
      <c r="G15" s="40">
        <f>SLOPE(W$54:W$64,G$42:G$52)</f>
        <v>0.99186335236968248</v>
      </c>
      <c r="I15"/>
      <c r="Y15"/>
      <c r="AG15"/>
      <c r="AN15"/>
      <c r="AO15"/>
      <c r="AX15"/>
    </row>
    <row r="16" spans="1:50" s="3" customFormat="1" x14ac:dyDescent="0.25">
      <c r="A16" s="46"/>
      <c r="B16" s="39">
        <f>B6</f>
        <v>189017</v>
      </c>
      <c r="C16" s="40">
        <f>SLOPE(AA$54:AA$64,C$42:C$52)</f>
        <v>0.8875507598936625</v>
      </c>
      <c r="D16" s="40">
        <f>SLOPE(AB$54:AB$64,D$42:D$52)</f>
        <v>0.82218231112867635</v>
      </c>
      <c r="E16" s="40">
        <f>SLOPE(AC$54:AC$64,E$42:E$52)</f>
        <v>0.64924675751629191</v>
      </c>
      <c r="F16" s="40">
        <f>SLOPE(AD$54:AD$64,F$42:F$52)</f>
        <v>1.0519011754064629</v>
      </c>
      <c r="G16" s="40">
        <f>SLOPE(AE$54:AE$64,G$42:G$52)</f>
        <v>0.7744290183290562</v>
      </c>
      <c r="I16"/>
      <c r="Y16"/>
      <c r="AG16"/>
      <c r="AN16"/>
      <c r="AO16"/>
      <c r="AX16"/>
    </row>
    <row r="17" spans="1:50" s="3" customFormat="1" x14ac:dyDescent="0.25">
      <c r="A17" s="46"/>
      <c r="B17" s="39">
        <f>B7</f>
        <v>190006</v>
      </c>
      <c r="C17" s="40">
        <f>SLOPE(AI$54:AI$64,C$42:C$52)</f>
        <v>0.95403023198596459</v>
      </c>
      <c r="D17" s="40">
        <f>SLOPE(AJ$54:AJ$64,D$42:D$52)</f>
        <v>1.0096636168728084</v>
      </c>
      <c r="E17" s="40">
        <f>SLOPE(AK$54:AK$64,E$42:E$52)</f>
        <v>1.1385443878765433</v>
      </c>
      <c r="F17" s="40">
        <f>SLOPE(AL$54:AL$64,F$42:F$52)</f>
        <v>0.96538152017321888</v>
      </c>
      <c r="G17" s="40">
        <f>SLOPE(AM$54:AM$64,G$42:G$52)</f>
        <v>0.76075908180994434</v>
      </c>
      <c r="I17"/>
      <c r="Y17"/>
      <c r="AG17"/>
      <c r="AN17"/>
      <c r="AO17"/>
      <c r="AX17"/>
    </row>
    <row r="18" spans="1:50" s="3" customFormat="1" x14ac:dyDescent="0.25">
      <c r="A18"/>
      <c r="B18" s="39"/>
      <c r="C18" s="40"/>
      <c r="D18" s="40"/>
      <c r="E18" s="40"/>
      <c r="F18" s="40"/>
      <c r="G18" s="40"/>
      <c r="I18"/>
      <c r="Y18"/>
      <c r="AG18"/>
      <c r="AN18"/>
      <c r="AO18"/>
      <c r="AX18"/>
    </row>
    <row r="19" spans="1:50" s="3" customFormat="1" x14ac:dyDescent="0.25">
      <c r="A19" s="42" t="s">
        <v>42</v>
      </c>
      <c r="B19" s="39">
        <f>B4</f>
        <v>189009</v>
      </c>
      <c r="C19" s="40">
        <f>SQRT(SUMXMY2(C42:C52,K42:K52)/COUNT(C42:C52))</f>
        <v>0.87207070446884127</v>
      </c>
      <c r="D19" s="40">
        <f>SQRT(SUMXMY2(D42:D52,L42:L52)/COUNT(D42:D52))</f>
        <v>0.58602053017546951</v>
      </c>
      <c r="E19" s="40">
        <f>SQRT(SUMXMY2(E42:E52,M42:M52)/COUNT(E42:E52))</f>
        <v>0.82462787008863725</v>
      </c>
      <c r="F19" s="40">
        <f>SQRT(SUMXMY2(F42:F52,N42:N52)/COUNT(F42:F52))</f>
        <v>0.25111007933890594</v>
      </c>
      <c r="G19" s="40">
        <f>SQRT(SUMXMY2(G42:G52,O42:O52)/COUNT(G42:G52))</f>
        <v>0.43039856388156061</v>
      </c>
      <c r="I19"/>
      <c r="Y19"/>
      <c r="AG19"/>
      <c r="AN19"/>
      <c r="AO19"/>
      <c r="AX19"/>
    </row>
    <row r="20" spans="1:50" s="3" customFormat="1" x14ac:dyDescent="0.25">
      <c r="A20" s="43"/>
      <c r="B20" s="39">
        <f>B5</f>
        <v>189013</v>
      </c>
      <c r="C20" s="40">
        <f>SQRT(SUMXMY2(C42:C52,S42:S52)/COUNT(C42:C52))</f>
        <v>0.74743264676223931</v>
      </c>
      <c r="D20" s="40">
        <f>SQRT(SUMXMY2(D42:D52,T42:T52)/COUNT(D42:D52))</f>
        <v>0.24626551243887695</v>
      </c>
      <c r="E20" s="40">
        <f>SQRT(SUMXMY2(E42:E52,U42:U52)/COUNT(E42:E52))</f>
        <v>0.64430484893710527</v>
      </c>
      <c r="F20" s="40">
        <f>SQRT(SUMXMY2(F42:F52,V42:V52)/COUNT(F42:F52))</f>
        <v>0.24102948089160633</v>
      </c>
      <c r="G20" s="40">
        <f>SQRT(SUMXMY2(G42:G52,W42:W52)/COUNT(G42:G52))</f>
        <v>0.18568981170302881</v>
      </c>
      <c r="I20"/>
      <c r="Y20"/>
      <c r="AG20"/>
      <c r="AN20"/>
      <c r="AO20"/>
      <c r="AX20"/>
    </row>
    <row r="21" spans="1:50" s="3" customFormat="1" x14ac:dyDescent="0.25">
      <c r="A21" s="43"/>
      <c r="B21" s="39">
        <f>B6</f>
        <v>189017</v>
      </c>
      <c r="C21" s="40">
        <f>SQRT(SUMXMY2(C42:C52,AA42:AA52)/COUNT(C42:C52))</f>
        <v>0.93185221859188749</v>
      </c>
      <c r="D21" s="40">
        <f>SQRT(SUMXMY2(D42:D52,AB42:AB52)/COUNT(D42:D52))</f>
        <v>0.30556300179566237</v>
      </c>
      <c r="E21" s="40">
        <f>SQRT(SUMXMY2(E42:E52,AC42:AC52)/COUNT(E42:E52))</f>
        <v>0.57260598029492604</v>
      </c>
      <c r="F21" s="40">
        <f>SQRT(SUMXMY2(F42:F52,AD42:AD52)/COUNT(F42:F52))</f>
        <v>0.23839102699181236</v>
      </c>
      <c r="G21" s="40">
        <f>SQRT(SUMXMY2(G42:G52,AE42:AE52)/COUNT(G42:G52))</f>
        <v>0.29569178171595278</v>
      </c>
      <c r="I21"/>
      <c r="Y21"/>
      <c r="AG21"/>
      <c r="AN21"/>
      <c r="AO21"/>
      <c r="AX21"/>
    </row>
    <row r="22" spans="1:50" s="3" customFormat="1" x14ac:dyDescent="0.25">
      <c r="A22" s="44"/>
      <c r="B22" s="39">
        <f>B7</f>
        <v>190006</v>
      </c>
      <c r="C22" s="40">
        <f>SQRT(SUMXMY2(C42:C52,AI42:AI52)/COUNT(C42:C52))</f>
        <v>0.71298463295086467</v>
      </c>
      <c r="D22" s="40">
        <f>SQRT(SUMXMY2(D42:D52,AJ42:AJ52)/COUNT(D42:D52))</f>
        <v>0.34491769238838654</v>
      </c>
      <c r="E22" s="40">
        <f>SQRT(SUMXMY2(E42:E52,AK42:AK52)/COUNT(E42:E52))</f>
        <v>0.35262227320735101</v>
      </c>
      <c r="F22" s="40">
        <f>SQRT(SUMXMY2(F42:F52,AL42:AL52)/COUNT(F42:F52))</f>
        <v>0.18394293944723217</v>
      </c>
      <c r="G22" s="40">
        <f>SQRT(SUMXMY2(G42:G52,AM42:AM52)/COUNT(G42:G52))</f>
        <v>0.28606114281929662</v>
      </c>
      <c r="I22"/>
      <c r="Y22"/>
      <c r="AG22"/>
      <c r="AN22"/>
      <c r="AO22"/>
      <c r="AX22"/>
    </row>
    <row r="23" spans="1:50" s="3" customFormat="1" x14ac:dyDescent="0.25">
      <c r="A23"/>
      <c r="B23" s="39"/>
      <c r="C23" s="40"/>
      <c r="D23" s="40"/>
      <c r="E23" s="40"/>
      <c r="F23" s="40"/>
      <c r="G23" s="40"/>
      <c r="I23"/>
      <c r="Y23"/>
      <c r="AG23"/>
      <c r="AN23"/>
      <c r="AO23"/>
      <c r="AX23"/>
    </row>
    <row r="24" spans="1:50" s="3" customFormat="1" x14ac:dyDescent="0.25">
      <c r="A24" s="42" t="s">
        <v>43</v>
      </c>
      <c r="B24" s="39">
        <f>B4</f>
        <v>189009</v>
      </c>
      <c r="C24" s="40">
        <f>SQRT(SUMXMY2(C42:C52,K54:K64)/COUNT(C42:C52))</f>
        <v>0.80801017709585188</v>
      </c>
      <c r="D24" s="40">
        <f>SQRT(SUMXMY2(D42:D52,L54:L64)/COUNT(D42:D52))</f>
        <v>0.5860119614604643</v>
      </c>
      <c r="E24" s="40">
        <f>SQRT(SUMXMY2(E42:E52,M54:M64)/COUNT(E42:E52))</f>
        <v>0.73379285161053132</v>
      </c>
      <c r="F24" s="40">
        <f>SQRT(SUMXMY2(F42:F52,N54:N64)/COUNT(F42:F52))</f>
        <v>0.2277045758576535</v>
      </c>
      <c r="G24" s="40">
        <f>SQRT(SUMXMY2(G42:G52,O54:O64)/COUNT(G42:G52))</f>
        <v>0.42263906947532504</v>
      </c>
      <c r="I24"/>
      <c r="Y24"/>
      <c r="AG24"/>
      <c r="AN24"/>
      <c r="AO24"/>
      <c r="AX24"/>
    </row>
    <row r="25" spans="1:50" s="3" customFormat="1" x14ac:dyDescent="0.25">
      <c r="A25" s="43"/>
      <c r="B25" s="39">
        <f>B5</f>
        <v>189013</v>
      </c>
      <c r="C25" s="40">
        <f>SQRT(SUMXMY2(C42:C52,S54:S64)/COUNT(C42:C52))</f>
        <v>0.73669642617151332</v>
      </c>
      <c r="D25" s="40">
        <f>SQRT(SUMXMY2(D42:D52,T54:T64)/COUNT(D42:D52))</f>
        <v>0.24595917811865808</v>
      </c>
      <c r="E25" s="40">
        <f>SQRT(SUMXMY2(E42:E52,U54:U64)/COUNT(E42:E52))</f>
        <v>0.6393967674852965</v>
      </c>
      <c r="F25" s="40">
        <f>SQRT(SUMXMY2(F42:F52,V54:V64)/COUNT(F42:F52))</f>
        <v>0.23435968866325896</v>
      </c>
      <c r="G25" s="40">
        <f>SQRT(SUMXMY2(G42:G52,W54:W64)/COUNT(G42:G52))</f>
        <v>0.1849542010770516</v>
      </c>
      <c r="I25"/>
      <c r="Y25"/>
      <c r="AG25"/>
      <c r="AN25"/>
      <c r="AO25"/>
      <c r="AX25"/>
    </row>
    <row r="26" spans="1:50" s="3" customFormat="1" x14ac:dyDescent="0.25">
      <c r="A26" s="43"/>
      <c r="B26" s="39">
        <f>B6</f>
        <v>189017</v>
      </c>
      <c r="C26" s="40">
        <f>SQRT(SUMXMY2(C42:C52,AA54:AA64)/COUNT(C42:C52))</f>
        <v>0.90923053576881518</v>
      </c>
      <c r="D26" s="40">
        <f>SQRT(SUMXMY2(D42:D52,AB54:AB64)/COUNT(D42:D52))</f>
        <v>0.2936687094286432</v>
      </c>
      <c r="E26" s="40">
        <f>SQRT(SUMXMY2(E42:E52,AC54:AC64)/COUNT(E42:E52))</f>
        <v>0.55117714600262591</v>
      </c>
      <c r="F26" s="40">
        <f>SQRT(SUMXMY2(F42:F52,AD54:AD64)/COUNT(F42:F52))</f>
        <v>0.2376476383224003</v>
      </c>
      <c r="G26" s="40">
        <f>SQRT(SUMXMY2(G42:G52,AE54:AE64)/COUNT(G42:G52))</f>
        <v>0.29538681162356667</v>
      </c>
      <c r="I26"/>
      <c r="Y26"/>
      <c r="AG26"/>
      <c r="AN26"/>
      <c r="AO26"/>
      <c r="AX26"/>
    </row>
    <row r="27" spans="1:50" s="3" customFormat="1" x14ac:dyDescent="0.25">
      <c r="A27" s="44"/>
      <c r="B27" s="39">
        <f>B7</f>
        <v>190006</v>
      </c>
      <c r="C27" s="40">
        <f>SQRT(SUMXMY2(C42:C52,AI54:AI64)/COUNT(C42:C52))</f>
        <v>0.69463589732351327</v>
      </c>
      <c r="D27" s="40">
        <f>SQRT(SUMXMY2(D42:D52,AJ54:AJ64)/COUNT(D42:D52))</f>
        <v>0.343517512916521</v>
      </c>
      <c r="E27" s="40">
        <f>SQRT(SUMXMY2(E42:E52,AK54:AK64)/COUNT(E42:E52))</f>
        <v>0.34418151336477387</v>
      </c>
      <c r="F27" s="40">
        <f>SQRT(SUMXMY2(F42:F52,AL54:AL64)/COUNT(F42:F52))</f>
        <v>0.18357000560792197</v>
      </c>
      <c r="G27" s="40">
        <f>SQRT(SUMXMY2(G42:G52,AM54:AM64)/COUNT(G42:G52))</f>
        <v>0.27447225220162164</v>
      </c>
      <c r="I27"/>
      <c r="Y27"/>
      <c r="AG27"/>
      <c r="AN27"/>
      <c r="AO27"/>
      <c r="AX27"/>
    </row>
    <row r="28" spans="1:50" s="3" customFormat="1" x14ac:dyDescent="0.25">
      <c r="A28"/>
      <c r="B28" s="39"/>
      <c r="C28" s="40"/>
      <c r="D28" s="40"/>
      <c r="E28" s="40"/>
      <c r="F28" s="40"/>
      <c r="G28" s="40"/>
      <c r="I28"/>
      <c r="Y28"/>
      <c r="AG28"/>
      <c r="AN28"/>
      <c r="AO28"/>
      <c r="AX28"/>
    </row>
    <row r="29" spans="1:50" s="3" customFormat="1" x14ac:dyDescent="0.25">
      <c r="A29" s="42" t="s">
        <v>44</v>
      </c>
      <c r="B29" s="47" t="s">
        <v>45</v>
      </c>
      <c r="C29" s="40">
        <f>SQRT(SUMXMY2(C42:C52,AQ42:AQ52)/COUNT(C42:C52))</f>
        <v>0.54110357261110509</v>
      </c>
      <c r="D29" s="40">
        <f>SQRT(SUMXMY2(D42:D52,AR42:AR52)/COUNT(D42:D52))</f>
        <v>0.22280429051475859</v>
      </c>
      <c r="E29" s="40">
        <f>SQRT(SUMXMY2(E42:E52,AS42:AS52)/COUNT(E42:E52))</f>
        <v>0.40681163897540895</v>
      </c>
      <c r="F29" s="40">
        <f>SQRT(SUMXMY2(F42:F52,AT42:AT52)/COUNT(F42:F52))</f>
        <v>0.14219221407041668</v>
      </c>
      <c r="G29" s="40">
        <f>SQRT(SUMXMY2(G42:G52,AU42:AU52)/COUNT(G42:G52))</f>
        <v>0.19045189777544183</v>
      </c>
      <c r="I29"/>
      <c r="Y29"/>
      <c r="AG29"/>
      <c r="AN29"/>
      <c r="AO29"/>
      <c r="AX29"/>
    </row>
    <row r="30" spans="1:50" x14ac:dyDescent="0.25">
      <c r="A30" s="43"/>
      <c r="B30" s="47">
        <f>B4</f>
        <v>189009</v>
      </c>
      <c r="C30" s="40">
        <f>SQRT(SUMXMY2(AQ42:AQ52,K42:K52)/COUNT(AQ42:AQ52))</f>
        <v>0.46092969126531158</v>
      </c>
      <c r="D30" s="40">
        <f>SQRT(SUMXMY2(AR42:AR52,L42:L52)/COUNT(AR42:AR52))</f>
        <v>0.40374819937645745</v>
      </c>
      <c r="E30" s="40">
        <f>SQRT(SUMXMY2(AS42:AS52,M42:M52)/COUNT(AS42:AS52))</f>
        <v>0.44954926588924105</v>
      </c>
      <c r="F30" s="40">
        <f>SQRT(SUMXMY2(AT42:AT52,N42:N52)/COUNT(AT42:AT52))</f>
        <v>0.14667653086542504</v>
      </c>
      <c r="G30" s="40">
        <f>SQRT(SUMXMY2(AU42:AU52,O42:O52)/COUNT(AU42:AU52))</f>
        <v>0.26757956183565118</v>
      </c>
      <c r="H30" s="3"/>
      <c r="I30"/>
      <c r="J30" s="3"/>
      <c r="Q30" s="3"/>
      <c r="S30" s="3"/>
      <c r="T30" s="3"/>
      <c r="U30" s="3"/>
      <c r="V30" s="3"/>
      <c r="W30" s="3"/>
    </row>
    <row r="31" spans="1:50" x14ac:dyDescent="0.25">
      <c r="A31" s="43"/>
      <c r="B31" s="47">
        <f>B5</f>
        <v>189013</v>
      </c>
      <c r="C31" s="40">
        <f>SQRT(SUMXMY2(AQ42:AQ52,S42:S52)/COUNT(AQ42:AQ52))</f>
        <v>0.33904864103095472</v>
      </c>
      <c r="D31" s="40">
        <f>SQRT(SUMXMY2(AR42:AR52,T42:T52)/COUNT(AR42:AR52))</f>
        <v>9.9361672091165643E-2</v>
      </c>
      <c r="E31" s="40">
        <f>SQRT(SUMXMY2(AS42:AS52,U42:U52)/COUNT(AS42:AS52))</f>
        <v>0.27590400265667259</v>
      </c>
      <c r="F31" s="40">
        <f>SQRT(SUMXMY2(AT42:AT52,V42:V52)/COUNT(AT42:AT52))</f>
        <v>0.13673722368950983</v>
      </c>
      <c r="G31" s="40">
        <f>SQRT(SUMXMY2(AU42:AU52,W42:W52)/COUNT(AU42:AU52))</f>
        <v>0.16798489148069995</v>
      </c>
      <c r="H31" s="3"/>
      <c r="I31"/>
      <c r="J31" s="3"/>
      <c r="Q31" s="3"/>
      <c r="S31" s="3"/>
      <c r="T31" s="3"/>
      <c r="U31" s="3"/>
      <c r="V31" s="3"/>
      <c r="W31" s="3"/>
    </row>
    <row r="32" spans="1:50" x14ac:dyDescent="0.25">
      <c r="A32" s="43"/>
      <c r="B32" s="47">
        <f>B6</f>
        <v>189017</v>
      </c>
      <c r="C32" s="40">
        <f>SQRT(SUMXMY2(AQ42:AQ52,AA42:AA52)/COUNT(AQ42:AQ52))</f>
        <v>0.59908986906271156</v>
      </c>
      <c r="D32" s="40">
        <f>SQRT(SUMXMY2(AR42:AR52,AB42:AB52)/COUNT(AR42:AR52))</f>
        <v>0.26995132767227858</v>
      </c>
      <c r="E32" s="40">
        <f>SQRT(SUMXMY2(AS42:AS52,AC42:AC52)/COUNT(AS42:AS52))</f>
        <v>0.30775378556726074</v>
      </c>
      <c r="F32" s="40">
        <f>SQRT(SUMXMY2(AT42:AT52,AD42:AD52)/COUNT(AT42:AT52))</f>
        <v>0.15796610332723404</v>
      </c>
      <c r="G32" s="40">
        <f>SQRT(SUMXMY2(AU42:AU52,AE42:AE52)/COUNT(AU42:AU52))</f>
        <v>0.2029524729679095</v>
      </c>
      <c r="H32" s="3"/>
      <c r="I32"/>
      <c r="J32" s="3"/>
      <c r="Q32" s="3"/>
      <c r="S32" s="3"/>
      <c r="T32" s="3"/>
      <c r="U32" s="3"/>
      <c r="V32" s="3"/>
      <c r="W32" s="3"/>
    </row>
    <row r="33" spans="1:50" x14ac:dyDescent="0.25">
      <c r="A33" s="44"/>
      <c r="B33" s="47">
        <f>B7</f>
        <v>190006</v>
      </c>
      <c r="C33" s="40">
        <f>SQRT(SUMXMY2(AQ42:AQ52,AI42:AI52)/COUNT(AQ42:AQ52))</f>
        <v>0.50277353640981493</v>
      </c>
      <c r="D33" s="40">
        <f>SQRT(SUMXMY2(AR42:AR52,AJ42:AJ52)/COUNT(AR42:AR52))</f>
        <v>0.26980390299179735</v>
      </c>
      <c r="E33" s="40">
        <f>SQRT(SUMXMY2(AS42:AS52,AK42:AK52)/COUNT(AS42:AS52))</f>
        <v>0.42597620521874374</v>
      </c>
      <c r="F33" s="40">
        <f>SQRT(SUMXMY2(AT42:AT52,AL42:AL52)/COUNT(AT42:AT52))</f>
        <v>0.15918747445783363</v>
      </c>
      <c r="G33" s="40">
        <f>SQRT(SUMXMY2(AU42:AU52,AM42:AM52)/COUNT(AU42:AU52))</f>
        <v>0.17421031257568312</v>
      </c>
      <c r="H33" s="3"/>
      <c r="I33"/>
      <c r="J33" s="3"/>
      <c r="Q33" s="3"/>
      <c r="S33" s="3"/>
      <c r="T33" s="3"/>
      <c r="U33" s="3"/>
      <c r="V33" s="3"/>
      <c r="W33" s="3"/>
    </row>
    <row r="34" spans="1:50" x14ac:dyDescent="0.25">
      <c r="C34" s="3"/>
      <c r="D34" s="3"/>
      <c r="E34" s="3"/>
      <c r="F34" s="3"/>
      <c r="G34" s="3"/>
      <c r="H34" s="3"/>
      <c r="I34"/>
      <c r="J34" s="3"/>
      <c r="S34" s="3"/>
      <c r="T34" s="3"/>
      <c r="U34" s="3"/>
      <c r="V34" s="3"/>
      <c r="W34" s="3"/>
    </row>
    <row r="35" spans="1:50" x14ac:dyDescent="0.25">
      <c r="C35" s="3"/>
      <c r="D35" s="3"/>
      <c r="E35" s="3"/>
      <c r="F35" s="3"/>
      <c r="G35" s="3"/>
      <c r="H35" s="3"/>
      <c r="I35"/>
      <c r="J35" s="3"/>
      <c r="S35" s="3"/>
      <c r="T35" s="3"/>
      <c r="U35" s="3"/>
      <c r="V35" s="3"/>
      <c r="W35" s="3"/>
    </row>
    <row r="36" spans="1:50" x14ac:dyDescent="0.25">
      <c r="C36" s="3"/>
      <c r="D36" s="3"/>
      <c r="E36" s="3"/>
      <c r="F36" s="3"/>
      <c r="G36" s="3"/>
      <c r="H36" s="3"/>
      <c r="I36"/>
      <c r="J36" s="3"/>
      <c r="S36" s="3"/>
      <c r="T36" s="3"/>
      <c r="U36" s="3"/>
      <c r="V36" s="3"/>
      <c r="W36" s="3"/>
    </row>
    <row r="37" spans="1:50" s="52" customFormat="1" x14ac:dyDescent="0.25">
      <c r="A37" s="48" t="s">
        <v>46</v>
      </c>
      <c r="B37" s="49"/>
      <c r="C37" s="50"/>
      <c r="D37" s="50"/>
      <c r="E37" s="50"/>
      <c r="F37" s="50"/>
      <c r="G37" s="50"/>
      <c r="H37" s="50"/>
      <c r="I37" s="51"/>
      <c r="J37" s="50"/>
      <c r="K37" s="49"/>
      <c r="L37" s="49"/>
      <c r="M37" s="49"/>
      <c r="N37" s="49"/>
      <c r="O37" s="49"/>
      <c r="P37" s="49"/>
      <c r="R37" s="49"/>
      <c r="S37" s="50"/>
      <c r="T37" s="50"/>
      <c r="U37" s="50"/>
      <c r="V37" s="50"/>
      <c r="W37" s="50"/>
      <c r="X37" s="49"/>
      <c r="Z37" s="49"/>
      <c r="AA37" s="49"/>
      <c r="AB37" s="49"/>
      <c r="AC37" s="49"/>
      <c r="AD37" s="49"/>
      <c r="AE37" s="49"/>
      <c r="AF37" s="49"/>
      <c r="AH37" s="49"/>
      <c r="AI37" s="49"/>
      <c r="AJ37" s="49"/>
      <c r="AK37" s="49"/>
      <c r="AL37" s="49"/>
      <c r="AM37" s="49"/>
      <c r="AP37" s="49"/>
      <c r="AQ37" s="49"/>
      <c r="AR37" s="49"/>
      <c r="AS37" s="49"/>
      <c r="AT37" s="49"/>
      <c r="AU37" s="49"/>
      <c r="AV37" s="49"/>
      <c r="AW37" s="49"/>
    </row>
    <row r="38" spans="1:50" x14ac:dyDescent="0.25">
      <c r="C38" s="3"/>
      <c r="D38" s="3"/>
      <c r="E38" s="3"/>
      <c r="F38" s="3"/>
      <c r="G38" s="3"/>
      <c r="H38" s="3"/>
      <c r="I38"/>
      <c r="J38" s="3"/>
      <c r="S38" s="3"/>
      <c r="T38" s="3"/>
      <c r="U38" s="3"/>
      <c r="V38" s="3"/>
      <c r="W38" s="3"/>
    </row>
    <row r="39" spans="1:50" x14ac:dyDescent="0.25">
      <c r="C39" s="3"/>
      <c r="D39" s="3"/>
      <c r="E39" s="3"/>
      <c r="F39" s="3"/>
      <c r="G39" s="3"/>
      <c r="H39" s="3"/>
      <c r="J39" s="3"/>
      <c r="S39" s="3"/>
      <c r="T39" s="3"/>
      <c r="U39" s="3"/>
      <c r="V39" s="3"/>
      <c r="W39" s="3"/>
    </row>
    <row r="40" spans="1:50" x14ac:dyDescent="0.25">
      <c r="B40" s="54" t="s">
        <v>45</v>
      </c>
      <c r="C40" s="54"/>
      <c r="D40" s="54"/>
      <c r="E40" s="54"/>
      <c r="F40" s="54"/>
      <c r="G40" s="54"/>
      <c r="H40" s="3"/>
      <c r="J40" s="54">
        <v>189009</v>
      </c>
      <c r="K40" s="54"/>
      <c r="L40" s="54"/>
      <c r="M40" s="54"/>
      <c r="N40" s="54"/>
      <c r="O40" s="54"/>
      <c r="R40" s="54">
        <v>189013</v>
      </c>
      <c r="S40" s="54"/>
      <c r="T40" s="54"/>
      <c r="U40" s="54"/>
      <c r="V40" s="54"/>
      <c r="W40" s="54"/>
      <c r="Z40" s="54">
        <v>189017</v>
      </c>
      <c r="AA40" s="54"/>
      <c r="AB40" s="54"/>
      <c r="AC40" s="54"/>
      <c r="AD40" s="54"/>
      <c r="AE40" s="54"/>
      <c r="AH40" s="54">
        <v>190006</v>
      </c>
      <c r="AI40" s="54"/>
      <c r="AJ40" s="54"/>
      <c r="AK40" s="54"/>
      <c r="AL40" s="54"/>
      <c r="AM40" s="54"/>
      <c r="AN40" s="3"/>
      <c r="AP40" s="55" t="s">
        <v>47</v>
      </c>
      <c r="AQ40" s="56"/>
      <c r="AR40" s="56"/>
      <c r="AS40" s="56"/>
      <c r="AT40" s="56"/>
      <c r="AU40" s="56"/>
      <c r="AX40" s="3"/>
    </row>
    <row r="41" spans="1:50" x14ac:dyDescent="0.25">
      <c r="A41" s="3"/>
      <c r="B41" s="39" t="s">
        <v>9</v>
      </c>
      <c r="C41" s="39" t="s">
        <v>13</v>
      </c>
      <c r="D41" s="39" t="s">
        <v>18</v>
      </c>
      <c r="E41" s="39" t="s">
        <v>15</v>
      </c>
      <c r="F41" s="39" t="s">
        <v>16</v>
      </c>
      <c r="G41" s="39" t="s">
        <v>17</v>
      </c>
      <c r="J41" s="39" t="s">
        <v>9</v>
      </c>
      <c r="K41" s="39" t="s">
        <v>13</v>
      </c>
      <c r="L41" s="39" t="s">
        <v>18</v>
      </c>
      <c r="M41" s="39" t="s">
        <v>15</v>
      </c>
      <c r="N41" s="39" t="s">
        <v>16</v>
      </c>
      <c r="O41" s="39" t="s">
        <v>17</v>
      </c>
      <c r="R41" s="39" t="s">
        <v>9</v>
      </c>
      <c r="S41" s="39" t="s">
        <v>13</v>
      </c>
      <c r="T41" s="39" t="s">
        <v>18</v>
      </c>
      <c r="U41" s="39" t="s">
        <v>15</v>
      </c>
      <c r="V41" s="39" t="s">
        <v>16</v>
      </c>
      <c r="W41" s="39" t="s">
        <v>17</v>
      </c>
      <c r="Z41" s="39" t="s">
        <v>9</v>
      </c>
      <c r="AA41" s="39" t="s">
        <v>13</v>
      </c>
      <c r="AB41" s="39" t="s">
        <v>18</v>
      </c>
      <c r="AC41" s="39" t="s">
        <v>15</v>
      </c>
      <c r="AD41" s="39" t="s">
        <v>16</v>
      </c>
      <c r="AE41" s="39" t="s">
        <v>17</v>
      </c>
      <c r="AF41" s="57"/>
      <c r="AH41" s="39" t="s">
        <v>9</v>
      </c>
      <c r="AI41" s="39" t="s">
        <v>13</v>
      </c>
      <c r="AJ41" s="39" t="s">
        <v>18</v>
      </c>
      <c r="AK41" s="39" t="s">
        <v>15</v>
      </c>
      <c r="AL41" s="39" t="s">
        <v>16</v>
      </c>
      <c r="AM41" s="39" t="s">
        <v>17</v>
      </c>
      <c r="AP41" s="39" t="s">
        <v>9</v>
      </c>
      <c r="AQ41" s="39" t="s">
        <v>13</v>
      </c>
      <c r="AR41" s="39" t="s">
        <v>18</v>
      </c>
      <c r="AS41" s="39" t="s">
        <v>15</v>
      </c>
      <c r="AT41" s="39" t="s">
        <v>16</v>
      </c>
      <c r="AU41" s="39" t="s">
        <v>17</v>
      </c>
      <c r="AV41" s="57"/>
      <c r="AW41" s="57"/>
    </row>
    <row r="42" spans="1:50" x14ac:dyDescent="0.25">
      <c r="A42" s="3"/>
      <c r="B42" s="58">
        <v>14</v>
      </c>
      <c r="C42" s="40">
        <v>7.9485363316852302</v>
      </c>
      <c r="D42" s="40">
        <v>5.6052136374277497</v>
      </c>
      <c r="E42" s="40">
        <v>3.7776988634291899</v>
      </c>
      <c r="F42" s="40">
        <v>3.8144881866742599</v>
      </c>
      <c r="G42" s="40">
        <v>4.1655323790694503</v>
      </c>
      <c r="J42" s="58">
        <v>14</v>
      </c>
      <c r="K42" s="40">
        <v>6.7601996030012703</v>
      </c>
      <c r="L42" s="40">
        <v>5.50323168455561</v>
      </c>
      <c r="M42" s="40">
        <v>3.8412934384711499</v>
      </c>
      <c r="N42" s="40">
        <v>3.7011304783144499</v>
      </c>
      <c r="O42" s="40">
        <v>4.04916540891832</v>
      </c>
      <c r="R42" s="58">
        <v>14</v>
      </c>
      <c r="S42" s="40">
        <v>6.58675568659286</v>
      </c>
      <c r="T42" s="40">
        <v>5.1150967142055803</v>
      </c>
      <c r="U42" s="40">
        <v>3.3458133162245298</v>
      </c>
      <c r="V42" s="40">
        <v>3.4733860965645</v>
      </c>
      <c r="W42" s="40">
        <v>4.0537601641495398</v>
      </c>
      <c r="Z42" s="58">
        <v>14</v>
      </c>
      <c r="AA42" s="40">
        <v>7.4191909044729201</v>
      </c>
      <c r="AB42" s="40">
        <v>4.9695714321488396</v>
      </c>
      <c r="AC42" s="40">
        <v>3.3736531903086799</v>
      </c>
      <c r="AD42" s="40">
        <v>3.6859829382673999</v>
      </c>
      <c r="AE42" s="40">
        <v>3.7430369968701598</v>
      </c>
      <c r="AH42" s="58">
        <v>14</v>
      </c>
      <c r="AI42" s="40">
        <v>6.4959083667383002</v>
      </c>
      <c r="AJ42" s="40">
        <v>5.3786731589528403</v>
      </c>
      <c r="AK42" s="40">
        <v>3.6303809352131</v>
      </c>
      <c r="AL42" s="40">
        <v>3.5380751058792401</v>
      </c>
      <c r="AM42" s="40">
        <v>3.81226654862787</v>
      </c>
      <c r="AP42" s="58">
        <f t="shared" ref="AP42:AP52" si="0">B42</f>
        <v>14</v>
      </c>
      <c r="AQ42" s="40">
        <f t="shared" ref="AQ42:AU52" si="1">AVERAGE(C42,K42,S42,AA42,AI42)</f>
        <v>7.0421181784981162</v>
      </c>
      <c r="AR42" s="40">
        <f t="shared" si="1"/>
        <v>5.3143573254581238</v>
      </c>
      <c r="AS42" s="40">
        <f t="shared" si="1"/>
        <v>3.5937679487293304</v>
      </c>
      <c r="AT42" s="40">
        <f t="shared" si="1"/>
        <v>3.6426125611399698</v>
      </c>
      <c r="AU42" s="40">
        <f t="shared" si="1"/>
        <v>3.9647522995270683</v>
      </c>
      <c r="AV42" s="59"/>
      <c r="AW42" s="59"/>
    </row>
    <row r="43" spans="1:50" x14ac:dyDescent="0.25">
      <c r="A43" s="3"/>
      <c r="B43" s="58">
        <v>15</v>
      </c>
      <c r="C43" s="40">
        <v>4.3604882966338501</v>
      </c>
      <c r="D43" s="40">
        <v>2.5625097293379802</v>
      </c>
      <c r="E43" s="40">
        <v>1.9155098775374899</v>
      </c>
      <c r="F43" s="40">
        <v>3.0815923935375098</v>
      </c>
      <c r="G43" s="40">
        <v>1.85001892744728</v>
      </c>
      <c r="J43" s="58">
        <v>15</v>
      </c>
      <c r="K43" s="40">
        <v>3.6549886578455002</v>
      </c>
      <c r="L43" s="40">
        <v>3.1611378648874799</v>
      </c>
      <c r="M43" s="40">
        <v>1.92947944192037</v>
      </c>
      <c r="N43" s="40">
        <v>3.3343163339132</v>
      </c>
      <c r="O43" s="40">
        <v>2.3760490815100299</v>
      </c>
      <c r="R43" s="58">
        <v>15</v>
      </c>
      <c r="S43" s="40">
        <v>3.6551662975363</v>
      </c>
      <c r="T43" s="40">
        <v>2.7008708805322299</v>
      </c>
      <c r="U43" s="40">
        <v>1.82042085679969</v>
      </c>
      <c r="V43" s="40">
        <v>3.13290861862329</v>
      </c>
      <c r="W43" s="40">
        <v>2.11339494777092</v>
      </c>
      <c r="Z43" s="58">
        <v>15</v>
      </c>
      <c r="AA43" s="40">
        <v>4.56477860280883</v>
      </c>
      <c r="AB43" s="40">
        <v>3.0754720996252298</v>
      </c>
      <c r="AC43" s="40">
        <v>2.30798902492762</v>
      </c>
      <c r="AD43" s="40">
        <v>3.2081421801727599</v>
      </c>
      <c r="AE43" s="40">
        <v>2.1393755500237699</v>
      </c>
      <c r="AH43" s="58">
        <v>15</v>
      </c>
      <c r="AI43" s="40">
        <v>3.36601967795252</v>
      </c>
      <c r="AJ43" s="40">
        <v>2.59172777182919</v>
      </c>
      <c r="AK43" s="40">
        <v>1.4881637707883399</v>
      </c>
      <c r="AL43" s="40">
        <v>3.0942980808624898</v>
      </c>
      <c r="AM43" s="40">
        <v>2.0942619284416799</v>
      </c>
      <c r="AP43" s="58">
        <f t="shared" si="0"/>
        <v>15</v>
      </c>
      <c r="AQ43" s="40">
        <f t="shared" si="1"/>
        <v>3.9202883065553999</v>
      </c>
      <c r="AR43" s="40">
        <f t="shared" si="1"/>
        <v>2.818343669242422</v>
      </c>
      <c r="AS43" s="40">
        <f t="shared" si="1"/>
        <v>1.8923125943947021</v>
      </c>
      <c r="AT43" s="40">
        <f t="shared" si="1"/>
        <v>3.1702515214218501</v>
      </c>
      <c r="AU43" s="40">
        <f t="shared" si="1"/>
        <v>2.1146200870387362</v>
      </c>
      <c r="AV43" s="59"/>
      <c r="AW43" s="59"/>
    </row>
    <row r="44" spans="1:50" x14ac:dyDescent="0.25">
      <c r="A44" s="3"/>
      <c r="B44" s="58">
        <v>16</v>
      </c>
      <c r="C44" s="40">
        <v>3.3457135529450999</v>
      </c>
      <c r="D44" s="40">
        <v>3.3930353060471901</v>
      </c>
      <c r="E44" s="40">
        <v>1.8361134145097799</v>
      </c>
      <c r="F44" s="40">
        <v>3.07404048998364</v>
      </c>
      <c r="G44" s="40">
        <v>2.4459824273377802</v>
      </c>
      <c r="J44" s="58">
        <v>16</v>
      </c>
      <c r="K44" s="40">
        <v>3.0316963842047699</v>
      </c>
      <c r="L44" s="40">
        <v>3.6483197266505298</v>
      </c>
      <c r="M44" s="40">
        <v>1.8317104167699501</v>
      </c>
      <c r="N44" s="40">
        <v>3.2710194099141301</v>
      </c>
      <c r="O44" s="40">
        <v>2.69390902354196</v>
      </c>
      <c r="R44" s="58">
        <v>16</v>
      </c>
      <c r="S44" s="40">
        <v>2.44212391305657</v>
      </c>
      <c r="T44" s="40">
        <v>3.4907024161271099</v>
      </c>
      <c r="U44" s="40">
        <v>1.32367581404722</v>
      </c>
      <c r="V44" s="40">
        <v>2.9374976871292202</v>
      </c>
      <c r="W44" s="40">
        <v>2.6760426141956302</v>
      </c>
      <c r="Z44" s="58">
        <v>16</v>
      </c>
      <c r="AA44" s="40">
        <v>2.6210433098836301</v>
      </c>
      <c r="AB44" s="40">
        <v>3.8337437655521698</v>
      </c>
      <c r="AC44" s="40">
        <v>1.8564717356800899</v>
      </c>
      <c r="AD44" s="40">
        <v>3.1803740764534898</v>
      </c>
      <c r="AE44" s="40">
        <v>3.1941776389700598</v>
      </c>
      <c r="AH44" s="58">
        <v>16</v>
      </c>
      <c r="AI44" s="40">
        <v>2.92735885333708</v>
      </c>
      <c r="AJ44" s="40">
        <v>3.2800101680117701</v>
      </c>
      <c r="AK44" s="40">
        <v>1.6111878274942899</v>
      </c>
      <c r="AL44" s="40">
        <v>2.97802622717946</v>
      </c>
      <c r="AM44" s="40">
        <v>2.4040445164768798</v>
      </c>
      <c r="AP44" s="58">
        <f t="shared" si="0"/>
        <v>16</v>
      </c>
      <c r="AQ44" s="40">
        <f t="shared" si="1"/>
        <v>2.8735872026854303</v>
      </c>
      <c r="AR44" s="40">
        <f t="shared" si="1"/>
        <v>3.5291622764777535</v>
      </c>
      <c r="AS44" s="40">
        <f t="shared" si="1"/>
        <v>1.691831841700266</v>
      </c>
      <c r="AT44" s="40">
        <f t="shared" si="1"/>
        <v>3.0881915781319877</v>
      </c>
      <c r="AU44" s="40">
        <f t="shared" si="1"/>
        <v>2.6828312441044622</v>
      </c>
      <c r="AV44" s="59"/>
      <c r="AW44" s="59"/>
    </row>
    <row r="45" spans="1:50" x14ac:dyDescent="0.25">
      <c r="A45" s="3"/>
      <c r="B45" s="58">
        <v>19</v>
      </c>
      <c r="C45" s="40">
        <v>0.91294947477871202</v>
      </c>
      <c r="D45" s="40">
        <v>2.8216188903976098</v>
      </c>
      <c r="E45" s="40">
        <v>0.86021633306401102</v>
      </c>
      <c r="F45" s="40">
        <v>2.8558845610842098</v>
      </c>
      <c r="G45" s="40">
        <v>2.2559661990950599</v>
      </c>
      <c r="J45" s="58">
        <v>19</v>
      </c>
      <c r="K45" s="40">
        <v>1.0607946218374</v>
      </c>
      <c r="L45" s="40">
        <v>2.5612817417325502</v>
      </c>
      <c r="M45" s="40">
        <v>0.69941076191760798</v>
      </c>
      <c r="N45" s="40">
        <v>2.7702107197889099</v>
      </c>
      <c r="O45" s="40">
        <v>1.9240420968659999</v>
      </c>
      <c r="R45" s="58">
        <v>19</v>
      </c>
      <c r="S45" s="40">
        <v>0.88987436508242401</v>
      </c>
      <c r="T45" s="40">
        <v>2.80519376546038</v>
      </c>
      <c r="U45" s="40">
        <v>0.97566980634099698</v>
      </c>
      <c r="V45" s="40">
        <v>2.5994686998201102</v>
      </c>
      <c r="W45" s="40">
        <v>2.1735507402246301</v>
      </c>
      <c r="Z45" s="58">
        <v>19</v>
      </c>
      <c r="AA45" s="40">
        <v>0.81125472937857301</v>
      </c>
      <c r="AB45" s="40">
        <v>3.0691611969416801</v>
      </c>
      <c r="AC45" s="40">
        <v>1.4141282625246001</v>
      </c>
      <c r="AD45" s="40">
        <v>2.6552821382439</v>
      </c>
      <c r="AE45" s="40">
        <v>2.1990351783976601</v>
      </c>
      <c r="AH45" s="58">
        <v>19</v>
      </c>
      <c r="AI45" s="40">
        <v>1.0179226343843899</v>
      </c>
      <c r="AJ45" s="40">
        <v>2.83533948443857</v>
      </c>
      <c r="AK45" s="40">
        <v>0.42922590571760699</v>
      </c>
      <c r="AL45" s="40">
        <v>2.9641956653345898</v>
      </c>
      <c r="AM45" s="40">
        <v>2.53264566162385</v>
      </c>
      <c r="AP45" s="58">
        <f t="shared" si="0"/>
        <v>19</v>
      </c>
      <c r="AQ45" s="40">
        <f t="shared" si="1"/>
        <v>0.93855916509229975</v>
      </c>
      <c r="AR45" s="40">
        <f t="shared" si="1"/>
        <v>2.8185190157941582</v>
      </c>
      <c r="AS45" s="40">
        <f t="shared" si="1"/>
        <v>0.87573021391296457</v>
      </c>
      <c r="AT45" s="40">
        <f t="shared" si="1"/>
        <v>2.7690083568543438</v>
      </c>
      <c r="AU45" s="40">
        <f t="shared" si="1"/>
        <v>2.2170479752414396</v>
      </c>
      <c r="AV45" s="59"/>
      <c r="AW45" s="59"/>
    </row>
    <row r="46" spans="1:50" x14ac:dyDescent="0.25">
      <c r="A46" s="3"/>
      <c r="B46" s="58">
        <v>20</v>
      </c>
      <c r="C46" s="40">
        <v>7.8571477646964798</v>
      </c>
      <c r="D46" s="40">
        <v>5.6550270291761198</v>
      </c>
      <c r="E46" s="40">
        <v>3.7844248574092898</v>
      </c>
      <c r="F46" s="40">
        <v>3.60804987997733</v>
      </c>
      <c r="G46" s="40">
        <v>5.0869168947471799</v>
      </c>
      <c r="J46" s="58">
        <v>20</v>
      </c>
      <c r="K46" s="40">
        <v>8.16182629249864</v>
      </c>
      <c r="L46" s="40">
        <v>5.6547061388554898</v>
      </c>
      <c r="M46" s="40">
        <v>4.5602133969468301</v>
      </c>
      <c r="N46" s="40">
        <v>3.9917236156092102</v>
      </c>
      <c r="O46" s="40">
        <v>4.3307968405175199</v>
      </c>
      <c r="R46" s="58">
        <v>20</v>
      </c>
      <c r="S46" s="40">
        <v>7.7343855470704801</v>
      </c>
      <c r="T46" s="40">
        <v>5.8387240623298702</v>
      </c>
      <c r="U46" s="40">
        <v>3.9106566207558502</v>
      </c>
      <c r="V46" s="40">
        <v>3.7359226981431601</v>
      </c>
      <c r="W46" s="40">
        <v>5.3815831793985103</v>
      </c>
      <c r="Z46" s="58">
        <v>20</v>
      </c>
      <c r="AA46" s="40">
        <v>7.39893399457371</v>
      </c>
      <c r="AB46" s="40">
        <v>5.5495038578476397</v>
      </c>
      <c r="AC46" s="40">
        <v>3.6386500281073899</v>
      </c>
      <c r="AD46" s="40">
        <v>3.64490385131317</v>
      </c>
      <c r="AE46" s="40">
        <v>4.7354335576780304</v>
      </c>
      <c r="AH46" s="58">
        <v>20</v>
      </c>
      <c r="AI46" s="40">
        <v>7.7828508294179901</v>
      </c>
      <c r="AJ46" s="40">
        <v>6.5127801928888003</v>
      </c>
      <c r="AK46" s="40">
        <v>4.3183782810415297</v>
      </c>
      <c r="AL46" s="40">
        <v>3.7626366456229898</v>
      </c>
      <c r="AM46" s="40">
        <v>4.6724985342759897</v>
      </c>
      <c r="AP46" s="58">
        <f t="shared" si="0"/>
        <v>20</v>
      </c>
      <c r="AQ46" s="40">
        <f t="shared" si="1"/>
        <v>7.7870288856514609</v>
      </c>
      <c r="AR46" s="40">
        <f t="shared" si="1"/>
        <v>5.8421482562195841</v>
      </c>
      <c r="AS46" s="40">
        <f t="shared" si="1"/>
        <v>4.0424646368521779</v>
      </c>
      <c r="AT46" s="40">
        <f t="shared" si="1"/>
        <v>3.7486473381331722</v>
      </c>
      <c r="AU46" s="40">
        <f t="shared" si="1"/>
        <v>4.8414458013234452</v>
      </c>
      <c r="AV46" s="59"/>
      <c r="AW46" s="59"/>
    </row>
    <row r="47" spans="1:50" x14ac:dyDescent="0.25">
      <c r="A47" s="3"/>
      <c r="B47" s="58">
        <v>21</v>
      </c>
      <c r="C47" s="40">
        <v>0.26027448671956999</v>
      </c>
      <c r="D47" s="40">
        <v>3.7786315109999702</v>
      </c>
      <c r="E47" s="40">
        <v>1.71929167576957</v>
      </c>
      <c r="F47" s="40">
        <v>2.1293067216433998</v>
      </c>
      <c r="G47" s="40">
        <v>2.60061865403731</v>
      </c>
      <c r="J47" s="58">
        <v>21</v>
      </c>
      <c r="K47" s="40">
        <v>0.50475965261936995</v>
      </c>
      <c r="L47" s="40">
        <v>3.7755048768527302</v>
      </c>
      <c r="M47" s="40">
        <v>1.7314482466274299</v>
      </c>
      <c r="N47" s="40">
        <v>1.76867510663159</v>
      </c>
      <c r="O47" s="40">
        <v>2.5996494342065599</v>
      </c>
      <c r="R47" s="58">
        <v>21</v>
      </c>
      <c r="S47" s="40">
        <v>0.39134215680661999</v>
      </c>
      <c r="T47" s="40">
        <v>3.7596131676074198</v>
      </c>
      <c r="U47" s="40">
        <v>1.5342746045600599</v>
      </c>
      <c r="V47" s="40">
        <v>1.6857089637231599</v>
      </c>
      <c r="W47" s="40">
        <v>2.5942668655073202</v>
      </c>
      <c r="Z47" s="58">
        <v>21</v>
      </c>
      <c r="AA47" s="40">
        <v>0.65006903260322901</v>
      </c>
      <c r="AB47" s="40">
        <v>3.77480689934491</v>
      </c>
      <c r="AC47" s="40">
        <v>1.6730928732147501</v>
      </c>
      <c r="AD47" s="40">
        <v>1.94185423562774</v>
      </c>
      <c r="AE47" s="40">
        <v>2.5994804129354199</v>
      </c>
      <c r="AH47" s="58">
        <v>21</v>
      </c>
      <c r="AI47" s="40">
        <v>0.434274683328501</v>
      </c>
      <c r="AJ47" s="40">
        <v>3.7642951200607899</v>
      </c>
      <c r="AK47" s="40">
        <v>1.6427427009311</v>
      </c>
      <c r="AL47" s="40">
        <v>1.8856253651159101</v>
      </c>
      <c r="AM47" s="40">
        <v>2.5962019362979398</v>
      </c>
      <c r="AP47" s="58">
        <f t="shared" si="0"/>
        <v>21</v>
      </c>
      <c r="AQ47" s="40">
        <f t="shared" si="1"/>
        <v>0.44814400241545799</v>
      </c>
      <c r="AR47" s="40">
        <f t="shared" si="1"/>
        <v>3.7705703149731642</v>
      </c>
      <c r="AS47" s="40">
        <f t="shared" si="1"/>
        <v>1.660170020220582</v>
      </c>
      <c r="AT47" s="40">
        <f t="shared" si="1"/>
        <v>1.8822340785483598</v>
      </c>
      <c r="AU47" s="40">
        <f t="shared" si="1"/>
        <v>2.5980434605969096</v>
      </c>
      <c r="AV47" s="59"/>
      <c r="AW47" s="59"/>
    </row>
    <row r="48" spans="1:50" x14ac:dyDescent="0.25">
      <c r="A48" s="3"/>
      <c r="B48" s="58">
        <v>22</v>
      </c>
      <c r="C48" s="40">
        <v>7.3025569273606799</v>
      </c>
      <c r="D48" s="40">
        <v>5.2143557861622103</v>
      </c>
      <c r="E48" s="40">
        <v>4.2124744921846498</v>
      </c>
      <c r="F48" s="40">
        <v>4.1989370665448797</v>
      </c>
      <c r="G48" s="40">
        <v>2.8518975461467799</v>
      </c>
      <c r="J48" s="58">
        <v>22</v>
      </c>
      <c r="K48" s="40">
        <v>8.6780077351253198</v>
      </c>
      <c r="L48" s="40">
        <v>4.3917607738815496</v>
      </c>
      <c r="M48" s="40">
        <v>4.5810508805189301</v>
      </c>
      <c r="N48" s="40">
        <v>4.4261013789912402</v>
      </c>
      <c r="O48" s="40">
        <v>2.7418732726725099</v>
      </c>
      <c r="R48" s="58">
        <v>22</v>
      </c>
      <c r="S48" s="40">
        <v>7.1386682134409503</v>
      </c>
      <c r="T48" s="40">
        <v>5.1417011375031603</v>
      </c>
      <c r="U48" s="40">
        <v>4.03566525423751</v>
      </c>
      <c r="V48" s="40">
        <v>4.0984600442227697</v>
      </c>
      <c r="W48" s="40">
        <v>2.72030246611128</v>
      </c>
      <c r="Z48" s="58">
        <v>22</v>
      </c>
      <c r="AA48" s="40">
        <v>7.8125737930939003</v>
      </c>
      <c r="AB48" s="40">
        <v>5.3542928305230104</v>
      </c>
      <c r="AC48" s="40">
        <v>3.9323303545708499</v>
      </c>
      <c r="AD48" s="40">
        <v>4.2214248294333299</v>
      </c>
      <c r="AE48" s="40">
        <v>2.75572958673252</v>
      </c>
      <c r="AH48" s="58">
        <v>22</v>
      </c>
      <c r="AI48" s="40">
        <v>8.3750150484183497</v>
      </c>
      <c r="AJ48" s="40">
        <v>4.6083759967307101</v>
      </c>
      <c r="AK48" s="40">
        <v>4.5858615987837199</v>
      </c>
      <c r="AL48" s="40">
        <v>4.4605289546542801</v>
      </c>
      <c r="AM48" s="40">
        <v>2.7975201846172801</v>
      </c>
      <c r="AP48" s="58">
        <f t="shared" si="0"/>
        <v>22</v>
      </c>
      <c r="AQ48" s="40">
        <f t="shared" si="1"/>
        <v>7.86136434348784</v>
      </c>
      <c r="AR48" s="40">
        <f t="shared" si="1"/>
        <v>4.9420973049601278</v>
      </c>
      <c r="AS48" s="40">
        <f t="shared" si="1"/>
        <v>4.2694765160591324</v>
      </c>
      <c r="AT48" s="40">
        <f t="shared" si="1"/>
        <v>4.2810904547693003</v>
      </c>
      <c r="AU48" s="40">
        <f t="shared" si="1"/>
        <v>2.7734646112560739</v>
      </c>
      <c r="AV48" s="59"/>
      <c r="AW48" s="59"/>
    </row>
    <row r="49" spans="1:49" x14ac:dyDescent="0.25">
      <c r="A49" s="3"/>
      <c r="B49" s="58">
        <v>23</v>
      </c>
      <c r="C49" s="40">
        <v>9.0125548225085499</v>
      </c>
      <c r="D49" s="40">
        <v>5.44838772574251</v>
      </c>
      <c r="E49" s="40">
        <v>4.1965251026155803</v>
      </c>
      <c r="F49" s="40">
        <v>4.2123683591516503</v>
      </c>
      <c r="G49" s="40">
        <v>2.9842130220137202</v>
      </c>
      <c r="J49" s="58">
        <v>23</v>
      </c>
      <c r="K49" s="40">
        <v>9.3353688272801598</v>
      </c>
      <c r="L49" s="40">
        <v>5.2626778731799204</v>
      </c>
      <c r="M49" s="40">
        <v>4.46969642791771</v>
      </c>
      <c r="N49" s="40">
        <v>4.2423575250924301</v>
      </c>
      <c r="O49" s="40">
        <v>2.9789174517789498</v>
      </c>
      <c r="R49" s="58">
        <v>23</v>
      </c>
      <c r="S49" s="40">
        <v>8.5531088477135508</v>
      </c>
      <c r="T49" s="40">
        <v>5.4965957383999502</v>
      </c>
      <c r="U49" s="40">
        <v>4.06413701797889</v>
      </c>
      <c r="V49" s="40">
        <v>4.4920530635364404</v>
      </c>
      <c r="W49" s="40">
        <v>2.9381445575954501</v>
      </c>
      <c r="Z49" s="58">
        <v>23</v>
      </c>
      <c r="AA49" s="40">
        <v>8.9021128173018997</v>
      </c>
      <c r="AB49" s="40">
        <v>5.6868093388617798</v>
      </c>
      <c r="AC49" s="40">
        <v>3.9315332708768</v>
      </c>
      <c r="AD49" s="40">
        <v>4.6636464603204102</v>
      </c>
      <c r="AE49" s="40">
        <v>3.0185146302543999</v>
      </c>
      <c r="AH49" s="58">
        <v>23</v>
      </c>
      <c r="AI49" s="40">
        <v>8.1890020702544106</v>
      </c>
      <c r="AJ49" s="40">
        <v>5.4293918784119004</v>
      </c>
      <c r="AK49" s="40">
        <v>4.3300687308065298</v>
      </c>
      <c r="AL49" s="40">
        <v>3.9107324414205999</v>
      </c>
      <c r="AM49" s="40">
        <v>3.0874789690906801</v>
      </c>
      <c r="AP49" s="58">
        <f t="shared" si="0"/>
        <v>23</v>
      </c>
      <c r="AQ49" s="40">
        <f t="shared" si="1"/>
        <v>8.7984294770117142</v>
      </c>
      <c r="AR49" s="40">
        <f t="shared" si="1"/>
        <v>5.4647725109192127</v>
      </c>
      <c r="AS49" s="40">
        <f t="shared" si="1"/>
        <v>4.1983921100391024</v>
      </c>
      <c r="AT49" s="40">
        <f t="shared" si="1"/>
        <v>4.3042315699043057</v>
      </c>
      <c r="AU49" s="40">
        <f t="shared" si="1"/>
        <v>3.0014537261466403</v>
      </c>
      <c r="AV49" s="59"/>
      <c r="AW49" s="59"/>
    </row>
    <row r="50" spans="1:49" x14ac:dyDescent="0.25">
      <c r="A50" s="3"/>
      <c r="B50" s="58">
        <v>24</v>
      </c>
      <c r="C50" s="40">
        <v>6.5816695483707202</v>
      </c>
      <c r="D50" s="40">
        <v>4.6330455739411596</v>
      </c>
      <c r="E50" s="40">
        <v>2.86530173619296</v>
      </c>
      <c r="F50" s="40">
        <v>2.0476028295963702</v>
      </c>
      <c r="G50" s="40">
        <v>3.46558909204427</v>
      </c>
      <c r="J50" s="58">
        <v>24</v>
      </c>
      <c r="K50" s="40">
        <v>7.8963409775136704</v>
      </c>
      <c r="L50" s="40">
        <v>3.7990487698453301</v>
      </c>
      <c r="M50" s="40">
        <v>2.8582932302440298</v>
      </c>
      <c r="N50" s="40">
        <v>2.4274474249422902</v>
      </c>
      <c r="O50" s="40">
        <v>2.6064987448124</v>
      </c>
      <c r="R50" s="58">
        <v>24</v>
      </c>
      <c r="S50" s="40">
        <v>6.8363588523813599</v>
      </c>
      <c r="T50" s="40">
        <v>4.3526049786924803</v>
      </c>
      <c r="U50" s="40">
        <v>2.8457326572701702</v>
      </c>
      <c r="V50" s="40">
        <v>2.1115832964308798</v>
      </c>
      <c r="W50" s="40">
        <v>3.1204134427810502</v>
      </c>
      <c r="Z50" s="58">
        <v>24</v>
      </c>
      <c r="AA50" s="40">
        <v>6.3478969109867398</v>
      </c>
      <c r="AB50" s="40">
        <v>4.5866089431830597</v>
      </c>
      <c r="AC50" s="40">
        <v>2.8869679855617001</v>
      </c>
      <c r="AD50" s="40">
        <v>2.1734527408947701</v>
      </c>
      <c r="AE50" s="40">
        <v>3.4288961115033301</v>
      </c>
      <c r="AH50" s="58">
        <v>24</v>
      </c>
      <c r="AI50" s="40">
        <v>7.2466779907997498</v>
      </c>
      <c r="AJ50" s="40">
        <v>4.2676160350741501</v>
      </c>
      <c r="AK50" s="40">
        <v>3.4173020075600098</v>
      </c>
      <c r="AL50" s="40">
        <v>2.1436553026398699</v>
      </c>
      <c r="AM50" s="40">
        <v>2.79367861302303</v>
      </c>
      <c r="AP50" s="58">
        <f t="shared" si="0"/>
        <v>24</v>
      </c>
      <c r="AQ50" s="40">
        <f t="shared" si="1"/>
        <v>6.9817888560104482</v>
      </c>
      <c r="AR50" s="40">
        <f t="shared" si="1"/>
        <v>4.3277848601472355</v>
      </c>
      <c r="AS50" s="40">
        <f t="shared" si="1"/>
        <v>2.9747195233657742</v>
      </c>
      <c r="AT50" s="40">
        <f t="shared" si="1"/>
        <v>2.1807483189008359</v>
      </c>
      <c r="AU50" s="40">
        <f t="shared" si="1"/>
        <v>3.0830152008328162</v>
      </c>
      <c r="AV50" s="59"/>
      <c r="AW50" s="59"/>
    </row>
    <row r="51" spans="1:49" x14ac:dyDescent="0.25">
      <c r="A51" s="3"/>
      <c r="B51" s="58">
        <v>25</v>
      </c>
      <c r="C51" s="40">
        <v>2.3606326504094501</v>
      </c>
      <c r="D51" s="40">
        <v>3.67335058792154</v>
      </c>
      <c r="E51" s="40">
        <v>0.84745277288347098</v>
      </c>
      <c r="F51" s="40">
        <v>1.35063839753082</v>
      </c>
      <c r="G51" s="40">
        <v>2.5698254099676201</v>
      </c>
      <c r="J51" s="58">
        <v>25</v>
      </c>
      <c r="K51" s="40">
        <v>3.7598260801586099</v>
      </c>
      <c r="L51" s="40">
        <v>5.0403633129785899</v>
      </c>
      <c r="M51" s="40">
        <v>3.41273554691415</v>
      </c>
      <c r="N51" s="40">
        <v>1.2979278374488099</v>
      </c>
      <c r="O51" s="40">
        <v>3.07365470289625</v>
      </c>
      <c r="R51" s="58">
        <v>25</v>
      </c>
      <c r="S51" s="40">
        <v>3.9390147605705299</v>
      </c>
      <c r="T51" s="40">
        <v>4.19986649237749</v>
      </c>
      <c r="U51" s="40">
        <v>2.8367853098182598</v>
      </c>
      <c r="V51" s="40">
        <v>1.17271591072084</v>
      </c>
      <c r="W51" s="40">
        <v>2.6803356058969099</v>
      </c>
      <c r="Z51" s="58">
        <v>25</v>
      </c>
      <c r="AA51" s="40">
        <v>5.14237217726415</v>
      </c>
      <c r="AB51" s="40">
        <v>3.7924846953103399</v>
      </c>
      <c r="AC51" s="40">
        <v>2.5122570358346801</v>
      </c>
      <c r="AD51" s="40">
        <v>0.90762145940981598</v>
      </c>
      <c r="AE51" s="40">
        <v>2.6036138521021202</v>
      </c>
      <c r="AH51" s="58">
        <v>25</v>
      </c>
      <c r="AI51" s="40">
        <v>2.3466502038263202</v>
      </c>
      <c r="AJ51" s="40">
        <v>3.74934108572258</v>
      </c>
      <c r="AK51" s="40">
        <v>1.0300032360118601</v>
      </c>
      <c r="AL51" s="40">
        <v>1.3556031839538201</v>
      </c>
      <c r="AM51" s="40">
        <v>2.5915167787043498</v>
      </c>
      <c r="AP51" s="58">
        <f t="shared" si="0"/>
        <v>25</v>
      </c>
      <c r="AQ51" s="40">
        <f t="shared" si="1"/>
        <v>3.5096991744458124</v>
      </c>
      <c r="AR51" s="40">
        <f t="shared" si="1"/>
        <v>4.0910812348621075</v>
      </c>
      <c r="AS51" s="40">
        <f t="shared" si="1"/>
        <v>2.1278467802924839</v>
      </c>
      <c r="AT51" s="40">
        <f t="shared" si="1"/>
        <v>1.2169013578128212</v>
      </c>
      <c r="AU51" s="40">
        <f t="shared" si="1"/>
        <v>2.7037892699134498</v>
      </c>
      <c r="AV51" s="59"/>
      <c r="AW51" s="59"/>
    </row>
    <row r="52" spans="1:49" x14ac:dyDescent="0.25">
      <c r="A52" s="3"/>
      <c r="B52" s="58">
        <v>26</v>
      </c>
      <c r="C52" s="40">
        <v>5.2292989152064404</v>
      </c>
      <c r="D52" s="40">
        <v>3.76462857624028</v>
      </c>
      <c r="E52" s="40">
        <v>2.11784345405048</v>
      </c>
      <c r="F52" s="40">
        <v>0.75053772391777196</v>
      </c>
      <c r="G52" s="40">
        <v>2.5957080706700801</v>
      </c>
      <c r="J52" s="58">
        <v>26</v>
      </c>
      <c r="K52" s="40">
        <v>5.93673267911264</v>
      </c>
      <c r="L52" s="40">
        <v>3.7866310262882599</v>
      </c>
      <c r="M52" s="40">
        <v>2.3561993463620898</v>
      </c>
      <c r="N52" s="40">
        <v>1.05702579464511</v>
      </c>
      <c r="O52" s="40">
        <v>2.6027734439850798</v>
      </c>
      <c r="R52" s="58">
        <v>26</v>
      </c>
      <c r="S52" s="40">
        <v>5.6164974332401201</v>
      </c>
      <c r="T52" s="40">
        <v>3.7839091399234599</v>
      </c>
      <c r="U52" s="40">
        <v>2.31315473826827</v>
      </c>
      <c r="V52" s="40">
        <v>1.06433828112908</v>
      </c>
      <c r="W52" s="40">
        <v>2.6021072148382398</v>
      </c>
      <c r="Z52" s="58">
        <v>26</v>
      </c>
      <c r="AA52" s="40">
        <v>5.7464695921400697</v>
      </c>
      <c r="AB52" s="40">
        <v>3.7860149483337899</v>
      </c>
      <c r="AC52" s="40">
        <v>2.31277760235742</v>
      </c>
      <c r="AD52" s="40">
        <v>1.04769089452013</v>
      </c>
      <c r="AE52" s="40">
        <v>2.6026626708353602</v>
      </c>
      <c r="AH52" s="58">
        <v>26</v>
      </c>
      <c r="AI52" s="40">
        <v>5.2223203364563702</v>
      </c>
      <c r="AJ52" s="40">
        <v>3.7907335147054999</v>
      </c>
      <c r="AK52" s="40">
        <v>2.4931417364275199</v>
      </c>
      <c r="AL52" s="40">
        <v>0.90129068044815697</v>
      </c>
      <c r="AM52" s="40">
        <v>2.6035822332871699</v>
      </c>
      <c r="AP52" s="58">
        <f t="shared" si="0"/>
        <v>26</v>
      </c>
      <c r="AQ52" s="40">
        <f t="shared" si="1"/>
        <v>5.5502637912311279</v>
      </c>
      <c r="AR52" s="40">
        <f t="shared" si="1"/>
        <v>3.7823834410982577</v>
      </c>
      <c r="AS52" s="40">
        <f t="shared" si="1"/>
        <v>2.3186233754931558</v>
      </c>
      <c r="AT52" s="40">
        <f t="shared" si="1"/>
        <v>0.96417667493204973</v>
      </c>
      <c r="AU52" s="40">
        <f t="shared" si="1"/>
        <v>2.6013667267231861</v>
      </c>
      <c r="AV52" s="59"/>
      <c r="AW52" s="59"/>
    </row>
    <row r="53" spans="1:49" ht="15" hidden="1" customHeight="1" x14ac:dyDescent="0.25"/>
    <row r="54" spans="1:49" ht="15" hidden="1" customHeight="1" x14ac:dyDescent="0.25">
      <c r="K54" s="59">
        <f t="shared" ref="K54:O64" si="2">K42+C$9</f>
        <v>6.432134263011946</v>
      </c>
      <c r="L54" s="59">
        <f t="shared" si="2"/>
        <v>5.5000626448907264</v>
      </c>
      <c r="M54" s="59">
        <f t="shared" si="2"/>
        <v>3.4650499334744431</v>
      </c>
      <c r="N54" s="59">
        <f t="shared" si="2"/>
        <v>3.5952678405281291</v>
      </c>
      <c r="O54" s="59">
        <f t="shared" si="2"/>
        <v>4.1305235108156797</v>
      </c>
      <c r="S54" s="41">
        <f t="shared" ref="S54:W64" si="3">S42+C$10</f>
        <v>6.7129853863949522</v>
      </c>
      <c r="T54" s="41">
        <f t="shared" si="3"/>
        <v>5.1028172469542339</v>
      </c>
      <c r="U54" s="41">
        <f t="shared" si="3"/>
        <v>3.2664375510740777</v>
      </c>
      <c r="V54" s="41">
        <f t="shared" si="3"/>
        <v>3.5296954828916269</v>
      </c>
      <c r="W54" s="41">
        <f t="shared" si="3"/>
        <v>4.0372480572501797</v>
      </c>
      <c r="AA54" s="60">
        <f t="shared" ref="AA54:AE64" si="4">AA42+C$11</f>
        <v>7.2151115323644763</v>
      </c>
      <c r="AB54" s="60">
        <f t="shared" si="4"/>
        <v>4.8851472817599175</v>
      </c>
      <c r="AC54" s="60">
        <f t="shared" si="4"/>
        <v>3.2184714826433978</v>
      </c>
      <c r="AD54" s="60">
        <f t="shared" si="4"/>
        <v>3.6671711932660291</v>
      </c>
      <c r="AE54" s="60">
        <f t="shared" si="4"/>
        <v>3.7296108547132225</v>
      </c>
      <c r="AI54" s="60">
        <f t="shared" ref="AI54:AM64" si="5">AI42+C$12</f>
        <v>6.656619464592918</v>
      </c>
      <c r="AJ54" s="60">
        <f t="shared" si="5"/>
        <v>5.4097204268226147</v>
      </c>
      <c r="AK54" s="60">
        <f t="shared" si="5"/>
        <v>3.5536896487468148</v>
      </c>
      <c r="AL54" s="60">
        <f t="shared" si="5"/>
        <v>3.5497822837456434</v>
      </c>
      <c r="AM54" s="60">
        <f t="shared" si="5"/>
        <v>3.8928640684560345</v>
      </c>
    </row>
    <row r="55" spans="1:49" ht="15" hidden="1" customHeight="1" x14ac:dyDescent="0.25">
      <c r="K55" s="59">
        <f t="shared" si="2"/>
        <v>3.3269233178561759</v>
      </c>
      <c r="L55" s="59">
        <f t="shared" si="2"/>
        <v>3.1579688252225964</v>
      </c>
      <c r="M55" s="59">
        <f t="shared" si="2"/>
        <v>1.5532359369236632</v>
      </c>
      <c r="N55" s="59">
        <f t="shared" si="2"/>
        <v>3.2284536961268793</v>
      </c>
      <c r="O55" s="59">
        <f t="shared" si="2"/>
        <v>2.4574071834073892</v>
      </c>
      <c r="S55" s="41">
        <f t="shared" si="3"/>
        <v>3.7813959973383922</v>
      </c>
      <c r="T55" s="41">
        <f t="shared" si="3"/>
        <v>2.6885914132808835</v>
      </c>
      <c r="U55" s="41">
        <f t="shared" si="3"/>
        <v>1.7410450916492379</v>
      </c>
      <c r="V55" s="41">
        <f t="shared" si="3"/>
        <v>3.1892180049504169</v>
      </c>
      <c r="W55" s="41">
        <f t="shared" si="3"/>
        <v>2.0968828408715603</v>
      </c>
      <c r="AA55" s="60">
        <f t="shared" si="4"/>
        <v>4.3606992307003862</v>
      </c>
      <c r="AB55" s="60">
        <f t="shared" si="4"/>
        <v>2.9910479492363078</v>
      </c>
      <c r="AC55" s="60">
        <f t="shared" si="4"/>
        <v>2.1528073172623379</v>
      </c>
      <c r="AD55" s="60">
        <f t="shared" si="4"/>
        <v>3.1893304351713891</v>
      </c>
      <c r="AE55" s="60">
        <f t="shared" si="4"/>
        <v>2.1259494078668326</v>
      </c>
      <c r="AI55" s="60">
        <f t="shared" si="5"/>
        <v>3.5267307758071378</v>
      </c>
      <c r="AJ55" s="60">
        <f t="shared" si="5"/>
        <v>2.6227750396989644</v>
      </c>
      <c r="AK55" s="60">
        <f t="shared" si="5"/>
        <v>1.4114724843220547</v>
      </c>
      <c r="AL55" s="60">
        <f t="shared" si="5"/>
        <v>3.1060052587288931</v>
      </c>
      <c r="AM55" s="60">
        <f t="shared" si="5"/>
        <v>2.1748594482698445</v>
      </c>
    </row>
    <row r="56" spans="1:49" ht="15" hidden="1" customHeight="1" x14ac:dyDescent="0.25">
      <c r="K56" s="59">
        <f t="shared" si="2"/>
        <v>2.7036310442154456</v>
      </c>
      <c r="L56" s="59">
        <f t="shared" si="2"/>
        <v>3.6451506869856463</v>
      </c>
      <c r="M56" s="59">
        <f t="shared" si="2"/>
        <v>1.4554669117732433</v>
      </c>
      <c r="N56" s="59">
        <f t="shared" si="2"/>
        <v>3.1651567721278093</v>
      </c>
      <c r="O56" s="59">
        <f t="shared" si="2"/>
        <v>2.7752671254393193</v>
      </c>
      <c r="S56" s="41">
        <f t="shared" si="3"/>
        <v>2.5683536128586621</v>
      </c>
      <c r="T56" s="41">
        <f t="shared" si="3"/>
        <v>3.4784229488757634</v>
      </c>
      <c r="U56" s="41">
        <f t="shared" si="3"/>
        <v>1.2443000488967679</v>
      </c>
      <c r="V56" s="41">
        <f t="shared" si="3"/>
        <v>2.9938070734563471</v>
      </c>
      <c r="W56" s="41">
        <f t="shared" si="3"/>
        <v>2.6595305072962705</v>
      </c>
      <c r="AA56" s="60">
        <f t="shared" si="4"/>
        <v>2.4169639377751864</v>
      </c>
      <c r="AB56" s="60">
        <f t="shared" si="4"/>
        <v>3.7493196151632477</v>
      </c>
      <c r="AC56" s="60">
        <f t="shared" si="4"/>
        <v>1.7012900280148078</v>
      </c>
      <c r="AD56" s="60">
        <f t="shared" si="4"/>
        <v>3.1615623314521191</v>
      </c>
      <c r="AE56" s="60">
        <f t="shared" si="4"/>
        <v>3.1807514968131225</v>
      </c>
      <c r="AI56" s="60">
        <f t="shared" si="5"/>
        <v>3.0880699511916978</v>
      </c>
      <c r="AJ56" s="60">
        <f t="shared" si="5"/>
        <v>3.3110574358815446</v>
      </c>
      <c r="AK56" s="60">
        <f t="shared" si="5"/>
        <v>1.5344965410280047</v>
      </c>
      <c r="AL56" s="60">
        <f t="shared" si="5"/>
        <v>2.9897334050458633</v>
      </c>
      <c r="AM56" s="60">
        <f t="shared" si="5"/>
        <v>2.4846420363050443</v>
      </c>
    </row>
    <row r="57" spans="1:49" ht="15" hidden="1" customHeight="1" x14ac:dyDescent="0.25">
      <c r="K57" s="59">
        <f t="shared" si="2"/>
        <v>0.73272928184807573</v>
      </c>
      <c r="L57" s="59">
        <f t="shared" si="2"/>
        <v>2.5581127020676666</v>
      </c>
      <c r="M57" s="59">
        <f t="shared" si="2"/>
        <v>0.3231672569209012</v>
      </c>
      <c r="N57" s="59">
        <f t="shared" si="2"/>
        <v>2.6643480820025891</v>
      </c>
      <c r="O57" s="59">
        <f t="shared" si="2"/>
        <v>2.0054001987633594</v>
      </c>
      <c r="S57" s="41">
        <f t="shared" si="3"/>
        <v>1.0161040648845163</v>
      </c>
      <c r="T57" s="41">
        <f t="shared" si="3"/>
        <v>2.7929142982090336</v>
      </c>
      <c r="U57" s="41">
        <f t="shared" si="3"/>
        <v>0.8962940411905449</v>
      </c>
      <c r="V57" s="41">
        <f t="shared" si="3"/>
        <v>2.6557780861472371</v>
      </c>
      <c r="W57" s="41">
        <f t="shared" si="3"/>
        <v>2.1570386333252705</v>
      </c>
      <c r="AA57" s="60">
        <f t="shared" si="4"/>
        <v>0.60717535727012928</v>
      </c>
      <c r="AB57" s="60">
        <f t="shared" si="4"/>
        <v>2.9847370465527581</v>
      </c>
      <c r="AC57" s="60">
        <f t="shared" si="4"/>
        <v>1.2589465548593179</v>
      </c>
      <c r="AD57" s="60">
        <f t="shared" si="4"/>
        <v>2.6364703932425293</v>
      </c>
      <c r="AE57" s="60">
        <f t="shared" si="4"/>
        <v>2.1856090362407228</v>
      </c>
      <c r="AI57" s="60">
        <f t="shared" si="5"/>
        <v>1.1786337322390077</v>
      </c>
      <c r="AJ57" s="60">
        <f t="shared" si="5"/>
        <v>2.8663867523083444</v>
      </c>
      <c r="AK57" s="60">
        <f t="shared" si="5"/>
        <v>0.35253461925132179</v>
      </c>
      <c r="AL57" s="60">
        <f t="shared" si="5"/>
        <v>2.9759028432009931</v>
      </c>
      <c r="AM57" s="60">
        <f t="shared" si="5"/>
        <v>2.6132431814520145</v>
      </c>
    </row>
    <row r="58" spans="1:49" ht="15" hidden="1" customHeight="1" x14ac:dyDescent="0.25">
      <c r="C58" s="3"/>
      <c r="J58" s="3"/>
      <c r="K58" s="59">
        <f t="shared" si="2"/>
        <v>7.8337609525093157</v>
      </c>
      <c r="L58" s="59">
        <f t="shared" si="2"/>
        <v>5.6515370991906062</v>
      </c>
      <c r="M58" s="59">
        <f t="shared" si="2"/>
        <v>4.1839698919501238</v>
      </c>
      <c r="N58" s="59">
        <f t="shared" si="2"/>
        <v>3.8858609778228894</v>
      </c>
      <c r="O58" s="59">
        <f t="shared" si="2"/>
        <v>4.4121549424148796</v>
      </c>
      <c r="S58" s="3">
        <f t="shared" si="3"/>
        <v>7.8606152468725723</v>
      </c>
      <c r="T58" s="41">
        <f t="shared" si="3"/>
        <v>5.8264445950785237</v>
      </c>
      <c r="U58" s="41">
        <f t="shared" si="3"/>
        <v>3.8312808556053981</v>
      </c>
      <c r="V58" s="41">
        <f t="shared" si="3"/>
        <v>3.792232084470287</v>
      </c>
      <c r="W58" s="41">
        <f t="shared" si="3"/>
        <v>5.3650710724991502</v>
      </c>
      <c r="AA58" s="60">
        <f t="shared" si="4"/>
        <v>7.1948546224652663</v>
      </c>
      <c r="AB58" s="60">
        <f t="shared" si="4"/>
        <v>5.4650797074587176</v>
      </c>
      <c r="AC58" s="60">
        <f t="shared" si="4"/>
        <v>3.4834683204421077</v>
      </c>
      <c r="AD58" s="60">
        <f t="shared" si="4"/>
        <v>3.6260921063117992</v>
      </c>
      <c r="AE58" s="60">
        <f t="shared" si="4"/>
        <v>4.7220074155210927</v>
      </c>
      <c r="AI58" s="60">
        <f t="shared" si="5"/>
        <v>7.9435619272726079</v>
      </c>
      <c r="AJ58" s="60">
        <f t="shared" si="5"/>
        <v>6.5438274607585747</v>
      </c>
      <c r="AK58" s="60">
        <f t="shared" si="5"/>
        <v>4.2416869945752449</v>
      </c>
      <c r="AL58" s="60">
        <f t="shared" si="5"/>
        <v>3.7743438234893931</v>
      </c>
      <c r="AM58" s="60">
        <f t="shared" si="5"/>
        <v>4.7530960541041543</v>
      </c>
    </row>
    <row r="59" spans="1:49" ht="15" hidden="1" customHeight="1" x14ac:dyDescent="0.25">
      <c r="C59" s="3"/>
      <c r="J59" s="3"/>
      <c r="K59" s="59">
        <f t="shared" si="2"/>
        <v>0.17669431263004565</v>
      </c>
      <c r="L59" s="59">
        <f t="shared" si="2"/>
        <v>3.7723358371878466</v>
      </c>
      <c r="M59" s="59">
        <f t="shared" si="2"/>
        <v>1.3552047416307231</v>
      </c>
      <c r="N59" s="59">
        <f t="shared" si="2"/>
        <v>1.6628124688452692</v>
      </c>
      <c r="O59" s="59">
        <f t="shared" si="2"/>
        <v>2.6810075361039192</v>
      </c>
      <c r="S59" s="3">
        <f t="shared" si="3"/>
        <v>0.51757185660871219</v>
      </c>
      <c r="T59" s="41">
        <f t="shared" si="3"/>
        <v>3.7473337003560734</v>
      </c>
      <c r="U59" s="41">
        <f t="shared" si="3"/>
        <v>1.4548988394096078</v>
      </c>
      <c r="V59" s="41">
        <f t="shared" si="3"/>
        <v>1.7420183500502868</v>
      </c>
      <c r="W59" s="41">
        <f t="shared" si="3"/>
        <v>2.5777547586079606</v>
      </c>
      <c r="AA59" s="60">
        <f t="shared" si="4"/>
        <v>0.44598966049478528</v>
      </c>
      <c r="AB59" s="60">
        <f t="shared" si="4"/>
        <v>3.6903827489559879</v>
      </c>
      <c r="AC59" s="60">
        <f t="shared" si="4"/>
        <v>1.5179111655494679</v>
      </c>
      <c r="AD59" s="60">
        <f t="shared" si="4"/>
        <v>1.9230424906263692</v>
      </c>
      <c r="AE59" s="60">
        <f t="shared" si="4"/>
        <v>2.5860542707784826</v>
      </c>
      <c r="AI59" s="60">
        <f t="shared" si="5"/>
        <v>0.59498578118311873</v>
      </c>
      <c r="AJ59" s="60">
        <f t="shared" si="5"/>
        <v>3.7953423879305643</v>
      </c>
      <c r="AK59" s="60">
        <f t="shared" si="5"/>
        <v>1.5660514144648148</v>
      </c>
      <c r="AL59" s="60">
        <f t="shared" si="5"/>
        <v>1.8973325429823134</v>
      </c>
      <c r="AM59" s="60">
        <f t="shared" si="5"/>
        <v>2.6767994561261044</v>
      </c>
    </row>
    <row r="60" spans="1:49" ht="15" hidden="1" customHeight="1" x14ac:dyDescent="0.25">
      <c r="C60" s="3"/>
      <c r="J60" s="3"/>
      <c r="K60" s="59">
        <f t="shared" si="2"/>
        <v>8.3499423951359955</v>
      </c>
      <c r="L60" s="59">
        <f t="shared" si="2"/>
        <v>4.388591734216666</v>
      </c>
      <c r="M60" s="59">
        <f t="shared" si="2"/>
        <v>4.2048073755222237</v>
      </c>
      <c r="N60" s="59">
        <f t="shared" si="2"/>
        <v>4.3202387412049195</v>
      </c>
      <c r="O60" s="59">
        <f t="shared" si="2"/>
        <v>2.8232313745698692</v>
      </c>
      <c r="S60" s="3">
        <f t="shared" si="3"/>
        <v>7.2648979132430425</v>
      </c>
      <c r="T60" s="41">
        <f t="shared" si="3"/>
        <v>5.1294216702518138</v>
      </c>
      <c r="U60" s="41">
        <f t="shared" si="3"/>
        <v>3.9562894890870579</v>
      </c>
      <c r="V60" s="41">
        <f t="shared" si="3"/>
        <v>4.1547694305498961</v>
      </c>
      <c r="W60" s="41">
        <f t="shared" si="3"/>
        <v>2.7037903592119203</v>
      </c>
      <c r="AA60" s="60">
        <f t="shared" si="4"/>
        <v>7.6084944209854566</v>
      </c>
      <c r="AB60" s="60">
        <f t="shared" si="4"/>
        <v>5.2698686801340884</v>
      </c>
      <c r="AC60" s="60">
        <f t="shared" si="4"/>
        <v>3.7771486469055677</v>
      </c>
      <c r="AD60" s="60">
        <f t="shared" si="4"/>
        <v>4.2026130844319596</v>
      </c>
      <c r="AE60" s="60">
        <f t="shared" si="4"/>
        <v>2.7423034445755827</v>
      </c>
      <c r="AI60" s="60">
        <f t="shared" si="5"/>
        <v>8.5357261462729674</v>
      </c>
      <c r="AJ60" s="60">
        <f t="shared" si="5"/>
        <v>4.6394232646004845</v>
      </c>
      <c r="AK60" s="60">
        <f t="shared" si="5"/>
        <v>4.5091703123174351</v>
      </c>
      <c r="AL60" s="60">
        <f t="shared" si="5"/>
        <v>4.472236132520683</v>
      </c>
      <c r="AM60" s="60">
        <f t="shared" si="5"/>
        <v>2.8781177044454447</v>
      </c>
    </row>
    <row r="61" spans="1:49" ht="15" hidden="1" customHeight="1" x14ac:dyDescent="0.25">
      <c r="C61" s="3"/>
      <c r="J61" s="3"/>
      <c r="K61" s="59">
        <f t="shared" si="2"/>
        <v>9.0073034872908355</v>
      </c>
      <c r="L61" s="59">
        <f t="shared" si="2"/>
        <v>5.2595088335150368</v>
      </c>
      <c r="M61" s="59">
        <f t="shared" si="2"/>
        <v>4.0934529229210028</v>
      </c>
      <c r="N61" s="59">
        <f t="shared" si="2"/>
        <v>4.1364948873061094</v>
      </c>
      <c r="O61" s="59">
        <f t="shared" si="2"/>
        <v>3.0602755536763091</v>
      </c>
      <c r="S61" s="3">
        <f t="shared" si="3"/>
        <v>8.679338547515643</v>
      </c>
      <c r="T61" s="41">
        <f t="shared" si="3"/>
        <v>5.4843162711486038</v>
      </c>
      <c r="U61" s="41">
        <f t="shared" si="3"/>
        <v>3.984761252828438</v>
      </c>
      <c r="V61" s="41">
        <f t="shared" si="3"/>
        <v>4.5483624498635677</v>
      </c>
      <c r="W61" s="41">
        <f t="shared" si="3"/>
        <v>2.9216324506960905</v>
      </c>
      <c r="AA61" s="60">
        <f t="shared" si="4"/>
        <v>8.698033445193456</v>
      </c>
      <c r="AB61" s="60">
        <f t="shared" si="4"/>
        <v>5.6023851884728577</v>
      </c>
      <c r="AC61" s="60">
        <f t="shared" si="4"/>
        <v>3.7763515632115179</v>
      </c>
      <c r="AD61" s="60">
        <f t="shared" si="4"/>
        <v>4.644834715319039</v>
      </c>
      <c r="AE61" s="60">
        <f t="shared" si="4"/>
        <v>3.0050884880974627</v>
      </c>
      <c r="AI61" s="60">
        <f t="shared" si="5"/>
        <v>8.3497131681090284</v>
      </c>
      <c r="AJ61" s="60">
        <f t="shared" si="5"/>
        <v>5.4604391462816748</v>
      </c>
      <c r="AK61" s="60">
        <f t="shared" si="5"/>
        <v>4.253377444340245</v>
      </c>
      <c r="AL61" s="60">
        <f t="shared" si="5"/>
        <v>3.9224396192870032</v>
      </c>
      <c r="AM61" s="60">
        <f t="shared" si="5"/>
        <v>3.1680764889188446</v>
      </c>
    </row>
    <row r="62" spans="1:49" ht="15" hidden="1" customHeight="1" x14ac:dyDescent="0.25">
      <c r="C62" s="3"/>
      <c r="J62" s="3"/>
      <c r="K62" s="59">
        <f t="shared" si="2"/>
        <v>7.5682756375243461</v>
      </c>
      <c r="L62" s="59">
        <f t="shared" si="2"/>
        <v>3.7958797301804466</v>
      </c>
      <c r="M62" s="59">
        <f t="shared" si="2"/>
        <v>2.482049725247323</v>
      </c>
      <c r="N62" s="59">
        <f t="shared" si="2"/>
        <v>2.3215847871559694</v>
      </c>
      <c r="O62" s="59">
        <f t="shared" si="2"/>
        <v>2.6878568467097592</v>
      </c>
      <c r="S62" s="3">
        <f t="shared" si="3"/>
        <v>6.9625885521834521</v>
      </c>
      <c r="T62" s="41">
        <f t="shared" si="3"/>
        <v>4.3403255114411339</v>
      </c>
      <c r="U62" s="41">
        <f t="shared" si="3"/>
        <v>2.7663568921197181</v>
      </c>
      <c r="V62" s="41">
        <f t="shared" si="3"/>
        <v>2.1678926827580067</v>
      </c>
      <c r="W62" s="41">
        <f t="shared" si="3"/>
        <v>3.1039013358816905</v>
      </c>
      <c r="AA62" s="60">
        <f t="shared" si="4"/>
        <v>6.1438175388782961</v>
      </c>
      <c r="AB62" s="60">
        <f t="shared" si="4"/>
        <v>4.5021847927941376</v>
      </c>
      <c r="AC62" s="60">
        <f t="shared" si="4"/>
        <v>2.7317862778964179</v>
      </c>
      <c r="AD62" s="60">
        <f t="shared" si="4"/>
        <v>2.1546409958933994</v>
      </c>
      <c r="AE62" s="60">
        <f t="shared" si="4"/>
        <v>3.4154699693463928</v>
      </c>
      <c r="AI62" s="60">
        <f t="shared" si="5"/>
        <v>7.4073890886543676</v>
      </c>
      <c r="AJ62" s="60">
        <f t="shared" si="5"/>
        <v>4.2986633029439245</v>
      </c>
      <c r="AK62" s="60">
        <f t="shared" si="5"/>
        <v>3.3406107210937246</v>
      </c>
      <c r="AL62" s="60">
        <f t="shared" si="5"/>
        <v>2.1553624805062732</v>
      </c>
      <c r="AM62" s="60">
        <f t="shared" si="5"/>
        <v>2.8742761328511945</v>
      </c>
    </row>
    <row r="63" spans="1:49" ht="15" hidden="1" customHeight="1" x14ac:dyDescent="0.25">
      <c r="C63" s="3"/>
      <c r="J63" s="3"/>
      <c r="K63" s="59">
        <f t="shared" si="2"/>
        <v>3.4317607401692856</v>
      </c>
      <c r="L63" s="59">
        <f t="shared" si="2"/>
        <v>5.0371942733137063</v>
      </c>
      <c r="M63" s="59">
        <f t="shared" si="2"/>
        <v>3.0364920419174433</v>
      </c>
      <c r="N63" s="59">
        <f t="shared" si="2"/>
        <v>1.1920651996624891</v>
      </c>
      <c r="O63" s="59">
        <f t="shared" si="2"/>
        <v>3.1550128047936092</v>
      </c>
      <c r="S63" s="3">
        <f t="shared" si="3"/>
        <v>4.0652444603726217</v>
      </c>
      <c r="T63" s="41">
        <f t="shared" si="3"/>
        <v>4.1875870251261436</v>
      </c>
      <c r="U63" s="41">
        <f t="shared" si="3"/>
        <v>2.7574095446678077</v>
      </c>
      <c r="V63" s="41">
        <f t="shared" si="3"/>
        <v>1.2290252970479669</v>
      </c>
      <c r="W63" s="41">
        <f t="shared" si="3"/>
        <v>2.6638234989975502</v>
      </c>
      <c r="AA63" s="60">
        <f t="shared" si="4"/>
        <v>4.9382928051557062</v>
      </c>
      <c r="AB63" s="60">
        <f t="shared" si="4"/>
        <v>3.7080605449214179</v>
      </c>
      <c r="AC63" s="60">
        <f t="shared" si="4"/>
        <v>2.3570753281693979</v>
      </c>
      <c r="AD63" s="60">
        <f t="shared" si="4"/>
        <v>0.88880971440844525</v>
      </c>
      <c r="AE63" s="60">
        <f t="shared" si="4"/>
        <v>2.5901877099451829</v>
      </c>
      <c r="AI63" s="60">
        <f t="shared" si="5"/>
        <v>2.507361301680938</v>
      </c>
      <c r="AJ63" s="60">
        <f t="shared" si="5"/>
        <v>3.7803883535923544</v>
      </c>
      <c r="AK63" s="60">
        <f t="shared" si="5"/>
        <v>0.95331194954557485</v>
      </c>
      <c r="AL63" s="60">
        <f t="shared" si="5"/>
        <v>1.3673103618202234</v>
      </c>
      <c r="AM63" s="60">
        <f t="shared" si="5"/>
        <v>2.6721142985325144</v>
      </c>
    </row>
    <row r="64" spans="1:49" ht="15" hidden="1" customHeight="1" x14ac:dyDescent="0.25">
      <c r="C64" s="3"/>
      <c r="J64" s="3"/>
      <c r="K64" s="59">
        <f t="shared" si="2"/>
        <v>5.6086673391233157</v>
      </c>
      <c r="L64" s="59">
        <f t="shared" si="2"/>
        <v>3.7834619866233763</v>
      </c>
      <c r="M64" s="59">
        <f t="shared" si="2"/>
        <v>1.9799558413653831</v>
      </c>
      <c r="N64" s="59">
        <f t="shared" si="2"/>
        <v>0.95116315685878927</v>
      </c>
      <c r="O64" s="59">
        <f t="shared" si="2"/>
        <v>2.6841315458824391</v>
      </c>
      <c r="S64" s="3">
        <f t="shared" si="3"/>
        <v>5.7427271330422123</v>
      </c>
      <c r="T64" s="41">
        <f t="shared" si="3"/>
        <v>3.7716296726721135</v>
      </c>
      <c r="U64" s="41">
        <f t="shared" si="3"/>
        <v>2.2337789731178179</v>
      </c>
      <c r="V64" s="41">
        <f t="shared" si="3"/>
        <v>1.1206476674562069</v>
      </c>
      <c r="W64" s="41">
        <f t="shared" si="3"/>
        <v>2.5855951079388801</v>
      </c>
      <c r="AA64" s="60">
        <f t="shared" si="4"/>
        <v>5.542390220031626</v>
      </c>
      <c r="AB64" s="60">
        <f t="shared" si="4"/>
        <v>3.7015907979448679</v>
      </c>
      <c r="AC64" s="60">
        <f t="shared" si="4"/>
        <v>2.1575958946921379</v>
      </c>
      <c r="AD64" s="60">
        <f t="shared" si="4"/>
        <v>1.0288791495187593</v>
      </c>
      <c r="AE64" s="60">
        <f t="shared" si="4"/>
        <v>2.5892365286784229</v>
      </c>
      <c r="AI64" s="60">
        <f t="shared" si="5"/>
        <v>5.383031434310988</v>
      </c>
      <c r="AJ64" s="60">
        <f t="shared" si="5"/>
        <v>3.8217807825752743</v>
      </c>
      <c r="AK64" s="60">
        <f t="shared" si="5"/>
        <v>2.4164504499612347</v>
      </c>
      <c r="AL64" s="60">
        <f t="shared" si="5"/>
        <v>0.91299785831456026</v>
      </c>
      <c r="AM64" s="60">
        <f t="shared" si="5"/>
        <v>2.6841797531153344</v>
      </c>
    </row>
    <row r="65" spans="2:23" customFormat="1" ht="15" hidden="1" customHeight="1" x14ac:dyDescent="0.25">
      <c r="B65" s="3"/>
      <c r="C65" s="3"/>
      <c r="D65" s="41"/>
      <c r="E65" s="41"/>
      <c r="F65" s="41"/>
      <c r="G65" s="41"/>
      <c r="H65" s="41"/>
      <c r="I65" s="53"/>
      <c r="J65" s="3"/>
      <c r="K65" s="41"/>
      <c r="L65" s="41"/>
      <c r="M65" s="41"/>
      <c r="N65" s="41"/>
      <c r="O65" s="3"/>
      <c r="P65" s="3"/>
      <c r="R65" s="3"/>
      <c r="S65" s="3"/>
      <c r="T65" s="41"/>
      <c r="U65" s="41"/>
      <c r="V65" s="41"/>
      <c r="W65" s="41"/>
    </row>
    <row r="66" spans="2:23" customFormat="1" ht="15" hidden="1" customHeight="1" x14ac:dyDescent="0.25">
      <c r="B66" s="3"/>
      <c r="C66" s="3"/>
      <c r="D66" s="41"/>
      <c r="E66" s="41"/>
      <c r="F66" s="41"/>
      <c r="G66" s="41"/>
      <c r="H66" s="41"/>
      <c r="I66" s="53"/>
      <c r="J66" s="3"/>
      <c r="K66" s="41"/>
      <c r="L66" s="41"/>
      <c r="M66" s="41"/>
      <c r="N66" s="41"/>
      <c r="O66" s="3"/>
      <c r="P66" s="3"/>
      <c r="R66" s="3"/>
      <c r="S66" s="3"/>
      <c r="T66" s="41"/>
      <c r="U66" s="41"/>
      <c r="V66" s="41"/>
      <c r="W66" s="41"/>
    </row>
    <row r="67" spans="2:23" customFormat="1" ht="15" hidden="1" customHeight="1" x14ac:dyDescent="0.25">
      <c r="B67" s="3"/>
      <c r="C67" s="3"/>
      <c r="D67" s="41"/>
      <c r="E67" s="41"/>
      <c r="F67" s="41"/>
      <c r="G67" s="41"/>
      <c r="H67" s="41"/>
      <c r="I67" s="53"/>
      <c r="J67" s="3"/>
      <c r="K67" s="41"/>
      <c r="L67" s="41"/>
      <c r="M67" s="41"/>
      <c r="N67" s="41"/>
      <c r="O67" s="3"/>
      <c r="P67" s="3"/>
      <c r="R67" s="3"/>
      <c r="S67" s="3"/>
      <c r="T67" s="41"/>
      <c r="U67" s="41"/>
      <c r="V67" s="41"/>
      <c r="W67" s="41"/>
    </row>
    <row r="68" spans="2:23" customFormat="1" ht="15" hidden="1" customHeight="1" x14ac:dyDescent="0.25">
      <c r="B68" s="3"/>
      <c r="C68" s="3"/>
      <c r="D68" s="41"/>
      <c r="E68" s="41"/>
      <c r="F68" s="41"/>
      <c r="G68" s="41"/>
      <c r="H68" s="41"/>
      <c r="I68" s="53"/>
      <c r="J68" s="3"/>
      <c r="K68" s="41"/>
      <c r="L68" s="41"/>
      <c r="M68" s="41"/>
      <c r="N68" s="41"/>
      <c r="O68" s="3"/>
      <c r="P68" s="3"/>
      <c r="R68" s="3"/>
      <c r="S68" s="3"/>
      <c r="T68" s="41"/>
      <c r="U68" s="41"/>
      <c r="V68" s="41"/>
      <c r="W68" s="41"/>
    </row>
    <row r="69" spans="2:23" customFormat="1" ht="15" hidden="1" customHeight="1" x14ac:dyDescent="0.25">
      <c r="B69" s="3"/>
      <c r="C69" s="3"/>
      <c r="D69" s="41"/>
      <c r="E69" s="41"/>
      <c r="F69" s="41"/>
      <c r="G69" s="41"/>
      <c r="H69" s="41"/>
      <c r="I69" s="53"/>
      <c r="J69" s="3"/>
      <c r="K69" s="41"/>
      <c r="L69" s="41"/>
      <c r="M69" s="41"/>
      <c r="N69" s="41"/>
      <c r="O69" s="3"/>
      <c r="P69" s="3"/>
      <c r="R69" s="3"/>
      <c r="S69" s="3"/>
      <c r="T69" s="41"/>
      <c r="U69" s="41"/>
      <c r="V69" s="41"/>
      <c r="W69" s="41"/>
    </row>
    <row r="70" spans="2:23" customFormat="1" ht="15" customHeight="1" x14ac:dyDescent="0.25">
      <c r="B70" s="3"/>
      <c r="C70" s="41"/>
      <c r="D70" s="41"/>
      <c r="E70" s="41"/>
      <c r="F70" s="41"/>
      <c r="G70" s="41"/>
      <c r="H70" s="41"/>
      <c r="I70" s="53"/>
      <c r="J70" s="41"/>
      <c r="K70" s="3"/>
      <c r="L70" s="3"/>
      <c r="M70" s="3"/>
      <c r="N70" s="3"/>
      <c r="O70" s="3"/>
      <c r="P70" s="3"/>
      <c r="R70" s="3"/>
      <c r="S70" s="41"/>
      <c r="T70" s="41"/>
      <c r="U70" s="41"/>
      <c r="V70" s="41"/>
      <c r="W70" s="41"/>
    </row>
    <row r="73" spans="2:23" customFormat="1" x14ac:dyDescent="0.25">
      <c r="B73" s="3" t="s">
        <v>48</v>
      </c>
      <c r="C73" s="41"/>
      <c r="D73" s="41"/>
      <c r="E73" s="41"/>
      <c r="F73" s="41"/>
      <c r="G73" s="41"/>
      <c r="H73" s="41"/>
      <c r="I73" s="53"/>
      <c r="J73" s="41"/>
      <c r="K73" s="3"/>
      <c r="L73" s="3"/>
      <c r="M73" s="3"/>
      <c r="N73" s="3"/>
      <c r="O73" s="3"/>
      <c r="P73" s="3"/>
      <c r="R73" s="3"/>
      <c r="S73" s="3"/>
      <c r="T73" s="3"/>
      <c r="U73" s="3"/>
      <c r="V73" s="3"/>
      <c r="W73" s="3"/>
    </row>
    <row r="74" spans="2:23" customFormat="1" x14ac:dyDescent="0.25">
      <c r="B74" s="39" t="s">
        <v>9</v>
      </c>
      <c r="C74" s="39" t="s">
        <v>13</v>
      </c>
      <c r="D74" s="39" t="s">
        <v>18</v>
      </c>
      <c r="E74" s="39" t="s">
        <v>15</v>
      </c>
      <c r="F74" s="39" t="s">
        <v>16</v>
      </c>
      <c r="G74" s="39" t="s">
        <v>17</v>
      </c>
      <c r="H74" s="41"/>
      <c r="I74" s="53"/>
      <c r="J74" s="41"/>
      <c r="K74" s="3"/>
      <c r="L74" s="3"/>
      <c r="M74" s="3"/>
      <c r="N74" s="3"/>
      <c r="O74" s="3"/>
      <c r="P74" s="3"/>
      <c r="R74" s="3"/>
      <c r="S74" s="3"/>
      <c r="T74" s="3"/>
      <c r="U74" s="3"/>
      <c r="V74" s="3"/>
      <c r="W74" s="3"/>
    </row>
    <row r="75" spans="2:23" customFormat="1" x14ac:dyDescent="0.25">
      <c r="B75" s="58">
        <v>14</v>
      </c>
      <c r="C75" s="40">
        <f t="shared" ref="C75:G85" si="6">STDEV(C42,K42,S42,AA42,AI42)</f>
        <v>0.62228529425984291</v>
      </c>
      <c r="D75" s="40">
        <f t="shared" si="6"/>
        <v>0.265983809468263</v>
      </c>
      <c r="E75" s="40">
        <f t="shared" si="6"/>
        <v>0.22714090719677033</v>
      </c>
      <c r="F75" s="40">
        <f t="shared" si="6"/>
        <v>0.13639303754272075</v>
      </c>
      <c r="G75" s="40">
        <f t="shared" si="6"/>
        <v>0.17872478353766005</v>
      </c>
      <c r="H75" s="41"/>
      <c r="I75" s="53"/>
      <c r="J75" s="41"/>
      <c r="K75" s="3"/>
      <c r="L75" s="3"/>
      <c r="M75" s="3"/>
      <c r="N75" s="3"/>
      <c r="O75" s="3"/>
      <c r="P75" s="3"/>
      <c r="R75" s="3"/>
      <c r="S75" s="3"/>
      <c r="T75" s="3"/>
      <c r="U75" s="3"/>
      <c r="V75" s="3"/>
      <c r="W75" s="3"/>
    </row>
    <row r="76" spans="2:23" customFormat="1" x14ac:dyDescent="0.25">
      <c r="B76" s="58">
        <v>15</v>
      </c>
      <c r="C76" s="40">
        <f t="shared" si="6"/>
        <v>0.51406008139981652</v>
      </c>
      <c r="D76" s="40">
        <f t="shared" si="6"/>
        <v>0.28028044711228617</v>
      </c>
      <c r="E76" s="40">
        <f t="shared" si="6"/>
        <v>0.29292109729312032</v>
      </c>
      <c r="F76" s="40">
        <f t="shared" si="6"/>
        <v>0.10413551651314563</v>
      </c>
      <c r="G76" s="40">
        <f t="shared" si="6"/>
        <v>0.18667329840037833</v>
      </c>
      <c r="H76" s="41"/>
      <c r="I76" s="53"/>
      <c r="J76" s="41"/>
      <c r="K76" s="3"/>
      <c r="L76" s="3"/>
      <c r="M76" s="3"/>
      <c r="N76" s="3"/>
      <c r="O76" s="3"/>
      <c r="P76" s="3"/>
      <c r="R76" s="3"/>
      <c r="S76" s="3"/>
      <c r="T76" s="3"/>
      <c r="U76" s="3"/>
      <c r="V76" s="3"/>
      <c r="W76" s="3"/>
    </row>
    <row r="77" spans="2:23" customFormat="1" x14ac:dyDescent="0.25">
      <c r="B77" s="58">
        <v>16</v>
      </c>
      <c r="C77" s="40">
        <f t="shared" si="6"/>
        <v>0.35381216146172584</v>
      </c>
      <c r="D77" s="40">
        <f t="shared" si="6"/>
        <v>0.21740220071810801</v>
      </c>
      <c r="E77" s="40">
        <f t="shared" si="6"/>
        <v>0.22887321841476224</v>
      </c>
      <c r="F77" s="40">
        <f t="shared" si="6"/>
        <v>0.13871637944271664</v>
      </c>
      <c r="G77" s="40">
        <f t="shared" si="6"/>
        <v>0.31442937988538211</v>
      </c>
      <c r="H77" s="41"/>
      <c r="I77" s="53"/>
      <c r="J77" s="41"/>
      <c r="K77" s="3"/>
      <c r="L77" s="3"/>
      <c r="M77" s="3"/>
      <c r="N77" s="3"/>
      <c r="O77" s="3"/>
      <c r="P77" s="3"/>
      <c r="R77" s="3"/>
      <c r="S77" s="3"/>
      <c r="T77" s="3"/>
      <c r="U77" s="3"/>
      <c r="V77" s="3"/>
      <c r="W77" s="3"/>
    </row>
    <row r="78" spans="2:23" customFormat="1" x14ac:dyDescent="0.25">
      <c r="B78" s="58">
        <v>19</v>
      </c>
      <c r="C78" s="40">
        <f t="shared" si="6"/>
        <v>0.10058895626025462</v>
      </c>
      <c r="D78" s="40">
        <f t="shared" si="6"/>
        <v>0.17990457041266811</v>
      </c>
      <c r="E78" s="40">
        <f t="shared" si="6"/>
        <v>0.36419627530064447</v>
      </c>
      <c r="F78" s="40">
        <f t="shared" si="6"/>
        <v>0.1477534720712973</v>
      </c>
      <c r="G78" s="40">
        <f t="shared" si="6"/>
        <v>0.21747726482592183</v>
      </c>
      <c r="H78" s="41"/>
      <c r="I78" s="53"/>
      <c r="J78" s="41"/>
      <c r="K78" s="3"/>
      <c r="L78" s="3"/>
      <c r="M78" s="3"/>
      <c r="N78" s="3"/>
      <c r="O78" s="3"/>
      <c r="P78" s="3"/>
      <c r="R78" s="3"/>
      <c r="S78" s="3"/>
      <c r="T78" s="3"/>
      <c r="U78" s="3"/>
      <c r="V78" s="3"/>
      <c r="W78" s="3"/>
    </row>
    <row r="79" spans="2:23" customFormat="1" x14ac:dyDescent="0.25">
      <c r="B79" s="58">
        <v>20</v>
      </c>
      <c r="C79" s="40">
        <f t="shared" si="6"/>
        <v>0.27331125805086814</v>
      </c>
      <c r="D79" s="40">
        <f t="shared" si="6"/>
        <v>0.38908500499735332</v>
      </c>
      <c r="E79" s="40">
        <f t="shared" si="6"/>
        <v>0.38445293494369642</v>
      </c>
      <c r="F79" s="40">
        <f t="shared" si="6"/>
        <v>0.14997837357097829</v>
      </c>
      <c r="G79" s="40">
        <f t="shared" si="6"/>
        <v>0.40390239567194952</v>
      </c>
      <c r="H79" s="41"/>
      <c r="I79" s="53"/>
      <c r="J79" s="41"/>
      <c r="K79" s="3"/>
      <c r="L79" s="3"/>
      <c r="M79" s="3"/>
      <c r="N79" s="3"/>
      <c r="O79" s="3"/>
      <c r="P79" s="3"/>
      <c r="R79" s="3"/>
      <c r="S79" s="3"/>
      <c r="T79" s="3"/>
      <c r="U79" s="3"/>
      <c r="V79" s="3"/>
      <c r="W79" s="3"/>
    </row>
    <row r="80" spans="2:23" customFormat="1" x14ac:dyDescent="0.25">
      <c r="B80" s="58">
        <v>21</v>
      </c>
      <c r="C80" s="40">
        <f t="shared" si="6"/>
        <v>0.14378178976200154</v>
      </c>
      <c r="D80" s="40">
        <f t="shared" si="6"/>
        <v>8.1657605133830941E-3</v>
      </c>
      <c r="E80" s="40">
        <f t="shared" si="6"/>
        <v>7.8892843442895863E-2</v>
      </c>
      <c r="F80" s="40">
        <f t="shared" si="6"/>
        <v>0.17038831810057722</v>
      </c>
      <c r="G80" s="40">
        <f t="shared" si="6"/>
        <v>2.6893069147984577E-3</v>
      </c>
      <c r="H80" s="41"/>
      <c r="I80" s="53"/>
      <c r="J80" s="41"/>
      <c r="K80" s="3"/>
      <c r="L80" s="3"/>
      <c r="M80" s="3"/>
      <c r="N80" s="3"/>
      <c r="O80" s="3"/>
      <c r="P80" s="3"/>
      <c r="R80" s="3"/>
      <c r="S80" s="3"/>
      <c r="T80" s="3"/>
      <c r="U80" s="3"/>
      <c r="V80" s="3"/>
      <c r="W80" s="3"/>
    </row>
    <row r="81" spans="2:49" x14ac:dyDescent="0.25">
      <c r="B81" s="58">
        <v>22</v>
      </c>
      <c r="C81" s="40">
        <f t="shared" si="6"/>
        <v>0.66477052775600376</v>
      </c>
      <c r="D81" s="40">
        <f t="shared" si="6"/>
        <v>0.41776540392077388</v>
      </c>
      <c r="E81" s="40">
        <f t="shared" si="6"/>
        <v>0.30362912255161739</v>
      </c>
      <c r="F81" s="40">
        <f t="shared" si="6"/>
        <v>0.15563529185611485</v>
      </c>
      <c r="G81" s="40">
        <f t="shared" si="6"/>
        <v>5.212761583377537E-2</v>
      </c>
      <c r="S81" s="3"/>
      <c r="T81" s="3"/>
      <c r="U81" s="3"/>
      <c r="V81" s="3"/>
      <c r="W81" s="3"/>
    </row>
    <row r="82" spans="2:49" x14ac:dyDescent="0.25">
      <c r="B82" s="58">
        <v>23</v>
      </c>
      <c r="C82" s="40">
        <f t="shared" si="6"/>
        <v>0.44059270868080336</v>
      </c>
      <c r="D82" s="40">
        <f t="shared" si="6"/>
        <v>0.15221330733133015</v>
      </c>
      <c r="E82" s="40">
        <f t="shared" si="6"/>
        <v>0.21224179657655359</v>
      </c>
      <c r="F82" s="40">
        <f t="shared" si="6"/>
        <v>0.28790831350954038</v>
      </c>
      <c r="G82" s="40">
        <f t="shared" si="6"/>
        <v>5.5911969283358634E-2</v>
      </c>
      <c r="S82" s="3"/>
      <c r="T82" s="3"/>
      <c r="U82" s="3"/>
      <c r="V82" s="3"/>
      <c r="W82" s="3"/>
    </row>
    <row r="83" spans="2:49" x14ac:dyDescent="0.25">
      <c r="B83" s="58">
        <v>24</v>
      </c>
      <c r="C83" s="40">
        <f t="shared" si="6"/>
        <v>0.61025326319141082</v>
      </c>
      <c r="D83" s="40">
        <f t="shared" si="6"/>
        <v>0.33315619022026721</v>
      </c>
      <c r="E83" s="40">
        <f t="shared" si="6"/>
        <v>0.24786313421299239</v>
      </c>
      <c r="F83" s="40">
        <f t="shared" si="6"/>
        <v>0.14560313174072415</v>
      </c>
      <c r="G83" s="40">
        <f t="shared" si="6"/>
        <v>0.38019028426809398</v>
      </c>
      <c r="S83" s="3"/>
      <c r="T83" s="3"/>
      <c r="U83" s="3"/>
      <c r="V83" s="3"/>
      <c r="W83" s="3"/>
    </row>
    <row r="84" spans="2:49" x14ac:dyDescent="0.25">
      <c r="B84" s="58">
        <v>25</v>
      </c>
      <c r="C84" s="40">
        <f t="shared" si="6"/>
        <v>1.1816866399666814</v>
      </c>
      <c r="D84" s="40">
        <f t="shared" si="6"/>
        <v>0.56864220131059373</v>
      </c>
      <c r="E84" s="40">
        <f t="shared" si="6"/>
        <v>1.134236911730778</v>
      </c>
      <c r="F84" s="40">
        <f t="shared" si="6"/>
        <v>0.18794646316203681</v>
      </c>
      <c r="G84" s="40">
        <f t="shared" si="6"/>
        <v>0.21091292946315118</v>
      </c>
      <c r="S84" s="3"/>
      <c r="T84" s="3"/>
      <c r="U84" s="3"/>
      <c r="V84" s="3"/>
      <c r="W84" s="3"/>
    </row>
    <row r="85" spans="2:49" x14ac:dyDescent="0.25">
      <c r="B85" s="58">
        <v>26</v>
      </c>
      <c r="C85" s="40">
        <f t="shared" si="6"/>
        <v>0.31733545898450033</v>
      </c>
      <c r="D85" s="40">
        <f t="shared" si="6"/>
        <v>1.0228838362989779E-2</v>
      </c>
      <c r="E85" s="40">
        <f t="shared" si="6"/>
        <v>0.13439239915368997</v>
      </c>
      <c r="F85" s="40">
        <f t="shared" si="6"/>
        <v>0.13713513495232932</v>
      </c>
      <c r="G85" s="40">
        <f t="shared" si="6"/>
        <v>3.2068483323869613E-3</v>
      </c>
      <c r="S85" s="3"/>
      <c r="T85" s="3"/>
      <c r="U85" s="3"/>
      <c r="V85" s="3"/>
      <c r="W85" s="3"/>
    </row>
    <row r="89" spans="2:49" x14ac:dyDescent="0.25">
      <c r="Q89" s="3"/>
      <c r="S89" s="3"/>
      <c r="T89" s="3"/>
      <c r="U89" s="3"/>
      <c r="V89" s="3"/>
      <c r="W89" s="3"/>
      <c r="AP89"/>
      <c r="AQ89"/>
      <c r="AR89"/>
      <c r="AS89"/>
      <c r="AT89"/>
      <c r="AU89"/>
      <c r="AV89"/>
      <c r="AW89"/>
    </row>
  </sheetData>
  <mergeCells count="13">
    <mergeCell ref="AH40:AM40"/>
    <mergeCell ref="AP40:AU40"/>
    <mergeCell ref="A29:A33"/>
    <mergeCell ref="B40:G40"/>
    <mergeCell ref="J40:O40"/>
    <mergeCell ref="R40:W40"/>
    <mergeCell ref="Z40:AE40"/>
    <mergeCell ref="A14:A17"/>
    <mergeCell ref="A19:A22"/>
    <mergeCell ref="A24:A27"/>
    <mergeCell ref="B1:G2"/>
    <mergeCell ref="A4:A7"/>
    <mergeCell ref="A9:A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Statistiche</vt:lpstr>
      <vt:lpstr>Results - Dataset</vt:lpstr>
      <vt:lpstr>Results - Valid</vt:lpstr>
      <vt:lpstr>Test_Robustezza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2025-10-15T10:14:14Z</dcterms:modified>
</cp:coreProperties>
</file>