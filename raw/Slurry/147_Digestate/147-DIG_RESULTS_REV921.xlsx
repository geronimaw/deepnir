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tatistiche" sheetId="1" r:id="rId1"/>
    <sheet name="Results - Dataset" sheetId="2" r:id="rId2"/>
    <sheet name="Results - Valid" sheetId="3" r:id="rId3"/>
    <sheet name="Test Robustezza" sheetId="4" r:id="rId4"/>
  </sheets>
  <externalReferences>
    <externalReference r:id="rId5"/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4" i="4" l="1"/>
  <c r="AQ44" i="4"/>
  <c r="AR44" i="4"/>
  <c r="AS44" i="4"/>
  <c r="AT44" i="4"/>
  <c r="AU44" i="4"/>
  <c r="AP45" i="4"/>
  <c r="AQ45" i="4"/>
  <c r="AR45" i="4"/>
  <c r="AS45" i="4"/>
  <c r="AT45" i="4"/>
  <c r="AU45" i="4"/>
  <c r="AP46" i="4"/>
  <c r="AQ46" i="4"/>
  <c r="AR46" i="4"/>
  <c r="AS46" i="4"/>
  <c r="AT46" i="4"/>
  <c r="AU46" i="4"/>
  <c r="AP47" i="4"/>
  <c r="AQ47" i="4"/>
  <c r="AR47" i="4"/>
  <c r="AS47" i="4"/>
  <c r="AT47" i="4"/>
  <c r="AU47" i="4"/>
  <c r="AP48" i="4"/>
  <c r="AQ48" i="4"/>
  <c r="AR48" i="4"/>
  <c r="AS48" i="4"/>
  <c r="AT48" i="4"/>
  <c r="AU48" i="4"/>
  <c r="AP49" i="4"/>
  <c r="AQ49" i="4"/>
  <c r="AR49" i="4"/>
  <c r="AS49" i="4"/>
  <c r="AT49" i="4"/>
  <c r="AU49" i="4"/>
  <c r="AP50" i="4"/>
  <c r="AQ50" i="4"/>
  <c r="AR50" i="4"/>
  <c r="AS50" i="4"/>
  <c r="AT50" i="4"/>
  <c r="AU50" i="4"/>
  <c r="AP51" i="4"/>
  <c r="AQ51" i="4"/>
  <c r="AR51" i="4"/>
  <c r="AS51" i="4"/>
  <c r="AT51" i="4"/>
  <c r="AU51" i="4"/>
  <c r="AP52" i="4"/>
  <c r="AQ52" i="4"/>
  <c r="AR52" i="4"/>
  <c r="AS52" i="4"/>
  <c r="AT52" i="4"/>
  <c r="AU52" i="4"/>
  <c r="AP53" i="4"/>
  <c r="AQ53" i="4"/>
  <c r="AR53" i="4"/>
  <c r="AS53" i="4"/>
  <c r="AT53" i="4"/>
  <c r="AU53" i="4"/>
  <c r="B86" i="4"/>
  <c r="B85" i="4"/>
  <c r="B84" i="4"/>
  <c r="B83" i="4"/>
  <c r="B82" i="4"/>
  <c r="B81" i="4"/>
  <c r="B80" i="4"/>
  <c r="B79" i="4"/>
  <c r="B78" i="4"/>
  <c r="B77" i="4"/>
  <c r="B76" i="4"/>
  <c r="B75" i="4"/>
  <c r="G86" i="4"/>
  <c r="E86" i="4"/>
  <c r="F83" i="4"/>
  <c r="AP43" i="4"/>
  <c r="AP42" i="4"/>
  <c r="C6" i="4"/>
  <c r="D75" i="4"/>
  <c r="B33" i="4"/>
  <c r="B32" i="4"/>
  <c r="B31" i="4"/>
  <c r="B30" i="4"/>
  <c r="B27" i="4"/>
  <c r="B26" i="4"/>
  <c r="B25" i="4"/>
  <c r="B24" i="4"/>
  <c r="B22" i="4"/>
  <c r="B21" i="4"/>
  <c r="B20" i="4"/>
  <c r="B19" i="4"/>
  <c r="B17" i="4"/>
  <c r="B16" i="4"/>
  <c r="B15" i="4"/>
  <c r="B14" i="4"/>
  <c r="B12" i="4"/>
  <c r="B11" i="4"/>
  <c r="B10" i="4"/>
  <c r="B9" i="4"/>
  <c r="E54" i="3"/>
  <c r="E53" i="3"/>
  <c r="S52" i="3"/>
  <c r="E52" i="3"/>
  <c r="S51" i="3"/>
  <c r="E51" i="3"/>
  <c r="AG50" i="3"/>
  <c r="S50" i="3"/>
  <c r="E50" i="3"/>
  <c r="AG49" i="3"/>
  <c r="S49" i="3"/>
  <c r="E49" i="3"/>
  <c r="AG48" i="3"/>
  <c r="Z48" i="3"/>
  <c r="S48" i="3"/>
  <c r="L48" i="3"/>
  <c r="E48" i="3"/>
  <c r="AG47" i="3"/>
  <c r="Z47" i="3"/>
  <c r="S47" i="3"/>
  <c r="L47" i="3"/>
  <c r="E47" i="3"/>
  <c r="AG46" i="3"/>
  <c r="Z46" i="3"/>
  <c r="S46" i="3"/>
  <c r="L46" i="3"/>
  <c r="E46" i="3"/>
  <c r="AG45" i="3"/>
  <c r="Z45" i="3"/>
  <c r="S45" i="3"/>
  <c r="L45" i="3"/>
  <c r="E45" i="3"/>
  <c r="AG44" i="3"/>
  <c r="Z44" i="3"/>
  <c r="S44" i="3"/>
  <c r="L44" i="3"/>
  <c r="E44" i="3"/>
  <c r="AG43" i="3"/>
  <c r="Z43" i="3"/>
  <c r="S43" i="3"/>
  <c r="L43" i="3"/>
  <c r="E43" i="3"/>
  <c r="AG42" i="3"/>
  <c r="Z42" i="3"/>
  <c r="S42" i="3"/>
  <c r="L42" i="3"/>
  <c r="E42" i="3"/>
  <c r="AG41" i="3"/>
  <c r="Z41" i="3"/>
  <c r="S41" i="3"/>
  <c r="L41" i="3"/>
  <c r="E41" i="3"/>
  <c r="AG40" i="3"/>
  <c r="Z40" i="3"/>
  <c r="S40" i="3"/>
  <c r="L40" i="3"/>
  <c r="E40" i="3"/>
  <c r="AG39" i="3"/>
  <c r="Z39" i="3"/>
  <c r="S39" i="3"/>
  <c r="L39" i="3"/>
  <c r="E39" i="3"/>
  <c r="AG38" i="3"/>
  <c r="Z38" i="3"/>
  <c r="S38" i="3"/>
  <c r="L38" i="3"/>
  <c r="E38" i="3"/>
  <c r="AG37" i="3"/>
  <c r="Z37" i="3"/>
  <c r="S37" i="3"/>
  <c r="L37" i="3"/>
  <c r="E37" i="3"/>
  <c r="AG36" i="3"/>
  <c r="Z36" i="3"/>
  <c r="S36" i="3"/>
  <c r="L36" i="3"/>
  <c r="E36" i="3"/>
  <c r="AG35" i="3"/>
  <c r="Z35" i="3"/>
  <c r="S35" i="3"/>
  <c r="L35" i="3"/>
  <c r="E35" i="3"/>
  <c r="AG34" i="3"/>
  <c r="Z34" i="3"/>
  <c r="S34" i="3"/>
  <c r="L34" i="3"/>
  <c r="E34" i="3"/>
  <c r="AG33" i="3"/>
  <c r="Z33" i="3"/>
  <c r="S33" i="3"/>
  <c r="L33" i="3"/>
  <c r="E33" i="3"/>
  <c r="AG32" i="3"/>
  <c r="Z32" i="3"/>
  <c r="S32" i="3"/>
  <c r="L32" i="3"/>
  <c r="E32" i="3"/>
  <c r="AG31" i="3"/>
  <c r="Z31" i="3"/>
  <c r="S31" i="3"/>
  <c r="L31" i="3"/>
  <c r="E31" i="3"/>
  <c r="AG30" i="3"/>
  <c r="Z30" i="3"/>
  <c r="S30" i="3"/>
  <c r="L30" i="3"/>
  <c r="E30" i="3"/>
  <c r="AG29" i="3"/>
  <c r="Z29" i="3"/>
  <c r="S29" i="3"/>
  <c r="L29" i="3"/>
  <c r="E29" i="3"/>
  <c r="AG28" i="3"/>
  <c r="Z28" i="3"/>
  <c r="S28" i="3"/>
  <c r="L28" i="3"/>
  <c r="E28" i="3"/>
  <c r="AG27" i="3"/>
  <c r="Z27" i="3"/>
  <c r="S27" i="3"/>
  <c r="L27" i="3"/>
  <c r="E27" i="3"/>
  <c r="AG26" i="3"/>
  <c r="Z26" i="3"/>
  <c r="S26" i="3"/>
  <c r="L26" i="3"/>
  <c r="E26" i="3"/>
  <c r="AG25" i="3"/>
  <c r="Z25" i="3"/>
  <c r="S25" i="3"/>
  <c r="L25" i="3"/>
  <c r="E25" i="3"/>
  <c r="AG24" i="3"/>
  <c r="Z24" i="3"/>
  <c r="S24" i="3"/>
  <c r="L24" i="3"/>
  <c r="E24" i="3"/>
  <c r="AG23" i="3"/>
  <c r="Z23" i="3"/>
  <c r="S23" i="3"/>
  <c r="L23" i="3"/>
  <c r="E23" i="3"/>
  <c r="AG22" i="3"/>
  <c r="Z22" i="3"/>
  <c r="S22" i="3"/>
  <c r="L22" i="3"/>
  <c r="E22" i="3"/>
  <c r="AG21" i="3"/>
  <c r="Z21" i="3"/>
  <c r="S21" i="3"/>
  <c r="L21" i="3"/>
  <c r="E21" i="3"/>
  <c r="AG20" i="3"/>
  <c r="Z20" i="3"/>
  <c r="S20" i="3"/>
  <c r="L20" i="3"/>
  <c r="E20" i="3"/>
  <c r="AG19" i="3"/>
  <c r="Z19" i="3"/>
  <c r="S19" i="3"/>
  <c r="L19" i="3"/>
  <c r="E19" i="3"/>
  <c r="AG18" i="3"/>
  <c r="Z18" i="3"/>
  <c r="S18" i="3"/>
  <c r="L18" i="3"/>
  <c r="E18" i="3"/>
  <c r="AG17" i="3"/>
  <c r="Z17" i="3"/>
  <c r="S17" i="3"/>
  <c r="L17" i="3"/>
  <c r="E17" i="3"/>
  <c r="AG16" i="3"/>
  <c r="Z16" i="3"/>
  <c r="S16" i="3"/>
  <c r="L16" i="3"/>
  <c r="E16" i="3"/>
  <c r="AG15" i="3"/>
  <c r="Z15" i="3"/>
  <c r="S15" i="3"/>
  <c r="L15" i="3"/>
  <c r="E15" i="3"/>
  <c r="AG14" i="3"/>
  <c r="Z14" i="3"/>
  <c r="S14" i="3"/>
  <c r="L14" i="3"/>
  <c r="E14" i="3"/>
  <c r="AG13" i="3"/>
  <c r="Z13" i="3"/>
  <c r="S13" i="3"/>
  <c r="L13" i="3"/>
  <c r="E13" i="3"/>
  <c r="AG12" i="3"/>
  <c r="Z12" i="3"/>
  <c r="S12" i="3"/>
  <c r="L12" i="3"/>
  <c r="E12" i="3"/>
  <c r="AE7" i="3"/>
  <c r="X7" i="3"/>
  <c r="Q7" i="3"/>
  <c r="J7" i="3"/>
  <c r="C7" i="3"/>
  <c r="AE5" i="3"/>
  <c r="X5" i="3"/>
  <c r="Q5" i="3"/>
  <c r="J5" i="3"/>
  <c r="C5" i="3"/>
  <c r="AE4" i="3"/>
  <c r="X4" i="3"/>
  <c r="Q4" i="3"/>
  <c r="J4" i="3"/>
  <c r="C4" i="3"/>
  <c r="AE3" i="3"/>
  <c r="AH43" i="3" s="1"/>
  <c r="AI43" i="3" s="1"/>
  <c r="X3" i="3"/>
  <c r="AA48" i="3" s="1"/>
  <c r="AB48" i="3" s="1"/>
  <c r="Q3" i="3"/>
  <c r="T45" i="3" s="1"/>
  <c r="U45" i="3" s="1"/>
  <c r="J3" i="3"/>
  <c r="M42" i="3" s="1"/>
  <c r="N42" i="3" s="1"/>
  <c r="C3" i="3"/>
  <c r="F51" i="3" s="1"/>
  <c r="G51" i="3" s="1"/>
  <c r="AE2" i="3"/>
  <c r="X2" i="3"/>
  <c r="Q2" i="3"/>
  <c r="J2" i="3"/>
  <c r="C2" i="3"/>
  <c r="D182" i="2"/>
  <c r="D181" i="2"/>
  <c r="D180" i="2"/>
  <c r="D179" i="2"/>
  <c r="D178" i="2"/>
  <c r="D177" i="2"/>
  <c r="D176" i="2"/>
  <c r="D175" i="2"/>
  <c r="D174" i="2"/>
  <c r="I173" i="2"/>
  <c r="D173" i="2"/>
  <c r="N172" i="2"/>
  <c r="I172" i="2"/>
  <c r="D172" i="2"/>
  <c r="N171" i="2"/>
  <c r="I171" i="2"/>
  <c r="D171" i="2"/>
  <c r="N170" i="2"/>
  <c r="I170" i="2"/>
  <c r="D170" i="2"/>
  <c r="X169" i="2"/>
  <c r="N169" i="2"/>
  <c r="I169" i="2"/>
  <c r="D169" i="2"/>
  <c r="X168" i="2"/>
  <c r="N168" i="2"/>
  <c r="I168" i="2"/>
  <c r="D168" i="2"/>
  <c r="X167" i="2"/>
  <c r="N167" i="2"/>
  <c r="I167" i="2"/>
  <c r="D167" i="2"/>
  <c r="X166" i="2"/>
  <c r="N166" i="2"/>
  <c r="I166" i="2"/>
  <c r="D166" i="2"/>
  <c r="X165" i="2"/>
  <c r="S165" i="2"/>
  <c r="N165" i="2"/>
  <c r="I165" i="2"/>
  <c r="D165" i="2"/>
  <c r="X164" i="2"/>
  <c r="S164" i="2"/>
  <c r="N164" i="2"/>
  <c r="I164" i="2"/>
  <c r="D164" i="2"/>
  <c r="X163" i="2"/>
  <c r="S163" i="2"/>
  <c r="N163" i="2"/>
  <c r="I163" i="2"/>
  <c r="D163" i="2"/>
  <c r="X162" i="2"/>
  <c r="S162" i="2"/>
  <c r="N162" i="2"/>
  <c r="I162" i="2"/>
  <c r="D162" i="2"/>
  <c r="X161" i="2"/>
  <c r="S161" i="2"/>
  <c r="N161" i="2"/>
  <c r="I161" i="2"/>
  <c r="D161" i="2"/>
  <c r="X160" i="2"/>
  <c r="S160" i="2"/>
  <c r="N160" i="2"/>
  <c r="I160" i="2"/>
  <c r="D160" i="2"/>
  <c r="X159" i="2"/>
  <c r="S159" i="2"/>
  <c r="N159" i="2"/>
  <c r="I159" i="2"/>
  <c r="D159" i="2"/>
  <c r="X158" i="2"/>
  <c r="S158" i="2"/>
  <c r="N158" i="2"/>
  <c r="I158" i="2"/>
  <c r="D158" i="2"/>
  <c r="X157" i="2"/>
  <c r="S157" i="2"/>
  <c r="N157" i="2"/>
  <c r="I157" i="2"/>
  <c r="D157" i="2"/>
  <c r="X156" i="2"/>
  <c r="S156" i="2"/>
  <c r="N156" i="2"/>
  <c r="I156" i="2"/>
  <c r="D156" i="2"/>
  <c r="X155" i="2"/>
  <c r="S155" i="2"/>
  <c r="N155" i="2"/>
  <c r="I155" i="2"/>
  <c r="D155" i="2"/>
  <c r="X154" i="2"/>
  <c r="S154" i="2"/>
  <c r="N154" i="2"/>
  <c r="I154" i="2"/>
  <c r="D154" i="2"/>
  <c r="X153" i="2"/>
  <c r="S153" i="2"/>
  <c r="N153" i="2"/>
  <c r="I153" i="2"/>
  <c r="D153" i="2"/>
  <c r="X152" i="2"/>
  <c r="S152" i="2"/>
  <c r="N152" i="2"/>
  <c r="I152" i="2"/>
  <c r="D152" i="2"/>
  <c r="X151" i="2"/>
  <c r="S151" i="2"/>
  <c r="N151" i="2"/>
  <c r="I151" i="2"/>
  <c r="D151" i="2"/>
  <c r="X150" i="2"/>
  <c r="S150" i="2"/>
  <c r="N150" i="2"/>
  <c r="I150" i="2"/>
  <c r="D150" i="2"/>
  <c r="X149" i="2"/>
  <c r="S149" i="2"/>
  <c r="N149" i="2"/>
  <c r="I149" i="2"/>
  <c r="D149" i="2"/>
  <c r="X148" i="2"/>
  <c r="S148" i="2"/>
  <c r="N148" i="2"/>
  <c r="I148" i="2"/>
  <c r="D148" i="2"/>
  <c r="X147" i="2"/>
  <c r="S147" i="2"/>
  <c r="N147" i="2"/>
  <c r="I147" i="2"/>
  <c r="D147" i="2"/>
  <c r="X146" i="2"/>
  <c r="S146" i="2"/>
  <c r="N146" i="2"/>
  <c r="I146" i="2"/>
  <c r="D146" i="2"/>
  <c r="X145" i="2"/>
  <c r="S145" i="2"/>
  <c r="N145" i="2"/>
  <c r="I145" i="2"/>
  <c r="D145" i="2"/>
  <c r="X144" i="2"/>
  <c r="S144" i="2"/>
  <c r="N144" i="2"/>
  <c r="I144" i="2"/>
  <c r="D144" i="2"/>
  <c r="X143" i="2"/>
  <c r="S143" i="2"/>
  <c r="N143" i="2"/>
  <c r="I143" i="2"/>
  <c r="D143" i="2"/>
  <c r="X142" i="2"/>
  <c r="S142" i="2"/>
  <c r="N142" i="2"/>
  <c r="I142" i="2"/>
  <c r="D142" i="2"/>
  <c r="X141" i="2"/>
  <c r="S141" i="2"/>
  <c r="N141" i="2"/>
  <c r="I141" i="2"/>
  <c r="D141" i="2"/>
  <c r="X140" i="2"/>
  <c r="S140" i="2"/>
  <c r="N140" i="2"/>
  <c r="I140" i="2"/>
  <c r="D140" i="2"/>
  <c r="X139" i="2"/>
  <c r="S139" i="2"/>
  <c r="N139" i="2"/>
  <c r="I139" i="2"/>
  <c r="D139" i="2"/>
  <c r="X138" i="2"/>
  <c r="S138" i="2"/>
  <c r="N138" i="2"/>
  <c r="I138" i="2"/>
  <c r="D138" i="2"/>
  <c r="X137" i="2"/>
  <c r="S137" i="2"/>
  <c r="N137" i="2"/>
  <c r="I137" i="2"/>
  <c r="D137" i="2"/>
  <c r="X136" i="2"/>
  <c r="S136" i="2"/>
  <c r="N136" i="2"/>
  <c r="I136" i="2"/>
  <c r="D136" i="2"/>
  <c r="X135" i="2"/>
  <c r="S135" i="2"/>
  <c r="N135" i="2"/>
  <c r="I135" i="2"/>
  <c r="D135" i="2"/>
  <c r="X134" i="2"/>
  <c r="S134" i="2"/>
  <c r="N134" i="2"/>
  <c r="I134" i="2"/>
  <c r="D134" i="2"/>
  <c r="X133" i="2"/>
  <c r="S133" i="2"/>
  <c r="N133" i="2"/>
  <c r="I133" i="2"/>
  <c r="D133" i="2"/>
  <c r="X132" i="2"/>
  <c r="S132" i="2"/>
  <c r="N132" i="2"/>
  <c r="I132" i="2"/>
  <c r="D132" i="2"/>
  <c r="X131" i="2"/>
  <c r="S131" i="2"/>
  <c r="N131" i="2"/>
  <c r="I131" i="2"/>
  <c r="D131" i="2"/>
  <c r="X130" i="2"/>
  <c r="S130" i="2"/>
  <c r="N130" i="2"/>
  <c r="I130" i="2"/>
  <c r="D130" i="2"/>
  <c r="X129" i="2"/>
  <c r="S129" i="2"/>
  <c r="N129" i="2"/>
  <c r="I129" i="2"/>
  <c r="D129" i="2"/>
  <c r="X128" i="2"/>
  <c r="S128" i="2"/>
  <c r="N128" i="2"/>
  <c r="I128" i="2"/>
  <c r="D128" i="2"/>
  <c r="X127" i="2"/>
  <c r="S127" i="2"/>
  <c r="N127" i="2"/>
  <c r="I127" i="2"/>
  <c r="D127" i="2"/>
  <c r="X126" i="2"/>
  <c r="S126" i="2"/>
  <c r="N126" i="2"/>
  <c r="I126" i="2"/>
  <c r="D126" i="2"/>
  <c r="X125" i="2"/>
  <c r="S125" i="2"/>
  <c r="N125" i="2"/>
  <c r="I125" i="2"/>
  <c r="D125" i="2"/>
  <c r="X124" i="2"/>
  <c r="S124" i="2"/>
  <c r="N124" i="2"/>
  <c r="I124" i="2"/>
  <c r="D124" i="2"/>
  <c r="X123" i="2"/>
  <c r="S123" i="2"/>
  <c r="N123" i="2"/>
  <c r="I123" i="2"/>
  <c r="D123" i="2"/>
  <c r="X122" i="2"/>
  <c r="S122" i="2"/>
  <c r="N122" i="2"/>
  <c r="I122" i="2"/>
  <c r="D122" i="2"/>
  <c r="X121" i="2"/>
  <c r="S121" i="2"/>
  <c r="N121" i="2"/>
  <c r="I121" i="2"/>
  <c r="D121" i="2"/>
  <c r="X120" i="2"/>
  <c r="S120" i="2"/>
  <c r="N120" i="2"/>
  <c r="I120" i="2"/>
  <c r="D120" i="2"/>
  <c r="X119" i="2"/>
  <c r="S119" i="2"/>
  <c r="N119" i="2"/>
  <c r="I119" i="2"/>
  <c r="D119" i="2"/>
  <c r="X118" i="2"/>
  <c r="S118" i="2"/>
  <c r="N118" i="2"/>
  <c r="I118" i="2"/>
  <c r="D118" i="2"/>
  <c r="X117" i="2"/>
  <c r="S117" i="2"/>
  <c r="N117" i="2"/>
  <c r="I117" i="2"/>
  <c r="D117" i="2"/>
  <c r="X116" i="2"/>
  <c r="S116" i="2"/>
  <c r="N116" i="2"/>
  <c r="I116" i="2"/>
  <c r="D116" i="2"/>
  <c r="X115" i="2"/>
  <c r="S115" i="2"/>
  <c r="N115" i="2"/>
  <c r="I115" i="2"/>
  <c r="D115" i="2"/>
  <c r="X114" i="2"/>
  <c r="S114" i="2"/>
  <c r="N114" i="2"/>
  <c r="I114" i="2"/>
  <c r="D114" i="2"/>
  <c r="X113" i="2"/>
  <c r="S113" i="2"/>
  <c r="N113" i="2"/>
  <c r="I113" i="2"/>
  <c r="D113" i="2"/>
  <c r="X112" i="2"/>
  <c r="S112" i="2"/>
  <c r="N112" i="2"/>
  <c r="I112" i="2"/>
  <c r="D112" i="2"/>
  <c r="X111" i="2"/>
  <c r="S111" i="2"/>
  <c r="N111" i="2"/>
  <c r="I111" i="2"/>
  <c r="D111" i="2"/>
  <c r="X110" i="2"/>
  <c r="S110" i="2"/>
  <c r="N110" i="2"/>
  <c r="I110" i="2"/>
  <c r="D110" i="2"/>
  <c r="X109" i="2"/>
  <c r="S109" i="2"/>
  <c r="N109" i="2"/>
  <c r="I109" i="2"/>
  <c r="D109" i="2"/>
  <c r="X108" i="2"/>
  <c r="S108" i="2"/>
  <c r="N108" i="2"/>
  <c r="I108" i="2"/>
  <c r="D108" i="2"/>
  <c r="X107" i="2"/>
  <c r="S107" i="2"/>
  <c r="N107" i="2"/>
  <c r="I107" i="2"/>
  <c r="D107" i="2"/>
  <c r="X106" i="2"/>
  <c r="S106" i="2"/>
  <c r="N106" i="2"/>
  <c r="I106" i="2"/>
  <c r="D106" i="2"/>
  <c r="X105" i="2"/>
  <c r="S105" i="2"/>
  <c r="N105" i="2"/>
  <c r="I105" i="2"/>
  <c r="D105" i="2"/>
  <c r="X104" i="2"/>
  <c r="S104" i="2"/>
  <c r="N104" i="2"/>
  <c r="I104" i="2"/>
  <c r="D104" i="2"/>
  <c r="X103" i="2"/>
  <c r="S103" i="2"/>
  <c r="N103" i="2"/>
  <c r="I103" i="2"/>
  <c r="D103" i="2"/>
  <c r="X102" i="2"/>
  <c r="S102" i="2"/>
  <c r="N102" i="2"/>
  <c r="I102" i="2"/>
  <c r="D102" i="2"/>
  <c r="X101" i="2"/>
  <c r="S101" i="2"/>
  <c r="N101" i="2"/>
  <c r="I101" i="2"/>
  <c r="D101" i="2"/>
  <c r="X100" i="2"/>
  <c r="S100" i="2"/>
  <c r="N100" i="2"/>
  <c r="I100" i="2"/>
  <c r="D100" i="2"/>
  <c r="X99" i="2"/>
  <c r="S99" i="2"/>
  <c r="N99" i="2"/>
  <c r="I99" i="2"/>
  <c r="D99" i="2"/>
  <c r="X98" i="2"/>
  <c r="S98" i="2"/>
  <c r="N98" i="2"/>
  <c r="I98" i="2"/>
  <c r="D98" i="2"/>
  <c r="X97" i="2"/>
  <c r="S97" i="2"/>
  <c r="N97" i="2"/>
  <c r="I97" i="2"/>
  <c r="D97" i="2"/>
  <c r="X96" i="2"/>
  <c r="S96" i="2"/>
  <c r="N96" i="2"/>
  <c r="I96" i="2"/>
  <c r="D96" i="2"/>
  <c r="X95" i="2"/>
  <c r="S95" i="2"/>
  <c r="N95" i="2"/>
  <c r="I95" i="2"/>
  <c r="D95" i="2"/>
  <c r="X94" i="2"/>
  <c r="S94" i="2"/>
  <c r="N94" i="2"/>
  <c r="I94" i="2"/>
  <c r="D94" i="2"/>
  <c r="X93" i="2"/>
  <c r="S93" i="2"/>
  <c r="N93" i="2"/>
  <c r="I93" i="2"/>
  <c r="D93" i="2"/>
  <c r="X92" i="2"/>
  <c r="S92" i="2"/>
  <c r="N92" i="2"/>
  <c r="I92" i="2"/>
  <c r="D92" i="2"/>
  <c r="X91" i="2"/>
  <c r="S91" i="2"/>
  <c r="N91" i="2"/>
  <c r="I91" i="2"/>
  <c r="D91" i="2"/>
  <c r="X90" i="2"/>
  <c r="S90" i="2"/>
  <c r="N90" i="2"/>
  <c r="I90" i="2"/>
  <c r="D90" i="2"/>
  <c r="X89" i="2"/>
  <c r="S89" i="2"/>
  <c r="N89" i="2"/>
  <c r="I89" i="2"/>
  <c r="D89" i="2"/>
  <c r="X88" i="2"/>
  <c r="S88" i="2"/>
  <c r="N88" i="2"/>
  <c r="I88" i="2"/>
  <c r="D88" i="2"/>
  <c r="X87" i="2"/>
  <c r="S87" i="2"/>
  <c r="N87" i="2"/>
  <c r="I87" i="2"/>
  <c r="D87" i="2"/>
  <c r="X86" i="2"/>
  <c r="S86" i="2"/>
  <c r="N86" i="2"/>
  <c r="I86" i="2"/>
  <c r="D86" i="2"/>
  <c r="X85" i="2"/>
  <c r="S85" i="2"/>
  <c r="N85" i="2"/>
  <c r="I85" i="2"/>
  <c r="D85" i="2"/>
  <c r="X84" i="2"/>
  <c r="S84" i="2"/>
  <c r="N84" i="2"/>
  <c r="I84" i="2"/>
  <c r="D84" i="2"/>
  <c r="X83" i="2"/>
  <c r="S83" i="2"/>
  <c r="N83" i="2"/>
  <c r="I83" i="2"/>
  <c r="D83" i="2"/>
  <c r="X82" i="2"/>
  <c r="S82" i="2"/>
  <c r="N82" i="2"/>
  <c r="I82" i="2"/>
  <c r="D82" i="2"/>
  <c r="X81" i="2"/>
  <c r="S81" i="2"/>
  <c r="N81" i="2"/>
  <c r="I81" i="2"/>
  <c r="D81" i="2"/>
  <c r="X80" i="2"/>
  <c r="S80" i="2"/>
  <c r="N80" i="2"/>
  <c r="I80" i="2"/>
  <c r="D80" i="2"/>
  <c r="X79" i="2"/>
  <c r="S79" i="2"/>
  <c r="N79" i="2"/>
  <c r="I79" i="2"/>
  <c r="D79" i="2"/>
  <c r="X78" i="2"/>
  <c r="S78" i="2"/>
  <c r="N78" i="2"/>
  <c r="I78" i="2"/>
  <c r="D78" i="2"/>
  <c r="X77" i="2"/>
  <c r="S77" i="2"/>
  <c r="N77" i="2"/>
  <c r="I77" i="2"/>
  <c r="D77" i="2"/>
  <c r="X76" i="2"/>
  <c r="S76" i="2"/>
  <c r="N76" i="2"/>
  <c r="I76" i="2"/>
  <c r="D76" i="2"/>
  <c r="X75" i="2"/>
  <c r="S75" i="2"/>
  <c r="N75" i="2"/>
  <c r="I75" i="2"/>
  <c r="D75" i="2"/>
  <c r="X74" i="2"/>
  <c r="S74" i="2"/>
  <c r="N74" i="2"/>
  <c r="I74" i="2"/>
  <c r="D74" i="2"/>
  <c r="X73" i="2"/>
  <c r="S73" i="2"/>
  <c r="N73" i="2"/>
  <c r="I73" i="2"/>
  <c r="D73" i="2"/>
  <c r="X72" i="2"/>
  <c r="S72" i="2"/>
  <c r="N72" i="2"/>
  <c r="I72" i="2"/>
  <c r="D72" i="2"/>
  <c r="X71" i="2"/>
  <c r="S71" i="2"/>
  <c r="N71" i="2"/>
  <c r="I71" i="2"/>
  <c r="D71" i="2"/>
  <c r="X70" i="2"/>
  <c r="S70" i="2"/>
  <c r="N70" i="2"/>
  <c r="I70" i="2"/>
  <c r="D70" i="2"/>
  <c r="X69" i="2"/>
  <c r="S69" i="2"/>
  <c r="N69" i="2"/>
  <c r="I69" i="2"/>
  <c r="D69" i="2"/>
  <c r="X68" i="2"/>
  <c r="S68" i="2"/>
  <c r="N68" i="2"/>
  <c r="I68" i="2"/>
  <c r="D68" i="2"/>
  <c r="X67" i="2"/>
  <c r="S67" i="2"/>
  <c r="N67" i="2"/>
  <c r="I67" i="2"/>
  <c r="D67" i="2"/>
  <c r="X66" i="2"/>
  <c r="S66" i="2"/>
  <c r="N66" i="2"/>
  <c r="I66" i="2"/>
  <c r="D66" i="2"/>
  <c r="X65" i="2"/>
  <c r="S65" i="2"/>
  <c r="N65" i="2"/>
  <c r="I65" i="2"/>
  <c r="D65" i="2"/>
  <c r="X64" i="2"/>
  <c r="S64" i="2"/>
  <c r="N64" i="2"/>
  <c r="I64" i="2"/>
  <c r="D64" i="2"/>
  <c r="X63" i="2"/>
  <c r="S63" i="2"/>
  <c r="N63" i="2"/>
  <c r="I63" i="2"/>
  <c r="D63" i="2"/>
  <c r="X62" i="2"/>
  <c r="S62" i="2"/>
  <c r="N62" i="2"/>
  <c r="I62" i="2"/>
  <c r="D62" i="2"/>
  <c r="X61" i="2"/>
  <c r="S61" i="2"/>
  <c r="N61" i="2"/>
  <c r="I61" i="2"/>
  <c r="D61" i="2"/>
  <c r="X60" i="2"/>
  <c r="S60" i="2"/>
  <c r="N60" i="2"/>
  <c r="I60" i="2"/>
  <c r="D60" i="2"/>
  <c r="X59" i="2"/>
  <c r="S59" i="2"/>
  <c r="N59" i="2"/>
  <c r="I59" i="2"/>
  <c r="D59" i="2"/>
  <c r="X58" i="2"/>
  <c r="S58" i="2"/>
  <c r="N58" i="2"/>
  <c r="I58" i="2"/>
  <c r="D58" i="2"/>
  <c r="X57" i="2"/>
  <c r="S57" i="2"/>
  <c r="N57" i="2"/>
  <c r="I57" i="2"/>
  <c r="D57" i="2"/>
  <c r="X56" i="2"/>
  <c r="S56" i="2"/>
  <c r="N56" i="2"/>
  <c r="I56" i="2"/>
  <c r="D56" i="2"/>
  <c r="X55" i="2"/>
  <c r="S55" i="2"/>
  <c r="N55" i="2"/>
  <c r="I55" i="2"/>
  <c r="D55" i="2"/>
  <c r="X54" i="2"/>
  <c r="S54" i="2"/>
  <c r="N54" i="2"/>
  <c r="I54" i="2"/>
  <c r="D54" i="2"/>
  <c r="X53" i="2"/>
  <c r="S53" i="2"/>
  <c r="N53" i="2"/>
  <c r="I53" i="2"/>
  <c r="D53" i="2"/>
  <c r="X52" i="2"/>
  <c r="S52" i="2"/>
  <c r="N52" i="2"/>
  <c r="I52" i="2"/>
  <c r="D52" i="2"/>
  <c r="X51" i="2"/>
  <c r="S51" i="2"/>
  <c r="N51" i="2"/>
  <c r="I51" i="2"/>
  <c r="D51" i="2"/>
  <c r="X50" i="2"/>
  <c r="S50" i="2"/>
  <c r="N50" i="2"/>
  <c r="I50" i="2"/>
  <c r="D50" i="2"/>
  <c r="X49" i="2"/>
  <c r="S49" i="2"/>
  <c r="N49" i="2"/>
  <c r="I49" i="2"/>
  <c r="D49" i="2"/>
  <c r="X48" i="2"/>
  <c r="S48" i="2"/>
  <c r="N48" i="2"/>
  <c r="I48" i="2"/>
  <c r="D48" i="2"/>
  <c r="X47" i="2"/>
  <c r="S47" i="2"/>
  <c r="N47" i="2"/>
  <c r="I47" i="2"/>
  <c r="D47" i="2"/>
  <c r="X46" i="2"/>
  <c r="S46" i="2"/>
  <c r="N46" i="2"/>
  <c r="I46" i="2"/>
  <c r="D46" i="2"/>
  <c r="X45" i="2"/>
  <c r="S45" i="2"/>
  <c r="N45" i="2"/>
  <c r="I45" i="2"/>
  <c r="D45" i="2"/>
  <c r="X44" i="2"/>
  <c r="S44" i="2"/>
  <c r="N44" i="2"/>
  <c r="I44" i="2"/>
  <c r="D44" i="2"/>
  <c r="X43" i="2"/>
  <c r="S43" i="2"/>
  <c r="N43" i="2"/>
  <c r="I43" i="2"/>
  <c r="D43" i="2"/>
  <c r="X42" i="2"/>
  <c r="S42" i="2"/>
  <c r="N42" i="2"/>
  <c r="I42" i="2"/>
  <c r="D42" i="2"/>
  <c r="X41" i="2"/>
  <c r="S41" i="2"/>
  <c r="N41" i="2"/>
  <c r="I41" i="2"/>
  <c r="D41" i="2"/>
  <c r="X40" i="2"/>
  <c r="S40" i="2"/>
  <c r="N40" i="2"/>
  <c r="I40" i="2"/>
  <c r="D40" i="2"/>
  <c r="X39" i="2"/>
  <c r="S39" i="2"/>
  <c r="N39" i="2"/>
  <c r="I39" i="2"/>
  <c r="D39" i="2"/>
  <c r="X38" i="2"/>
  <c r="S38" i="2"/>
  <c r="N38" i="2"/>
  <c r="I38" i="2"/>
  <c r="D38" i="2"/>
  <c r="X37" i="2"/>
  <c r="S37" i="2"/>
  <c r="N37" i="2"/>
  <c r="I37" i="2"/>
  <c r="D37" i="2"/>
  <c r="X36" i="2"/>
  <c r="S36" i="2"/>
  <c r="N36" i="2"/>
  <c r="I36" i="2"/>
  <c r="D36" i="2"/>
  <c r="X35" i="2"/>
  <c r="S35" i="2"/>
  <c r="N35" i="2"/>
  <c r="I35" i="2"/>
  <c r="D35" i="2"/>
  <c r="X34" i="2"/>
  <c r="S34" i="2"/>
  <c r="N34" i="2"/>
  <c r="I34" i="2"/>
  <c r="D34" i="2"/>
  <c r="X33" i="2"/>
  <c r="S33" i="2"/>
  <c r="N33" i="2"/>
  <c r="I33" i="2"/>
  <c r="D33" i="2"/>
  <c r="X32" i="2"/>
  <c r="S32" i="2"/>
  <c r="N32" i="2"/>
  <c r="I32" i="2"/>
  <c r="D32" i="2"/>
  <c r="X31" i="2"/>
  <c r="S31" i="2"/>
  <c r="N31" i="2"/>
  <c r="I31" i="2"/>
  <c r="D31" i="2"/>
  <c r="X30" i="2"/>
  <c r="S30" i="2"/>
  <c r="N30" i="2"/>
  <c r="I30" i="2"/>
  <c r="D30" i="2"/>
  <c r="X29" i="2"/>
  <c r="S29" i="2"/>
  <c r="N29" i="2"/>
  <c r="I29" i="2"/>
  <c r="D29" i="2"/>
  <c r="X28" i="2"/>
  <c r="S28" i="2"/>
  <c r="N28" i="2"/>
  <c r="I28" i="2"/>
  <c r="D28" i="2"/>
  <c r="X27" i="2"/>
  <c r="S27" i="2"/>
  <c r="N27" i="2"/>
  <c r="I27" i="2"/>
  <c r="D27" i="2"/>
  <c r="X26" i="2"/>
  <c r="S26" i="2"/>
  <c r="N26" i="2"/>
  <c r="I26" i="2"/>
  <c r="D26" i="2"/>
  <c r="X25" i="2"/>
  <c r="S25" i="2"/>
  <c r="N25" i="2"/>
  <c r="I25" i="2"/>
  <c r="D25" i="2"/>
  <c r="X24" i="2"/>
  <c r="S24" i="2"/>
  <c r="N24" i="2"/>
  <c r="I24" i="2"/>
  <c r="D24" i="2"/>
  <c r="X23" i="2"/>
  <c r="S23" i="2"/>
  <c r="N23" i="2"/>
  <c r="I23" i="2"/>
  <c r="D23" i="2"/>
  <c r="X22" i="2"/>
  <c r="S22" i="2"/>
  <c r="N22" i="2"/>
  <c r="I22" i="2"/>
  <c r="D22" i="2"/>
  <c r="X21" i="2"/>
  <c r="S21" i="2"/>
  <c r="N21" i="2"/>
  <c r="I21" i="2"/>
  <c r="D21" i="2"/>
  <c r="X20" i="2"/>
  <c r="S20" i="2"/>
  <c r="N20" i="2"/>
  <c r="I20" i="2"/>
  <c r="D20" i="2"/>
  <c r="X19" i="2"/>
  <c r="S19" i="2"/>
  <c r="N19" i="2"/>
  <c r="I19" i="2"/>
  <c r="D19" i="2"/>
  <c r="X18" i="2"/>
  <c r="S18" i="2"/>
  <c r="N18" i="2"/>
  <c r="I18" i="2"/>
  <c r="D18" i="2"/>
  <c r="X17" i="2"/>
  <c r="S17" i="2"/>
  <c r="N17" i="2"/>
  <c r="I17" i="2"/>
  <c r="D17" i="2"/>
  <c r="X16" i="2"/>
  <c r="S16" i="2"/>
  <c r="N16" i="2"/>
  <c r="I16" i="2"/>
  <c r="D16" i="2"/>
  <c r="X15" i="2"/>
  <c r="S15" i="2"/>
  <c r="N15" i="2"/>
  <c r="I15" i="2"/>
  <c r="D15" i="2"/>
  <c r="V12" i="2"/>
  <c r="Q12" i="2"/>
  <c r="L12" i="2"/>
  <c r="G12" i="2"/>
  <c r="B12" i="2"/>
  <c r="V11" i="2"/>
  <c r="Q11" i="2"/>
  <c r="L11" i="2"/>
  <c r="G11" i="2"/>
  <c r="B11" i="2"/>
  <c r="V10" i="2"/>
  <c r="Q10" i="2"/>
  <c r="L10" i="2"/>
  <c r="G10" i="2"/>
  <c r="B10" i="2"/>
  <c r="V9" i="2"/>
  <c r="Q9" i="2"/>
  <c r="L9" i="2"/>
  <c r="G9" i="2"/>
  <c r="B9" i="2"/>
  <c r="V8" i="2"/>
  <c r="Q8" i="2"/>
  <c r="L8" i="2"/>
  <c r="G8" i="2"/>
  <c r="B8" i="2"/>
  <c r="V6" i="2"/>
  <c r="Q6" i="2"/>
  <c r="L6" i="2"/>
  <c r="G6" i="2"/>
  <c r="B6" i="2"/>
  <c r="V5" i="2"/>
  <c r="Q5" i="2"/>
  <c r="L5" i="2"/>
  <c r="G5" i="2"/>
  <c r="B5" i="2"/>
  <c r="V4" i="2"/>
  <c r="Q4" i="2"/>
  <c r="L4" i="2"/>
  <c r="G4" i="2"/>
  <c r="B4" i="2"/>
  <c r="V3" i="2"/>
  <c r="Q3" i="2"/>
  <c r="L3" i="2"/>
  <c r="G3" i="2"/>
  <c r="B3" i="2"/>
  <c r="F12" i="4" l="1"/>
  <c r="AL57" i="4" s="1"/>
  <c r="F9" i="4"/>
  <c r="N66" i="4" s="1"/>
  <c r="F22" i="4"/>
  <c r="D81" i="4"/>
  <c r="D85" i="4"/>
  <c r="C80" i="4"/>
  <c r="F85" i="4"/>
  <c r="D6" i="4"/>
  <c r="F10" i="4"/>
  <c r="V63" i="4" s="1"/>
  <c r="C22" i="4"/>
  <c r="E76" i="4"/>
  <c r="D83" i="4"/>
  <c r="D79" i="4"/>
  <c r="F5" i="4"/>
  <c r="E9" i="4"/>
  <c r="M59" i="4" s="1"/>
  <c r="C12" i="4"/>
  <c r="F19" i="4"/>
  <c r="AR42" i="4"/>
  <c r="C76" i="4"/>
  <c r="AS43" i="4"/>
  <c r="E22" i="4"/>
  <c r="G82" i="4"/>
  <c r="F77" i="4"/>
  <c r="F20" i="4"/>
  <c r="D21" i="4"/>
  <c r="F4" i="4"/>
  <c r="G21" i="4"/>
  <c r="C20" i="4"/>
  <c r="C4" i="4"/>
  <c r="F6" i="4"/>
  <c r="E75" i="4"/>
  <c r="AT43" i="4"/>
  <c r="AL56" i="4"/>
  <c r="E80" i="4"/>
  <c r="C83" i="4"/>
  <c r="E83" i="4"/>
  <c r="D4" i="4"/>
  <c r="C7" i="4"/>
  <c r="C21" i="4"/>
  <c r="F75" i="4"/>
  <c r="AU43" i="4"/>
  <c r="D84" i="4"/>
  <c r="E4" i="4"/>
  <c r="F7" i="4"/>
  <c r="C11" i="4"/>
  <c r="AA64" i="4" s="1"/>
  <c r="F21" i="4"/>
  <c r="G80" i="4"/>
  <c r="D86" i="4"/>
  <c r="E85" i="4"/>
  <c r="C5" i="4"/>
  <c r="F11" i="4"/>
  <c r="AD56" i="4" s="1"/>
  <c r="E78" i="4"/>
  <c r="G78" i="4"/>
  <c r="E82" i="4"/>
  <c r="E5" i="4"/>
  <c r="C9" i="4"/>
  <c r="K57" i="4" s="1"/>
  <c r="C19" i="4"/>
  <c r="AS42" i="4"/>
  <c r="G6" i="4"/>
  <c r="F82" i="4"/>
  <c r="G83" i="4"/>
  <c r="C84" i="4"/>
  <c r="C85" i="4"/>
  <c r="D77" i="4"/>
  <c r="F81" i="4"/>
  <c r="G10" i="4"/>
  <c r="W59" i="4" s="1"/>
  <c r="G4" i="4"/>
  <c r="M62" i="4"/>
  <c r="M56" i="4"/>
  <c r="M61" i="4"/>
  <c r="E11" i="4"/>
  <c r="AC57" i="4" s="1"/>
  <c r="E19" i="4"/>
  <c r="E21" i="4"/>
  <c r="G77" i="4"/>
  <c r="AI60" i="4"/>
  <c r="V64" i="4"/>
  <c r="AD57" i="4"/>
  <c r="C10" i="4"/>
  <c r="S56" i="4" s="1"/>
  <c r="G11" i="4"/>
  <c r="AE65" i="4" s="1"/>
  <c r="AI61" i="4"/>
  <c r="AI59" i="4"/>
  <c r="AI66" i="4"/>
  <c r="AI64" i="4"/>
  <c r="AI58" i="4"/>
  <c r="G19" i="4"/>
  <c r="V58" i="4"/>
  <c r="C79" i="4"/>
  <c r="V62" i="4"/>
  <c r="AI63" i="4"/>
  <c r="N65" i="4"/>
  <c r="N59" i="4"/>
  <c r="N55" i="4"/>
  <c r="E6" i="4"/>
  <c r="D7" i="4"/>
  <c r="D10" i="4"/>
  <c r="T58" i="4" s="1"/>
  <c r="D12" i="4"/>
  <c r="AJ60" i="4" s="1"/>
  <c r="D20" i="4"/>
  <c r="D22" i="4"/>
  <c r="G75" i="4"/>
  <c r="F80" i="4"/>
  <c r="AI62" i="4"/>
  <c r="N63" i="4"/>
  <c r="G85" i="4"/>
  <c r="V66" i="4"/>
  <c r="D76" i="4"/>
  <c r="D80" i="4"/>
  <c r="G81" i="4"/>
  <c r="G5" i="4"/>
  <c r="G9" i="4"/>
  <c r="O57" i="4" s="1"/>
  <c r="E7" i="4"/>
  <c r="E10" i="4"/>
  <c r="U63" i="4" s="1"/>
  <c r="E12" i="4"/>
  <c r="AK55" i="4" s="1"/>
  <c r="E20" i="4"/>
  <c r="C77" i="4"/>
  <c r="M57" i="4"/>
  <c r="AI57" i="4"/>
  <c r="D78" i="4"/>
  <c r="D82" i="4"/>
  <c r="N62" i="4"/>
  <c r="F84" i="4"/>
  <c r="AL65" i="4"/>
  <c r="AL63" i="4"/>
  <c r="AL61" i="4"/>
  <c r="AL59" i="4"/>
  <c r="C81" i="4"/>
  <c r="V59" i="4"/>
  <c r="AA62" i="4"/>
  <c r="G20" i="4"/>
  <c r="G22" i="4"/>
  <c r="AI56" i="4"/>
  <c r="E77" i="4"/>
  <c r="G79" i="4"/>
  <c r="AL62" i="4"/>
  <c r="T64" i="4"/>
  <c r="AK66" i="4"/>
  <c r="G7" i="4"/>
  <c r="G12" i="4"/>
  <c r="AM56" i="4" s="1"/>
  <c r="D5" i="4"/>
  <c r="D9" i="4"/>
  <c r="L62" i="4" s="1"/>
  <c r="D11" i="4"/>
  <c r="AB64" i="4" s="1"/>
  <c r="D19" i="4"/>
  <c r="AQ42" i="4"/>
  <c r="C75" i="4"/>
  <c r="M55" i="4"/>
  <c r="W55" i="4"/>
  <c r="AI55" i="4"/>
  <c r="E81" i="4"/>
  <c r="AI65" i="4"/>
  <c r="F86" i="4"/>
  <c r="AL66" i="4"/>
  <c r="AT42" i="4"/>
  <c r="AQ43" i="4"/>
  <c r="E84" i="4"/>
  <c r="AU42" i="4"/>
  <c r="AR43" i="4"/>
  <c r="F76" i="4"/>
  <c r="N57" i="4"/>
  <c r="G76" i="4"/>
  <c r="C78" i="4"/>
  <c r="E79" i="4"/>
  <c r="C82" i="4"/>
  <c r="G84" i="4"/>
  <c r="C86" i="4"/>
  <c r="F79" i="4"/>
  <c r="F78" i="4"/>
  <c r="T12" i="3"/>
  <c r="F14" i="3"/>
  <c r="G14" i="3" s="1"/>
  <c r="AA15" i="3"/>
  <c r="AB15" i="3" s="1"/>
  <c r="M17" i="3"/>
  <c r="N17" i="3" s="1"/>
  <c r="AH18" i="3"/>
  <c r="AI18" i="3" s="1"/>
  <c r="T20" i="3"/>
  <c r="U20" i="3" s="1"/>
  <c r="F22" i="3"/>
  <c r="G22" i="3" s="1"/>
  <c r="AA23" i="3"/>
  <c r="AB23" i="3" s="1"/>
  <c r="M25" i="3"/>
  <c r="N25" i="3" s="1"/>
  <c r="AH26" i="3"/>
  <c r="AI26" i="3" s="1"/>
  <c r="T28" i="3"/>
  <c r="U28" i="3" s="1"/>
  <c r="F30" i="3"/>
  <c r="G30" i="3" s="1"/>
  <c r="AA31" i="3"/>
  <c r="AB31" i="3" s="1"/>
  <c r="M33" i="3"/>
  <c r="N33" i="3" s="1"/>
  <c r="AH34" i="3"/>
  <c r="AI34" i="3" s="1"/>
  <c r="T36" i="3"/>
  <c r="U36" i="3" s="1"/>
  <c r="F38" i="3"/>
  <c r="G38" i="3" s="1"/>
  <c r="AA39" i="3"/>
  <c r="AB39" i="3" s="1"/>
  <c r="M41" i="3"/>
  <c r="N41" i="3" s="1"/>
  <c r="AH42" i="3"/>
  <c r="AI42" i="3" s="1"/>
  <c r="T44" i="3"/>
  <c r="U44" i="3" s="1"/>
  <c r="F46" i="3"/>
  <c r="G46" i="3" s="1"/>
  <c r="AA47" i="3"/>
  <c r="AB47" i="3" s="1"/>
  <c r="T49" i="3"/>
  <c r="U49" i="3" s="1"/>
  <c r="T52" i="3"/>
  <c r="U52" i="3" s="1"/>
  <c r="F13" i="3"/>
  <c r="G13" i="3" s="1"/>
  <c r="AA14" i="3"/>
  <c r="AB14" i="3" s="1"/>
  <c r="M16" i="3"/>
  <c r="N16" i="3" s="1"/>
  <c r="AH17" i="3"/>
  <c r="AI17" i="3" s="1"/>
  <c r="T19" i="3"/>
  <c r="U19" i="3" s="1"/>
  <c r="F21" i="3"/>
  <c r="G21" i="3" s="1"/>
  <c r="AA22" i="3"/>
  <c r="AB22" i="3" s="1"/>
  <c r="M24" i="3"/>
  <c r="N24" i="3" s="1"/>
  <c r="AH25" i="3"/>
  <c r="AI25" i="3" s="1"/>
  <c r="T27" i="3"/>
  <c r="U27" i="3" s="1"/>
  <c r="F29" i="3"/>
  <c r="G29" i="3" s="1"/>
  <c r="AA30" i="3"/>
  <c r="AB30" i="3" s="1"/>
  <c r="M32" i="3"/>
  <c r="N32" i="3" s="1"/>
  <c r="AH33" i="3"/>
  <c r="AI33" i="3" s="1"/>
  <c r="T35" i="3"/>
  <c r="U35" i="3" s="1"/>
  <c r="F37" i="3"/>
  <c r="G37" i="3" s="1"/>
  <c r="AA38" i="3"/>
  <c r="AB38" i="3" s="1"/>
  <c r="M40" i="3"/>
  <c r="N40" i="3" s="1"/>
  <c r="AH41" i="3"/>
  <c r="AI41" i="3" s="1"/>
  <c r="T43" i="3"/>
  <c r="U43" i="3" s="1"/>
  <c r="F45" i="3"/>
  <c r="G45" i="3" s="1"/>
  <c r="AA46" i="3"/>
  <c r="AB46" i="3" s="1"/>
  <c r="M48" i="3"/>
  <c r="N48" i="3" s="1"/>
  <c r="T50" i="3"/>
  <c r="U50" i="3" s="1"/>
  <c r="F12" i="3"/>
  <c r="AA13" i="3"/>
  <c r="AB13" i="3" s="1"/>
  <c r="M15" i="3"/>
  <c r="N15" i="3" s="1"/>
  <c r="AH16" i="3"/>
  <c r="AI16" i="3" s="1"/>
  <c r="T18" i="3"/>
  <c r="U18" i="3" s="1"/>
  <c r="F20" i="3"/>
  <c r="G20" i="3" s="1"/>
  <c r="AA21" i="3"/>
  <c r="AB21" i="3" s="1"/>
  <c r="M23" i="3"/>
  <c r="N23" i="3" s="1"/>
  <c r="AH24" i="3"/>
  <c r="AI24" i="3" s="1"/>
  <c r="T26" i="3"/>
  <c r="U26" i="3" s="1"/>
  <c r="F28" i="3"/>
  <c r="G28" i="3" s="1"/>
  <c r="AA29" i="3"/>
  <c r="AB29" i="3" s="1"/>
  <c r="M31" i="3"/>
  <c r="N31" i="3" s="1"/>
  <c r="AH32" i="3"/>
  <c r="AI32" i="3" s="1"/>
  <c r="T34" i="3"/>
  <c r="U34" i="3" s="1"/>
  <c r="F36" i="3"/>
  <c r="G36" i="3" s="1"/>
  <c r="AA37" i="3"/>
  <c r="AB37" i="3" s="1"/>
  <c r="M39" i="3"/>
  <c r="N39" i="3" s="1"/>
  <c r="AH40" i="3"/>
  <c r="AI40" i="3" s="1"/>
  <c r="T42" i="3"/>
  <c r="U42" i="3" s="1"/>
  <c r="F44" i="3"/>
  <c r="G44" i="3" s="1"/>
  <c r="AA45" i="3"/>
  <c r="AB45" i="3" s="1"/>
  <c r="M47" i="3"/>
  <c r="N47" i="3" s="1"/>
  <c r="AH48" i="3"/>
  <c r="AI48" i="3" s="1"/>
  <c r="T51" i="3"/>
  <c r="U51" i="3" s="1"/>
  <c r="AA12" i="3"/>
  <c r="M14" i="3"/>
  <c r="N14" i="3" s="1"/>
  <c r="AH15" i="3"/>
  <c r="AI15" i="3" s="1"/>
  <c r="T17" i="3"/>
  <c r="U17" i="3" s="1"/>
  <c r="F19" i="3"/>
  <c r="G19" i="3" s="1"/>
  <c r="AA20" i="3"/>
  <c r="AB20" i="3" s="1"/>
  <c r="M22" i="3"/>
  <c r="N22" i="3" s="1"/>
  <c r="AH23" i="3"/>
  <c r="AI23" i="3" s="1"/>
  <c r="T25" i="3"/>
  <c r="U25" i="3" s="1"/>
  <c r="F27" i="3"/>
  <c r="G27" i="3" s="1"/>
  <c r="AA28" i="3"/>
  <c r="AB28" i="3" s="1"/>
  <c r="M30" i="3"/>
  <c r="N30" i="3" s="1"/>
  <c r="AH31" i="3"/>
  <c r="AI31" i="3" s="1"/>
  <c r="T33" i="3"/>
  <c r="U33" i="3" s="1"/>
  <c r="F35" i="3"/>
  <c r="G35" i="3" s="1"/>
  <c r="AA36" i="3"/>
  <c r="AB36" i="3" s="1"/>
  <c r="M38" i="3"/>
  <c r="N38" i="3" s="1"/>
  <c r="AH39" i="3"/>
  <c r="AI39" i="3" s="1"/>
  <c r="T41" i="3"/>
  <c r="U41" i="3" s="1"/>
  <c r="F43" i="3"/>
  <c r="G43" i="3" s="1"/>
  <c r="AA44" i="3"/>
  <c r="AB44" i="3" s="1"/>
  <c r="M46" i="3"/>
  <c r="N46" i="3" s="1"/>
  <c r="AH47" i="3"/>
  <c r="AI47" i="3" s="1"/>
  <c r="AH49" i="3"/>
  <c r="AI49" i="3" s="1"/>
  <c r="F53" i="3"/>
  <c r="G53" i="3" s="1"/>
  <c r="M13" i="3"/>
  <c r="N13" i="3" s="1"/>
  <c r="AH14" i="3"/>
  <c r="AI14" i="3" s="1"/>
  <c r="T16" i="3"/>
  <c r="U16" i="3" s="1"/>
  <c r="F18" i="3"/>
  <c r="G18" i="3" s="1"/>
  <c r="AA19" i="3"/>
  <c r="AB19" i="3" s="1"/>
  <c r="M21" i="3"/>
  <c r="N21" i="3" s="1"/>
  <c r="AH22" i="3"/>
  <c r="AI22" i="3" s="1"/>
  <c r="T24" i="3"/>
  <c r="U24" i="3" s="1"/>
  <c r="F26" i="3"/>
  <c r="G26" i="3" s="1"/>
  <c r="AA27" i="3"/>
  <c r="AB27" i="3" s="1"/>
  <c r="M29" i="3"/>
  <c r="N29" i="3" s="1"/>
  <c r="AH30" i="3"/>
  <c r="AI30" i="3" s="1"/>
  <c r="T32" i="3"/>
  <c r="U32" i="3" s="1"/>
  <c r="F34" i="3"/>
  <c r="G34" i="3" s="1"/>
  <c r="AA35" i="3"/>
  <c r="AB35" i="3" s="1"/>
  <c r="M37" i="3"/>
  <c r="N37" i="3" s="1"/>
  <c r="AH38" i="3"/>
  <c r="AI38" i="3" s="1"/>
  <c r="T40" i="3"/>
  <c r="U40" i="3" s="1"/>
  <c r="F42" i="3"/>
  <c r="G42" i="3" s="1"/>
  <c r="AA43" i="3"/>
  <c r="AB43" i="3" s="1"/>
  <c r="M45" i="3"/>
  <c r="N45" i="3" s="1"/>
  <c r="AH46" i="3"/>
  <c r="AI46" i="3" s="1"/>
  <c r="T48" i="3"/>
  <c r="U48" i="3" s="1"/>
  <c r="AH50" i="3"/>
  <c r="AI50" i="3" s="1"/>
  <c r="M12" i="3"/>
  <c r="AH13" i="3"/>
  <c r="AI13" i="3" s="1"/>
  <c r="T15" i="3"/>
  <c r="U15" i="3" s="1"/>
  <c r="F17" i="3"/>
  <c r="G17" i="3" s="1"/>
  <c r="AA18" i="3"/>
  <c r="AB18" i="3" s="1"/>
  <c r="M20" i="3"/>
  <c r="N20" i="3" s="1"/>
  <c r="AH21" i="3"/>
  <c r="AI21" i="3" s="1"/>
  <c r="T23" i="3"/>
  <c r="U23" i="3" s="1"/>
  <c r="F25" i="3"/>
  <c r="G25" i="3" s="1"/>
  <c r="AA26" i="3"/>
  <c r="AB26" i="3" s="1"/>
  <c r="M28" i="3"/>
  <c r="N28" i="3" s="1"/>
  <c r="AH29" i="3"/>
  <c r="AI29" i="3" s="1"/>
  <c r="T31" i="3"/>
  <c r="U31" i="3" s="1"/>
  <c r="F33" i="3"/>
  <c r="G33" i="3" s="1"/>
  <c r="AA34" i="3"/>
  <c r="AB34" i="3" s="1"/>
  <c r="M36" i="3"/>
  <c r="N36" i="3" s="1"/>
  <c r="AH37" i="3"/>
  <c r="AI37" i="3" s="1"/>
  <c r="T39" i="3"/>
  <c r="U39" i="3" s="1"/>
  <c r="F41" i="3"/>
  <c r="G41" i="3" s="1"/>
  <c r="AA42" i="3"/>
  <c r="AB42" i="3" s="1"/>
  <c r="M44" i="3"/>
  <c r="N44" i="3" s="1"/>
  <c r="AH45" i="3"/>
  <c r="AI45" i="3" s="1"/>
  <c r="T47" i="3"/>
  <c r="U47" i="3" s="1"/>
  <c r="F49" i="3"/>
  <c r="G49" i="3" s="1"/>
  <c r="F52" i="3"/>
  <c r="G52" i="3" s="1"/>
  <c r="AH12" i="3"/>
  <c r="T14" i="3"/>
  <c r="U14" i="3" s="1"/>
  <c r="F16" i="3"/>
  <c r="G16" i="3" s="1"/>
  <c r="AA17" i="3"/>
  <c r="AB17" i="3" s="1"/>
  <c r="M19" i="3"/>
  <c r="N19" i="3" s="1"/>
  <c r="AH20" i="3"/>
  <c r="AI20" i="3" s="1"/>
  <c r="T22" i="3"/>
  <c r="U22" i="3" s="1"/>
  <c r="F24" i="3"/>
  <c r="G24" i="3" s="1"/>
  <c r="AA25" i="3"/>
  <c r="AB25" i="3" s="1"/>
  <c r="M27" i="3"/>
  <c r="N27" i="3" s="1"/>
  <c r="AH28" i="3"/>
  <c r="AI28" i="3" s="1"/>
  <c r="T30" i="3"/>
  <c r="U30" i="3" s="1"/>
  <c r="F32" i="3"/>
  <c r="G32" i="3" s="1"/>
  <c r="AA33" i="3"/>
  <c r="AB33" i="3" s="1"/>
  <c r="M35" i="3"/>
  <c r="N35" i="3" s="1"/>
  <c r="AH36" i="3"/>
  <c r="AI36" i="3" s="1"/>
  <c r="T38" i="3"/>
  <c r="U38" i="3" s="1"/>
  <c r="F40" i="3"/>
  <c r="G40" i="3" s="1"/>
  <c r="AA41" i="3"/>
  <c r="AB41" i="3" s="1"/>
  <c r="M43" i="3"/>
  <c r="N43" i="3" s="1"/>
  <c r="AH44" i="3"/>
  <c r="AI44" i="3" s="1"/>
  <c r="T46" i="3"/>
  <c r="U46" i="3" s="1"/>
  <c r="F48" i="3"/>
  <c r="G48" i="3" s="1"/>
  <c r="F50" i="3"/>
  <c r="G50" i="3" s="1"/>
  <c r="F54" i="3"/>
  <c r="G54" i="3" s="1"/>
  <c r="T13" i="3"/>
  <c r="U13" i="3" s="1"/>
  <c r="F15" i="3"/>
  <c r="G15" i="3" s="1"/>
  <c r="AA16" i="3"/>
  <c r="AB16" i="3" s="1"/>
  <c r="M18" i="3"/>
  <c r="N18" i="3" s="1"/>
  <c r="AH19" i="3"/>
  <c r="AI19" i="3" s="1"/>
  <c r="T21" i="3"/>
  <c r="U21" i="3" s="1"/>
  <c r="F23" i="3"/>
  <c r="G23" i="3" s="1"/>
  <c r="AA24" i="3"/>
  <c r="AB24" i="3" s="1"/>
  <c r="M26" i="3"/>
  <c r="N26" i="3" s="1"/>
  <c r="AH27" i="3"/>
  <c r="AI27" i="3" s="1"/>
  <c r="T29" i="3"/>
  <c r="U29" i="3" s="1"/>
  <c r="F31" i="3"/>
  <c r="G31" i="3" s="1"/>
  <c r="AA32" i="3"/>
  <c r="AB32" i="3" s="1"/>
  <c r="M34" i="3"/>
  <c r="N34" i="3" s="1"/>
  <c r="AH35" i="3"/>
  <c r="AI35" i="3" s="1"/>
  <c r="T37" i="3"/>
  <c r="U37" i="3" s="1"/>
  <c r="F39" i="3"/>
  <c r="G39" i="3" s="1"/>
  <c r="AA40" i="3"/>
  <c r="AB40" i="3" s="1"/>
  <c r="F47" i="3"/>
  <c r="G47" i="3" s="1"/>
  <c r="AK57" i="4" l="1"/>
  <c r="AK62" i="4"/>
  <c r="L59" i="4"/>
  <c r="AK59" i="4"/>
  <c r="AK61" i="4"/>
  <c r="K60" i="4"/>
  <c r="AC65" i="4"/>
  <c r="AC59" i="4"/>
  <c r="K66" i="4"/>
  <c r="AC55" i="4"/>
  <c r="W61" i="4"/>
  <c r="AL60" i="4"/>
  <c r="N56" i="4"/>
  <c r="S62" i="4"/>
  <c r="AL58" i="4"/>
  <c r="F17" i="4" s="1"/>
  <c r="AA59" i="4"/>
  <c r="AB60" i="4"/>
  <c r="AK58" i="4"/>
  <c r="AL64" i="4"/>
  <c r="N64" i="4"/>
  <c r="AL55" i="4"/>
  <c r="N58" i="4"/>
  <c r="T56" i="4"/>
  <c r="AD58" i="4"/>
  <c r="AA60" i="4"/>
  <c r="N60" i="4"/>
  <c r="AA61" i="4"/>
  <c r="S59" i="4"/>
  <c r="W56" i="4"/>
  <c r="K56" i="4"/>
  <c r="M58" i="4"/>
  <c r="O61" i="4"/>
  <c r="K63" i="4"/>
  <c r="AA66" i="4"/>
  <c r="AD60" i="4"/>
  <c r="AJ62" i="4"/>
  <c r="AJ58" i="4"/>
  <c r="AD55" i="4"/>
  <c r="AK64" i="4"/>
  <c r="N61" i="4"/>
  <c r="W63" i="4"/>
  <c r="V57" i="4"/>
  <c r="AK56" i="4"/>
  <c r="M60" i="4"/>
  <c r="AA55" i="4"/>
  <c r="K64" i="4"/>
  <c r="AA63" i="4"/>
  <c r="V56" i="4"/>
  <c r="V65" i="4"/>
  <c r="AD61" i="4"/>
  <c r="K58" i="4"/>
  <c r="W65" i="4"/>
  <c r="AD59" i="4"/>
  <c r="S63" i="4"/>
  <c r="AA57" i="4"/>
  <c r="AA56" i="4"/>
  <c r="K59" i="4"/>
  <c r="K65" i="4"/>
  <c r="W62" i="4"/>
  <c r="AK65" i="4"/>
  <c r="V61" i="4"/>
  <c r="AK60" i="4"/>
  <c r="W60" i="4"/>
  <c r="M66" i="4"/>
  <c r="AA65" i="4"/>
  <c r="W58" i="4"/>
  <c r="V60" i="4"/>
  <c r="AJ66" i="4"/>
  <c r="M64" i="4"/>
  <c r="M63" i="4"/>
  <c r="M65" i="4"/>
  <c r="S58" i="4"/>
  <c r="AA58" i="4"/>
  <c r="S64" i="4"/>
  <c r="W66" i="4"/>
  <c r="S60" i="4"/>
  <c r="W57" i="4"/>
  <c r="V55" i="4"/>
  <c r="AE61" i="4"/>
  <c r="W64" i="4"/>
  <c r="K55" i="4"/>
  <c r="L61" i="4"/>
  <c r="AC63" i="4"/>
  <c r="AD65" i="4"/>
  <c r="AB56" i="4"/>
  <c r="S65" i="4"/>
  <c r="S55" i="4"/>
  <c r="AD66" i="4"/>
  <c r="AC61" i="4"/>
  <c r="AE59" i="4"/>
  <c r="AB62" i="4"/>
  <c r="S61" i="4"/>
  <c r="E29" i="4"/>
  <c r="F29" i="4"/>
  <c r="C29" i="4"/>
  <c r="AK63" i="4"/>
  <c r="L57" i="4"/>
  <c r="AD62" i="4"/>
  <c r="AM57" i="4"/>
  <c r="D33" i="4"/>
  <c r="AD63" i="4"/>
  <c r="L60" i="4"/>
  <c r="AD64" i="4"/>
  <c r="AM59" i="4"/>
  <c r="E33" i="4"/>
  <c r="U65" i="4"/>
  <c r="L56" i="4"/>
  <c r="AM61" i="4"/>
  <c r="AB65" i="4"/>
  <c r="AB61" i="4"/>
  <c r="K62" i="4"/>
  <c r="L66" i="4"/>
  <c r="AM60" i="4"/>
  <c r="AM62" i="4"/>
  <c r="AB66" i="4"/>
  <c r="AM63" i="4"/>
  <c r="AB55" i="4"/>
  <c r="K61" i="4"/>
  <c r="G33" i="4"/>
  <c r="G31" i="4"/>
  <c r="G32" i="4"/>
  <c r="G30" i="4"/>
  <c r="E31" i="4"/>
  <c r="U61" i="4"/>
  <c r="T65" i="4"/>
  <c r="T63" i="4"/>
  <c r="T61" i="4"/>
  <c r="T59" i="4"/>
  <c r="T57" i="4"/>
  <c r="T55" i="4"/>
  <c r="T62" i="4"/>
  <c r="T60" i="4"/>
  <c r="D30" i="4"/>
  <c r="U64" i="4"/>
  <c r="L65" i="4"/>
  <c r="S66" i="4"/>
  <c r="S57" i="4"/>
  <c r="D29" i="4"/>
  <c r="AC66" i="4"/>
  <c r="AC56" i="4"/>
  <c r="AC62" i="4"/>
  <c r="AC58" i="4"/>
  <c r="AC64" i="4"/>
  <c r="AC60" i="4"/>
  <c r="C32" i="4"/>
  <c r="C30" i="4"/>
  <c r="C33" i="4"/>
  <c r="C31" i="4"/>
  <c r="AJ59" i="4"/>
  <c r="AJ65" i="4"/>
  <c r="AJ55" i="4"/>
  <c r="AJ61" i="4"/>
  <c r="AJ57" i="4"/>
  <c r="AJ63" i="4"/>
  <c r="U58" i="4"/>
  <c r="L64" i="4"/>
  <c r="E30" i="4"/>
  <c r="O60" i="4"/>
  <c r="O66" i="4"/>
  <c r="O56" i="4"/>
  <c r="O62" i="4"/>
  <c r="O64" i="4"/>
  <c r="O58" i="4"/>
  <c r="E32" i="4"/>
  <c r="L58" i="4"/>
  <c r="U59" i="4"/>
  <c r="AB58" i="4"/>
  <c r="AB63" i="4"/>
  <c r="AB57" i="4"/>
  <c r="AB59" i="4"/>
  <c r="AE55" i="4"/>
  <c r="T66" i="4"/>
  <c r="AE63" i="4"/>
  <c r="L55" i="4"/>
  <c r="AJ56" i="4"/>
  <c r="AM66" i="4"/>
  <c r="AM64" i="4"/>
  <c r="AM58" i="4"/>
  <c r="AM65" i="4"/>
  <c r="AM55" i="4"/>
  <c r="G29" i="4"/>
  <c r="U55" i="4"/>
  <c r="O63" i="4"/>
  <c r="L63" i="4"/>
  <c r="O55" i="4"/>
  <c r="U66" i="4"/>
  <c r="O59" i="4"/>
  <c r="U57" i="4"/>
  <c r="U62" i="4"/>
  <c r="U60" i="4"/>
  <c r="U56" i="4"/>
  <c r="O65" i="4"/>
  <c r="D31" i="4"/>
  <c r="C17" i="4"/>
  <c r="C27" i="4"/>
  <c r="F33" i="4"/>
  <c r="F31" i="4"/>
  <c r="F30" i="4"/>
  <c r="F32" i="4"/>
  <c r="AJ64" i="4"/>
  <c r="AE57" i="4"/>
  <c r="AE66" i="4"/>
  <c r="AE64" i="4"/>
  <c r="AE62" i="4"/>
  <c r="AE60" i="4"/>
  <c r="AE58" i="4"/>
  <c r="AE56" i="4"/>
  <c r="D32" i="4"/>
  <c r="Q6" i="3"/>
  <c r="U12" i="3"/>
  <c r="C6" i="3"/>
  <c r="G12" i="3"/>
  <c r="N12" i="3"/>
  <c r="J6" i="3"/>
  <c r="AI12" i="3"/>
  <c r="AE6" i="3"/>
  <c r="AB12" i="3"/>
  <c r="X6" i="3"/>
  <c r="C14" i="4" l="1"/>
  <c r="E17" i="4"/>
  <c r="F26" i="4"/>
  <c r="F27" i="4"/>
  <c r="F24" i="4"/>
  <c r="G15" i="4"/>
  <c r="C24" i="4"/>
  <c r="G25" i="4"/>
  <c r="C16" i="4"/>
  <c r="F25" i="4"/>
  <c r="F14" i="4"/>
  <c r="E14" i="4"/>
  <c r="F16" i="4"/>
  <c r="E27" i="4"/>
  <c r="E24" i="4"/>
  <c r="C15" i="4"/>
  <c r="C26" i="4"/>
  <c r="F15" i="4"/>
  <c r="E26" i="4"/>
  <c r="C25" i="4"/>
  <c r="D26" i="4"/>
  <c r="D15" i="4"/>
  <c r="D25" i="4"/>
  <c r="G17" i="4"/>
  <c r="G27" i="4"/>
  <c r="G26" i="4"/>
  <c r="G16" i="4"/>
  <c r="D17" i="4"/>
  <c r="D27" i="4"/>
  <c r="E16" i="4"/>
  <c r="G24" i="4"/>
  <c r="G14" i="4"/>
  <c r="D16" i="4"/>
  <c r="E25" i="4"/>
  <c r="E15" i="4"/>
  <c r="D24" i="4"/>
  <c r="D14" i="4"/>
  <c r="X9" i="3"/>
  <c r="X8" i="3"/>
  <c r="AE8" i="3"/>
  <c r="AE9" i="3"/>
  <c r="J9" i="3"/>
  <c r="J8" i="3"/>
  <c r="C8" i="3"/>
  <c r="C9" i="3"/>
  <c r="Q9" i="3"/>
  <c r="Q8" i="3"/>
</calcChain>
</file>

<file path=xl/sharedStrings.xml><?xml version="1.0" encoding="utf-8"?>
<sst xmlns="http://schemas.openxmlformats.org/spreadsheetml/2006/main" count="246" uniqueCount="43">
  <si>
    <t>SEP</t>
  </si>
  <si>
    <t>Bias</t>
  </si>
  <si>
    <t>R2</t>
  </si>
  <si>
    <t>SLOPE</t>
  </si>
  <si>
    <t>N.</t>
  </si>
  <si>
    <t>AVG</t>
  </si>
  <si>
    <t>DEV.ST</t>
  </si>
  <si>
    <t>MIN</t>
  </si>
  <si>
    <t>MAX</t>
  </si>
  <si>
    <t>ID</t>
  </si>
  <si>
    <t>Lab</t>
  </si>
  <si>
    <t>Pred</t>
  </si>
  <si>
    <t>Err</t>
  </si>
  <si>
    <t>DM</t>
  </si>
  <si>
    <t>N</t>
  </si>
  <si>
    <t>P2O5</t>
  </si>
  <si>
    <t>K2O</t>
  </si>
  <si>
    <t>NH4</t>
  </si>
  <si>
    <t>VALID - REV 921</t>
  </si>
  <si>
    <t xml:space="preserve">SEPC </t>
  </si>
  <si>
    <t>Err% &gt;35%</t>
  </si>
  <si>
    <t>Avg Err%</t>
  </si>
  <si>
    <t>DS - REV921</t>
  </si>
  <si>
    <t>Treatments</t>
  </si>
  <si>
    <t>\</t>
  </si>
  <si>
    <t>SNV</t>
  </si>
  <si>
    <t>WL</t>
  </si>
  <si>
    <t xml:space="preserve">Kernel </t>
  </si>
  <si>
    <t>RBF</t>
  </si>
  <si>
    <t xml:space="preserve">DM </t>
  </si>
  <si>
    <t>SEPC</t>
  </si>
  <si>
    <t>Pred921</t>
  </si>
  <si>
    <t>Pred+Bias</t>
  </si>
  <si>
    <t>Err%</t>
  </si>
  <si>
    <t>SN Master vs. Slave REV 921</t>
  </si>
  <si>
    <t>Sensor</t>
  </si>
  <si>
    <t>BIAS</t>
  </si>
  <si>
    <t>SEP -  MASTER</t>
  </si>
  <si>
    <t>SEPC -  MASTER</t>
  </si>
  <si>
    <t>SEP - AVG.</t>
  </si>
  <si>
    <t>MASTER</t>
  </si>
  <si>
    <t>AVG.</t>
  </si>
  <si>
    <t>REV 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</si>
</sst>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2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vertical="center"/>
    </xf>
    <xf numFmtId="2" fontId="5" fillId="5" borderId="8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2" fontId="5" fillId="5" borderId="9" xfId="0" applyNumberFormat="1" applyFont="1" applyFill="1" applyBorder="1" applyAlignment="1">
      <alignment horizontal="center" vertical="center"/>
    </xf>
    <xf numFmtId="2" fontId="5" fillId="5" borderId="10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9" fontId="5" fillId="5" borderId="8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2" fontId="5" fillId="5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ill="1"/>
    <xf numFmtId="165" fontId="0" fillId="0" borderId="0" xfId="1" applyNumberFormat="1" applyFont="1"/>
    <xf numFmtId="0" fontId="0" fillId="0" borderId="0" xfId="0" applyFont="1" applyFill="1"/>
    <xf numFmtId="0" fontId="0" fillId="0" borderId="0" xfId="0" applyFont="1"/>
    <xf numFmtId="2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8" borderId="0" xfId="0" applyNumberFormat="1" applyFill="1"/>
    <xf numFmtId="0" fontId="0" fillId="8" borderId="0" xfId="0" applyFill="1"/>
    <xf numFmtId="2" fontId="0" fillId="0" borderId="0" xfId="0" applyNumberFormat="1"/>
    <xf numFmtId="0" fontId="2" fillId="6" borderId="13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2" fillId="6" borderId="0" xfId="0" applyFont="1" applyFill="1" applyBorder="1" applyAlignment="1">
      <alignment horizontal="center"/>
    </xf>
  </cellXfs>
  <cellStyles count="2">
    <cellStyle name="Normale" xfId="0" builtinId="0"/>
    <cellStyle name="Percentual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 - Dataset'!$B$14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Dataset'!$B$15:$B$177</c:f>
              <c:numCache>
                <c:formatCode>General</c:formatCode>
                <c:ptCount val="163"/>
                <c:pt idx="0">
                  <c:v>9.35</c:v>
                </c:pt>
                <c:pt idx="1">
                  <c:v>7.4</c:v>
                </c:pt>
                <c:pt idx="2">
                  <c:v>9.1999999999999993</c:v>
                </c:pt>
                <c:pt idx="3">
                  <c:v>7</c:v>
                </c:pt>
                <c:pt idx="4">
                  <c:v>2.9</c:v>
                </c:pt>
                <c:pt idx="5">
                  <c:v>9.8000000000000007</c:v>
                </c:pt>
                <c:pt idx="6">
                  <c:v>8.9</c:v>
                </c:pt>
                <c:pt idx="7">
                  <c:v>3.95</c:v>
                </c:pt>
                <c:pt idx="8">
                  <c:v>14.6</c:v>
                </c:pt>
                <c:pt idx="9">
                  <c:v>11.2</c:v>
                </c:pt>
                <c:pt idx="10">
                  <c:v>15.5</c:v>
                </c:pt>
                <c:pt idx="11">
                  <c:v>10.1</c:v>
                </c:pt>
                <c:pt idx="12">
                  <c:v>7.7</c:v>
                </c:pt>
                <c:pt idx="13">
                  <c:v>4.3</c:v>
                </c:pt>
                <c:pt idx="14">
                  <c:v>5.6</c:v>
                </c:pt>
                <c:pt idx="15">
                  <c:v>8.6999999999999993</c:v>
                </c:pt>
                <c:pt idx="16">
                  <c:v>6</c:v>
                </c:pt>
                <c:pt idx="17">
                  <c:v>4.5</c:v>
                </c:pt>
                <c:pt idx="18">
                  <c:v>6.5</c:v>
                </c:pt>
                <c:pt idx="19">
                  <c:v>11.3</c:v>
                </c:pt>
                <c:pt idx="20">
                  <c:v>8.0500000000000007</c:v>
                </c:pt>
                <c:pt idx="21">
                  <c:v>13.4</c:v>
                </c:pt>
                <c:pt idx="22">
                  <c:v>2.4</c:v>
                </c:pt>
                <c:pt idx="23">
                  <c:v>9.5</c:v>
                </c:pt>
                <c:pt idx="24">
                  <c:v>7.1</c:v>
                </c:pt>
                <c:pt idx="25">
                  <c:v>8.1999999999999993</c:v>
                </c:pt>
                <c:pt idx="26">
                  <c:v>6.6</c:v>
                </c:pt>
                <c:pt idx="27">
                  <c:v>5.4</c:v>
                </c:pt>
                <c:pt idx="28">
                  <c:v>9.1</c:v>
                </c:pt>
                <c:pt idx="29">
                  <c:v>8.5</c:v>
                </c:pt>
                <c:pt idx="30">
                  <c:v>11.1</c:v>
                </c:pt>
                <c:pt idx="31">
                  <c:v>5.0999999999999996</c:v>
                </c:pt>
                <c:pt idx="32">
                  <c:v>6</c:v>
                </c:pt>
                <c:pt idx="33">
                  <c:v>7.1</c:v>
                </c:pt>
                <c:pt idx="34">
                  <c:v>4</c:v>
                </c:pt>
                <c:pt idx="35">
                  <c:v>1.7</c:v>
                </c:pt>
                <c:pt idx="36">
                  <c:v>11.5</c:v>
                </c:pt>
                <c:pt idx="37">
                  <c:v>7</c:v>
                </c:pt>
                <c:pt idx="38">
                  <c:v>7.6</c:v>
                </c:pt>
                <c:pt idx="39">
                  <c:v>8.9</c:v>
                </c:pt>
                <c:pt idx="40">
                  <c:v>8.8000000000000007</c:v>
                </c:pt>
                <c:pt idx="41">
                  <c:v>7.51</c:v>
                </c:pt>
                <c:pt idx="42">
                  <c:v>4.05</c:v>
                </c:pt>
                <c:pt idx="43">
                  <c:v>5.65</c:v>
                </c:pt>
                <c:pt idx="44">
                  <c:v>7.42</c:v>
                </c:pt>
                <c:pt idx="45">
                  <c:v>8.02</c:v>
                </c:pt>
                <c:pt idx="46">
                  <c:v>7.3</c:v>
                </c:pt>
                <c:pt idx="47">
                  <c:v>7.5</c:v>
                </c:pt>
                <c:pt idx="48">
                  <c:v>8.8000000000000007</c:v>
                </c:pt>
                <c:pt idx="49">
                  <c:v>6.9</c:v>
                </c:pt>
                <c:pt idx="50">
                  <c:v>9.6</c:v>
                </c:pt>
                <c:pt idx="51">
                  <c:v>13</c:v>
                </c:pt>
                <c:pt idx="52">
                  <c:v>3.5</c:v>
                </c:pt>
                <c:pt idx="53">
                  <c:v>7.8</c:v>
                </c:pt>
                <c:pt idx="54">
                  <c:v>8.9</c:v>
                </c:pt>
                <c:pt idx="55">
                  <c:v>4.0999999999999996</c:v>
                </c:pt>
                <c:pt idx="56">
                  <c:v>7.8</c:v>
                </c:pt>
                <c:pt idx="57">
                  <c:v>9.1</c:v>
                </c:pt>
                <c:pt idx="58">
                  <c:v>6.2</c:v>
                </c:pt>
                <c:pt idx="59">
                  <c:v>6.3</c:v>
                </c:pt>
                <c:pt idx="60">
                  <c:v>5.7</c:v>
                </c:pt>
                <c:pt idx="61">
                  <c:v>6.9</c:v>
                </c:pt>
                <c:pt idx="62">
                  <c:v>8.4</c:v>
                </c:pt>
                <c:pt idx="63">
                  <c:v>8.5</c:v>
                </c:pt>
                <c:pt idx="64">
                  <c:v>9.3000000000000007</c:v>
                </c:pt>
                <c:pt idx="65">
                  <c:v>6.6</c:v>
                </c:pt>
                <c:pt idx="66">
                  <c:v>6.4</c:v>
                </c:pt>
                <c:pt idx="67">
                  <c:v>7.7</c:v>
                </c:pt>
                <c:pt idx="68">
                  <c:v>9.1999999999999993</c:v>
                </c:pt>
                <c:pt idx="69">
                  <c:v>11</c:v>
                </c:pt>
                <c:pt idx="70">
                  <c:v>6</c:v>
                </c:pt>
                <c:pt idx="71">
                  <c:v>8.1</c:v>
                </c:pt>
                <c:pt idx="72">
                  <c:v>6</c:v>
                </c:pt>
                <c:pt idx="73">
                  <c:v>8.9</c:v>
                </c:pt>
                <c:pt idx="74">
                  <c:v>8.5</c:v>
                </c:pt>
                <c:pt idx="75">
                  <c:v>8</c:v>
                </c:pt>
                <c:pt idx="76">
                  <c:v>14</c:v>
                </c:pt>
                <c:pt idx="77">
                  <c:v>7.4</c:v>
                </c:pt>
                <c:pt idx="78">
                  <c:v>11</c:v>
                </c:pt>
                <c:pt idx="79">
                  <c:v>7.3</c:v>
                </c:pt>
                <c:pt idx="80">
                  <c:v>8.6</c:v>
                </c:pt>
                <c:pt idx="81">
                  <c:v>11</c:v>
                </c:pt>
                <c:pt idx="82">
                  <c:v>15</c:v>
                </c:pt>
                <c:pt idx="83">
                  <c:v>7.5</c:v>
                </c:pt>
                <c:pt idx="84">
                  <c:v>9.3000000000000007</c:v>
                </c:pt>
                <c:pt idx="85">
                  <c:v>9.5</c:v>
                </c:pt>
                <c:pt idx="86">
                  <c:v>6</c:v>
                </c:pt>
                <c:pt idx="87">
                  <c:v>5.8</c:v>
                </c:pt>
                <c:pt idx="88">
                  <c:v>4.5999999999999996</c:v>
                </c:pt>
                <c:pt idx="89">
                  <c:v>6.7</c:v>
                </c:pt>
                <c:pt idx="90">
                  <c:v>5.5</c:v>
                </c:pt>
                <c:pt idx="91">
                  <c:v>4.5999999999999996</c:v>
                </c:pt>
                <c:pt idx="92">
                  <c:v>5.0999999999999996</c:v>
                </c:pt>
                <c:pt idx="93">
                  <c:v>3.6</c:v>
                </c:pt>
                <c:pt idx="94">
                  <c:v>3.5</c:v>
                </c:pt>
                <c:pt idx="95">
                  <c:v>4.5</c:v>
                </c:pt>
                <c:pt idx="96">
                  <c:v>5.5</c:v>
                </c:pt>
                <c:pt idx="97">
                  <c:v>5.5</c:v>
                </c:pt>
                <c:pt idx="98">
                  <c:v>5.19</c:v>
                </c:pt>
                <c:pt idx="99">
                  <c:v>5.38</c:v>
                </c:pt>
                <c:pt idx="100">
                  <c:v>4.71</c:v>
                </c:pt>
                <c:pt idx="101">
                  <c:v>6.22</c:v>
                </c:pt>
                <c:pt idx="102">
                  <c:v>9.4499999999999993</c:v>
                </c:pt>
                <c:pt idx="103">
                  <c:v>4.5</c:v>
                </c:pt>
                <c:pt idx="104">
                  <c:v>4.2</c:v>
                </c:pt>
                <c:pt idx="105">
                  <c:v>9.5</c:v>
                </c:pt>
                <c:pt idx="106">
                  <c:v>9.1</c:v>
                </c:pt>
                <c:pt idx="107">
                  <c:v>7.3</c:v>
                </c:pt>
                <c:pt idx="108">
                  <c:v>8.5</c:v>
                </c:pt>
                <c:pt idx="109">
                  <c:v>5.6</c:v>
                </c:pt>
                <c:pt idx="110">
                  <c:v>12</c:v>
                </c:pt>
                <c:pt idx="111">
                  <c:v>10</c:v>
                </c:pt>
                <c:pt idx="112">
                  <c:v>9.5</c:v>
                </c:pt>
                <c:pt idx="113">
                  <c:v>2</c:v>
                </c:pt>
                <c:pt idx="114">
                  <c:v>5.6</c:v>
                </c:pt>
                <c:pt idx="115">
                  <c:v>4.2</c:v>
                </c:pt>
                <c:pt idx="116">
                  <c:v>5.9</c:v>
                </c:pt>
                <c:pt idx="117">
                  <c:v>5.5</c:v>
                </c:pt>
                <c:pt idx="118">
                  <c:v>5.3</c:v>
                </c:pt>
                <c:pt idx="119">
                  <c:v>11</c:v>
                </c:pt>
                <c:pt idx="120">
                  <c:v>9.6</c:v>
                </c:pt>
                <c:pt idx="121">
                  <c:v>17</c:v>
                </c:pt>
                <c:pt idx="122">
                  <c:v>5.0999999999999996</c:v>
                </c:pt>
                <c:pt idx="123">
                  <c:v>7.9</c:v>
                </c:pt>
                <c:pt idx="124">
                  <c:v>6.2</c:v>
                </c:pt>
                <c:pt idx="125">
                  <c:v>7.2</c:v>
                </c:pt>
                <c:pt idx="126">
                  <c:v>6</c:v>
                </c:pt>
                <c:pt idx="127">
                  <c:v>7.3</c:v>
                </c:pt>
                <c:pt idx="128">
                  <c:v>8</c:v>
                </c:pt>
                <c:pt idx="129">
                  <c:v>4.0999999999999996</c:v>
                </c:pt>
                <c:pt idx="130">
                  <c:v>9.5</c:v>
                </c:pt>
                <c:pt idx="131">
                  <c:v>6.1</c:v>
                </c:pt>
                <c:pt idx="132">
                  <c:v>15</c:v>
                </c:pt>
                <c:pt idx="133">
                  <c:v>5.3</c:v>
                </c:pt>
                <c:pt idx="134">
                  <c:v>3.8</c:v>
                </c:pt>
                <c:pt idx="135">
                  <c:v>7.1</c:v>
                </c:pt>
                <c:pt idx="136">
                  <c:v>13</c:v>
                </c:pt>
                <c:pt idx="137">
                  <c:v>3.5</c:v>
                </c:pt>
                <c:pt idx="138">
                  <c:v>4.9000000000000004</c:v>
                </c:pt>
                <c:pt idx="139">
                  <c:v>9.1</c:v>
                </c:pt>
                <c:pt idx="140">
                  <c:v>7.9</c:v>
                </c:pt>
                <c:pt idx="141">
                  <c:v>5.8</c:v>
                </c:pt>
                <c:pt idx="142">
                  <c:v>6</c:v>
                </c:pt>
                <c:pt idx="143">
                  <c:v>9.1999999999999993</c:v>
                </c:pt>
                <c:pt idx="144">
                  <c:v>7.1</c:v>
                </c:pt>
                <c:pt idx="145">
                  <c:v>3.9</c:v>
                </c:pt>
                <c:pt idx="146">
                  <c:v>8.9</c:v>
                </c:pt>
                <c:pt idx="147">
                  <c:v>4.7</c:v>
                </c:pt>
                <c:pt idx="148">
                  <c:v>9</c:v>
                </c:pt>
                <c:pt idx="149">
                  <c:v>8.5</c:v>
                </c:pt>
                <c:pt idx="150">
                  <c:v>6.1</c:v>
                </c:pt>
                <c:pt idx="151">
                  <c:v>4.3</c:v>
                </c:pt>
                <c:pt idx="152">
                  <c:v>3.5</c:v>
                </c:pt>
                <c:pt idx="153">
                  <c:v>5.6</c:v>
                </c:pt>
                <c:pt idx="154">
                  <c:v>1.2</c:v>
                </c:pt>
                <c:pt idx="155">
                  <c:v>1.6</c:v>
                </c:pt>
                <c:pt idx="156">
                  <c:v>1.8</c:v>
                </c:pt>
                <c:pt idx="157">
                  <c:v>1</c:v>
                </c:pt>
                <c:pt idx="158">
                  <c:v>6.61</c:v>
                </c:pt>
                <c:pt idx="159">
                  <c:v>6.8</c:v>
                </c:pt>
                <c:pt idx="160">
                  <c:v>9.0500000000000007</c:v>
                </c:pt>
                <c:pt idx="161">
                  <c:v>6.78</c:v>
                </c:pt>
                <c:pt idx="162">
                  <c:v>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4-402D-8795-82C290CEE3C5}"/>
            </c:ext>
          </c:extLst>
        </c:ser>
        <c:ser>
          <c:idx val="1"/>
          <c:order val="1"/>
          <c:tx>
            <c:strRef>
              <c:f>'Results - Dataset'!$C$14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Dataset'!$C$15:$C$177</c:f>
              <c:numCache>
                <c:formatCode>General</c:formatCode>
                <c:ptCount val="163"/>
                <c:pt idx="0">
                  <c:v>9.7953315920377193</c:v>
                </c:pt>
                <c:pt idx="1">
                  <c:v>8.8230026873336094</c:v>
                </c:pt>
                <c:pt idx="2">
                  <c:v>7.6607821284718796</c:v>
                </c:pt>
                <c:pt idx="3">
                  <c:v>8.6537448109438007</c:v>
                </c:pt>
                <c:pt idx="4">
                  <c:v>2.6835639110279801</c:v>
                </c:pt>
                <c:pt idx="5">
                  <c:v>10.8017050667949</c:v>
                </c:pt>
                <c:pt idx="6">
                  <c:v>8.3404288494251801</c:v>
                </c:pt>
                <c:pt idx="7">
                  <c:v>4.7605623938059098</c:v>
                </c:pt>
                <c:pt idx="8">
                  <c:v>14.4653673598143</c:v>
                </c:pt>
                <c:pt idx="9">
                  <c:v>10.7497934517879</c:v>
                </c:pt>
                <c:pt idx="10">
                  <c:v>13.1339102663564</c:v>
                </c:pt>
                <c:pt idx="11">
                  <c:v>10.6775987860665</c:v>
                </c:pt>
                <c:pt idx="12">
                  <c:v>8.3813690690426697</c:v>
                </c:pt>
                <c:pt idx="13">
                  <c:v>4.35394200510083</c:v>
                </c:pt>
                <c:pt idx="14">
                  <c:v>5.2306162456566501</c:v>
                </c:pt>
                <c:pt idx="15">
                  <c:v>8.1473362910419596</c:v>
                </c:pt>
                <c:pt idx="16">
                  <c:v>6.7505378815719803</c:v>
                </c:pt>
                <c:pt idx="17">
                  <c:v>4.91496795400659</c:v>
                </c:pt>
                <c:pt idx="18">
                  <c:v>7.3379614330990197</c:v>
                </c:pt>
                <c:pt idx="19">
                  <c:v>11.376065817652799</c:v>
                </c:pt>
                <c:pt idx="20">
                  <c:v>7.1884367137207503</c:v>
                </c:pt>
                <c:pt idx="21">
                  <c:v>12.960480619855099</c:v>
                </c:pt>
                <c:pt idx="22">
                  <c:v>2.5339671660994099</c:v>
                </c:pt>
                <c:pt idx="23">
                  <c:v>9.0414018494805095</c:v>
                </c:pt>
                <c:pt idx="24">
                  <c:v>6.7244874821927603</c:v>
                </c:pt>
                <c:pt idx="25">
                  <c:v>8.7314529542815205</c:v>
                </c:pt>
                <c:pt idx="26">
                  <c:v>7.0762466688225798</c:v>
                </c:pt>
                <c:pt idx="27">
                  <c:v>5.9655988941783802</c:v>
                </c:pt>
                <c:pt idx="28">
                  <c:v>9.8842915562633795</c:v>
                </c:pt>
                <c:pt idx="29">
                  <c:v>8.8948858177695609</c:v>
                </c:pt>
                <c:pt idx="30">
                  <c:v>10.6721700140764</c:v>
                </c:pt>
                <c:pt idx="31">
                  <c:v>5.9518942207092804</c:v>
                </c:pt>
                <c:pt idx="32">
                  <c:v>6.2663347948816801</c:v>
                </c:pt>
                <c:pt idx="33">
                  <c:v>7.9464928649642301</c:v>
                </c:pt>
                <c:pt idx="34">
                  <c:v>3.2908844531273602</c:v>
                </c:pt>
                <c:pt idx="35">
                  <c:v>2.6305606287371002</c:v>
                </c:pt>
                <c:pt idx="36">
                  <c:v>11.2766524133809</c:v>
                </c:pt>
                <c:pt idx="37">
                  <c:v>6.7978252091295204</c:v>
                </c:pt>
                <c:pt idx="38">
                  <c:v>8.3009485919663106</c:v>
                </c:pt>
                <c:pt idx="39">
                  <c:v>8.8179121147028603</c:v>
                </c:pt>
                <c:pt idx="40">
                  <c:v>8.6005364875850603</c:v>
                </c:pt>
                <c:pt idx="41">
                  <c:v>8.5600142693069703</c:v>
                </c:pt>
                <c:pt idx="42">
                  <c:v>4.4163141942759703</c:v>
                </c:pt>
                <c:pt idx="43">
                  <c:v>6.01234064005404</c:v>
                </c:pt>
                <c:pt idx="44">
                  <c:v>7.4810512876651503</c:v>
                </c:pt>
                <c:pt idx="45">
                  <c:v>9.01743866903543</c:v>
                </c:pt>
                <c:pt idx="46">
                  <c:v>6.2726024458211196</c:v>
                </c:pt>
                <c:pt idx="47">
                  <c:v>6.3861411606036302</c:v>
                </c:pt>
                <c:pt idx="48">
                  <c:v>10.099799875074799</c:v>
                </c:pt>
                <c:pt idx="49">
                  <c:v>7.4612208730480498</c:v>
                </c:pt>
                <c:pt idx="50">
                  <c:v>9.6555539708063591</c:v>
                </c:pt>
                <c:pt idx="51">
                  <c:v>11.117146899533299</c:v>
                </c:pt>
                <c:pt idx="52">
                  <c:v>3.13549231279457</c:v>
                </c:pt>
                <c:pt idx="53">
                  <c:v>8.1387735605804998</c:v>
                </c:pt>
                <c:pt idx="54">
                  <c:v>8.0804357614812705</c:v>
                </c:pt>
                <c:pt idx="55">
                  <c:v>4.2996763421755899</c:v>
                </c:pt>
                <c:pt idx="56">
                  <c:v>6.4669462091655401</c:v>
                </c:pt>
                <c:pt idx="57">
                  <c:v>8.3535622080840604</c:v>
                </c:pt>
                <c:pt idx="58">
                  <c:v>6.1311467607963603</c:v>
                </c:pt>
                <c:pt idx="59">
                  <c:v>6.3056605459580002</c:v>
                </c:pt>
                <c:pt idx="60">
                  <c:v>5.5011258230092803</c:v>
                </c:pt>
                <c:pt idx="61">
                  <c:v>6.4413339972104096</c:v>
                </c:pt>
                <c:pt idx="62">
                  <c:v>7.17674081152414</c:v>
                </c:pt>
                <c:pt idx="63">
                  <c:v>7.4290901503011497</c:v>
                </c:pt>
                <c:pt idx="64">
                  <c:v>8.9047827520554392</c:v>
                </c:pt>
                <c:pt idx="65">
                  <c:v>7.12879296022298</c:v>
                </c:pt>
                <c:pt idx="66">
                  <c:v>6.3091292303626796</c:v>
                </c:pt>
                <c:pt idx="67">
                  <c:v>7.5126082236254099</c:v>
                </c:pt>
                <c:pt idx="68">
                  <c:v>7.6646336642181101</c:v>
                </c:pt>
                <c:pt idx="69">
                  <c:v>11.2983498736083</c:v>
                </c:pt>
                <c:pt idx="70">
                  <c:v>5.2832681515083602</c:v>
                </c:pt>
                <c:pt idx="71">
                  <c:v>9.7135256295628505</c:v>
                </c:pt>
                <c:pt idx="72">
                  <c:v>5.6966867071890803</c:v>
                </c:pt>
                <c:pt idx="73">
                  <c:v>8.5068634480824095</c:v>
                </c:pt>
                <c:pt idx="74">
                  <c:v>8.1976408510151408</c:v>
                </c:pt>
                <c:pt idx="75">
                  <c:v>6.6489326937353797</c:v>
                </c:pt>
                <c:pt idx="76">
                  <c:v>12.6095944815959</c:v>
                </c:pt>
                <c:pt idx="77">
                  <c:v>7.0119879888534298</c:v>
                </c:pt>
                <c:pt idx="78">
                  <c:v>10.073154443776</c:v>
                </c:pt>
                <c:pt idx="79">
                  <c:v>6.7952959208226096</c:v>
                </c:pt>
                <c:pt idx="80">
                  <c:v>7.5129061523365701</c:v>
                </c:pt>
                <c:pt idx="81">
                  <c:v>11.152518252097501</c:v>
                </c:pt>
                <c:pt idx="82">
                  <c:v>13.389979516208699</c:v>
                </c:pt>
                <c:pt idx="83">
                  <c:v>7.8924056706734698</c:v>
                </c:pt>
                <c:pt idx="84">
                  <c:v>8.2725314353650905</c:v>
                </c:pt>
                <c:pt idx="85">
                  <c:v>10.3396744964394</c:v>
                </c:pt>
                <c:pt idx="86">
                  <c:v>6.9410604172202097</c:v>
                </c:pt>
                <c:pt idx="87">
                  <c:v>6.5610211459442196</c:v>
                </c:pt>
                <c:pt idx="88">
                  <c:v>4.9915955006687396</c:v>
                </c:pt>
                <c:pt idx="89">
                  <c:v>7.2659994768247298</c:v>
                </c:pt>
                <c:pt idx="90">
                  <c:v>5.0748892988833196</c:v>
                </c:pt>
                <c:pt idx="91">
                  <c:v>4.7720243929580102</c:v>
                </c:pt>
                <c:pt idx="92">
                  <c:v>4.2416591001475998</c:v>
                </c:pt>
                <c:pt idx="93">
                  <c:v>3.8796526865819301</c:v>
                </c:pt>
                <c:pt idx="94">
                  <c:v>3.6916076791568599</c:v>
                </c:pt>
                <c:pt idx="95">
                  <c:v>6.0262424364870704</c:v>
                </c:pt>
                <c:pt idx="96">
                  <c:v>5.3038116131794304</c:v>
                </c:pt>
                <c:pt idx="97">
                  <c:v>5.3038116131794304</c:v>
                </c:pt>
                <c:pt idx="98">
                  <c:v>5.8534392028484996</c:v>
                </c:pt>
                <c:pt idx="99">
                  <c:v>5.5578615788541397</c:v>
                </c:pt>
                <c:pt idx="100">
                  <c:v>5.1160932024487602</c:v>
                </c:pt>
                <c:pt idx="101">
                  <c:v>6.6272203091393402</c:v>
                </c:pt>
                <c:pt idx="102">
                  <c:v>10.1186452229454</c:v>
                </c:pt>
                <c:pt idx="103">
                  <c:v>6.0262424364870704</c:v>
                </c:pt>
                <c:pt idx="104">
                  <c:v>5.3461476808962001</c:v>
                </c:pt>
                <c:pt idx="105">
                  <c:v>8.1841532366689709</c:v>
                </c:pt>
                <c:pt idx="106">
                  <c:v>9.6897662937534506</c:v>
                </c:pt>
                <c:pt idx="107">
                  <c:v>7.4672786734575798</c:v>
                </c:pt>
                <c:pt idx="108">
                  <c:v>7.8342158665572104</c:v>
                </c:pt>
                <c:pt idx="109">
                  <c:v>4.7981059147196197</c:v>
                </c:pt>
                <c:pt idx="110">
                  <c:v>11.1064230915526</c:v>
                </c:pt>
                <c:pt idx="111">
                  <c:v>8.2961671398372694</c:v>
                </c:pt>
                <c:pt idx="112">
                  <c:v>8.7039195637327396</c:v>
                </c:pt>
                <c:pt idx="113">
                  <c:v>3.0513669470111702</c:v>
                </c:pt>
                <c:pt idx="114">
                  <c:v>4.8247351719539298</c:v>
                </c:pt>
                <c:pt idx="115">
                  <c:v>5.3461476808962001</c:v>
                </c:pt>
                <c:pt idx="116">
                  <c:v>6.8466517817134003</c:v>
                </c:pt>
                <c:pt idx="117">
                  <c:v>5.7810257990742198</c:v>
                </c:pt>
                <c:pt idx="118">
                  <c:v>4.9753779762762704</c:v>
                </c:pt>
                <c:pt idx="119">
                  <c:v>11.0340241025655</c:v>
                </c:pt>
                <c:pt idx="120">
                  <c:v>9.6075495107214692</c:v>
                </c:pt>
                <c:pt idx="121">
                  <c:v>16.329338803928</c:v>
                </c:pt>
                <c:pt idx="122">
                  <c:v>6.0389241901192898</c:v>
                </c:pt>
                <c:pt idx="123">
                  <c:v>8.0872184646238896</c:v>
                </c:pt>
                <c:pt idx="124">
                  <c:v>5.5906461074521898</c:v>
                </c:pt>
                <c:pt idx="125">
                  <c:v>8.8937017917527204</c:v>
                </c:pt>
                <c:pt idx="126">
                  <c:v>6.7220693716799396</c:v>
                </c:pt>
                <c:pt idx="127">
                  <c:v>6.7891980861767802</c:v>
                </c:pt>
                <c:pt idx="128">
                  <c:v>7.6561504655345498</c:v>
                </c:pt>
                <c:pt idx="129">
                  <c:v>4.6004835144092198</c:v>
                </c:pt>
                <c:pt idx="130">
                  <c:v>8.5321632753107401</c:v>
                </c:pt>
                <c:pt idx="131">
                  <c:v>6.3837590490336602</c:v>
                </c:pt>
                <c:pt idx="132">
                  <c:v>13.4492403718498</c:v>
                </c:pt>
                <c:pt idx="133">
                  <c:v>7.3098345044345896</c:v>
                </c:pt>
                <c:pt idx="134">
                  <c:v>4.1768195156669599</c:v>
                </c:pt>
                <c:pt idx="135">
                  <c:v>7.3225278724958001</c:v>
                </c:pt>
                <c:pt idx="136">
                  <c:v>9.0112385169528597</c:v>
                </c:pt>
                <c:pt idx="137">
                  <c:v>2.9604336630362602</c:v>
                </c:pt>
                <c:pt idx="138">
                  <c:v>6.2271805446103601</c:v>
                </c:pt>
                <c:pt idx="139">
                  <c:v>9.2420727797279092</c:v>
                </c:pt>
                <c:pt idx="140">
                  <c:v>7.5156041227305597</c:v>
                </c:pt>
                <c:pt idx="141">
                  <c:v>7.0771828399327799</c:v>
                </c:pt>
                <c:pt idx="142">
                  <c:v>5.5279176187177903</c:v>
                </c:pt>
                <c:pt idx="143">
                  <c:v>8.3967465258714906</c:v>
                </c:pt>
                <c:pt idx="144">
                  <c:v>8.19927004215001</c:v>
                </c:pt>
                <c:pt idx="145">
                  <c:v>4.22012279947677</c:v>
                </c:pt>
                <c:pt idx="146">
                  <c:v>9.1924307677219197</c:v>
                </c:pt>
                <c:pt idx="147">
                  <c:v>4.4516754685353996</c:v>
                </c:pt>
                <c:pt idx="148">
                  <c:v>8.7899113213195594</c:v>
                </c:pt>
                <c:pt idx="149">
                  <c:v>8.4008917290456306</c:v>
                </c:pt>
                <c:pt idx="150">
                  <c:v>6.9833425645557998</c:v>
                </c:pt>
                <c:pt idx="151">
                  <c:v>5.2911416926113004</c:v>
                </c:pt>
                <c:pt idx="152">
                  <c:v>4.6310066332732802</c:v>
                </c:pt>
                <c:pt idx="153">
                  <c:v>6.2890968013740496</c:v>
                </c:pt>
                <c:pt idx="154">
                  <c:v>1.55945617154052</c:v>
                </c:pt>
                <c:pt idx="155">
                  <c:v>1.7129420272759399</c:v>
                </c:pt>
                <c:pt idx="156">
                  <c:v>1.7139751770948399</c:v>
                </c:pt>
                <c:pt idx="157">
                  <c:v>2.6745290992875601</c:v>
                </c:pt>
                <c:pt idx="158">
                  <c:v>6.3468261584516803</c:v>
                </c:pt>
                <c:pt idx="159">
                  <c:v>9.3480478176944306</c:v>
                </c:pt>
                <c:pt idx="160">
                  <c:v>9.4458561664848695</c:v>
                </c:pt>
                <c:pt idx="161">
                  <c:v>7.0132835786473899</c:v>
                </c:pt>
                <c:pt idx="162">
                  <c:v>10.4295986551941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4-402D-8795-82C290CEE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 - Dataset'!$G$14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Dataset'!$G$15:$G$149</c:f>
              <c:numCache>
                <c:formatCode>General</c:formatCode>
                <c:ptCount val="135"/>
                <c:pt idx="0">
                  <c:v>5.0339793139999998</c:v>
                </c:pt>
                <c:pt idx="1">
                  <c:v>5.43</c:v>
                </c:pt>
                <c:pt idx="2">
                  <c:v>7.79</c:v>
                </c:pt>
                <c:pt idx="3">
                  <c:v>2.3199999999999998</c:v>
                </c:pt>
                <c:pt idx="4">
                  <c:v>5.28</c:v>
                </c:pt>
                <c:pt idx="5">
                  <c:v>7.68</c:v>
                </c:pt>
                <c:pt idx="6">
                  <c:v>5.91</c:v>
                </c:pt>
                <c:pt idx="7">
                  <c:v>3.13</c:v>
                </c:pt>
                <c:pt idx="8">
                  <c:v>7.68</c:v>
                </c:pt>
                <c:pt idx="9">
                  <c:v>6.33</c:v>
                </c:pt>
                <c:pt idx="10">
                  <c:v>8.5299999999999994</c:v>
                </c:pt>
                <c:pt idx="11">
                  <c:v>6.04</c:v>
                </c:pt>
                <c:pt idx="12">
                  <c:v>6</c:v>
                </c:pt>
                <c:pt idx="13">
                  <c:v>5.1696802340000003</c:v>
                </c:pt>
                <c:pt idx="14">
                  <c:v>5.0792129539999999</c:v>
                </c:pt>
                <c:pt idx="15">
                  <c:v>4.37</c:v>
                </c:pt>
                <c:pt idx="16">
                  <c:v>4.3099999999999996</c:v>
                </c:pt>
                <c:pt idx="17">
                  <c:v>4.1406149230000002</c:v>
                </c:pt>
                <c:pt idx="18">
                  <c:v>4.9000000000000004</c:v>
                </c:pt>
                <c:pt idx="19">
                  <c:v>5.51</c:v>
                </c:pt>
                <c:pt idx="20">
                  <c:v>5.58</c:v>
                </c:pt>
                <c:pt idx="21">
                  <c:v>2.0499999999999998</c:v>
                </c:pt>
                <c:pt idx="22">
                  <c:v>5.44</c:v>
                </c:pt>
                <c:pt idx="23">
                  <c:v>4.26</c:v>
                </c:pt>
                <c:pt idx="24">
                  <c:v>4.3</c:v>
                </c:pt>
                <c:pt idx="25">
                  <c:v>4.7</c:v>
                </c:pt>
                <c:pt idx="26">
                  <c:v>4.47</c:v>
                </c:pt>
                <c:pt idx="27">
                  <c:v>5.81</c:v>
                </c:pt>
                <c:pt idx="28">
                  <c:v>4.22</c:v>
                </c:pt>
                <c:pt idx="29">
                  <c:v>4.29</c:v>
                </c:pt>
                <c:pt idx="30">
                  <c:v>4.51</c:v>
                </c:pt>
                <c:pt idx="31">
                  <c:v>5.14</c:v>
                </c:pt>
                <c:pt idx="32">
                  <c:v>2.96</c:v>
                </c:pt>
                <c:pt idx="33">
                  <c:v>5.77</c:v>
                </c:pt>
                <c:pt idx="34">
                  <c:v>5.0999999999999996</c:v>
                </c:pt>
                <c:pt idx="35">
                  <c:v>7.42</c:v>
                </c:pt>
                <c:pt idx="36">
                  <c:v>3.7900542119999998</c:v>
                </c:pt>
                <c:pt idx="37">
                  <c:v>7.05</c:v>
                </c:pt>
                <c:pt idx="38">
                  <c:v>4.03</c:v>
                </c:pt>
                <c:pt idx="39">
                  <c:v>4.0049140019999996</c:v>
                </c:pt>
                <c:pt idx="40">
                  <c:v>4.5199999999999996</c:v>
                </c:pt>
                <c:pt idx="41">
                  <c:v>5.31</c:v>
                </c:pt>
                <c:pt idx="42">
                  <c:v>5.01</c:v>
                </c:pt>
                <c:pt idx="43">
                  <c:v>4.58</c:v>
                </c:pt>
                <c:pt idx="44">
                  <c:v>3.73</c:v>
                </c:pt>
                <c:pt idx="45">
                  <c:v>4.8191195240000004</c:v>
                </c:pt>
                <c:pt idx="46">
                  <c:v>4.8899999999999997</c:v>
                </c:pt>
                <c:pt idx="47">
                  <c:v>4.6500000000000004</c:v>
                </c:pt>
                <c:pt idx="48">
                  <c:v>8.66</c:v>
                </c:pt>
                <c:pt idx="49">
                  <c:v>3.41</c:v>
                </c:pt>
                <c:pt idx="50">
                  <c:v>4.07</c:v>
                </c:pt>
                <c:pt idx="51">
                  <c:v>6.26</c:v>
                </c:pt>
                <c:pt idx="52">
                  <c:v>3.82</c:v>
                </c:pt>
                <c:pt idx="53">
                  <c:v>5.17</c:v>
                </c:pt>
                <c:pt idx="54">
                  <c:v>6.96</c:v>
                </c:pt>
                <c:pt idx="55">
                  <c:v>3.93</c:v>
                </c:pt>
                <c:pt idx="56">
                  <c:v>5.36</c:v>
                </c:pt>
                <c:pt idx="57">
                  <c:v>4.28</c:v>
                </c:pt>
                <c:pt idx="58">
                  <c:v>3.7448205720000001</c:v>
                </c:pt>
                <c:pt idx="59">
                  <c:v>4.95</c:v>
                </c:pt>
                <c:pt idx="60">
                  <c:v>6.92</c:v>
                </c:pt>
                <c:pt idx="61">
                  <c:v>5.22</c:v>
                </c:pt>
                <c:pt idx="62">
                  <c:v>4.9800000000000004</c:v>
                </c:pt>
                <c:pt idx="63">
                  <c:v>5.51</c:v>
                </c:pt>
                <c:pt idx="64">
                  <c:v>5.68</c:v>
                </c:pt>
                <c:pt idx="65">
                  <c:v>6.87</c:v>
                </c:pt>
                <c:pt idx="66">
                  <c:v>5.37</c:v>
                </c:pt>
                <c:pt idx="67">
                  <c:v>4.5599999999999996</c:v>
                </c:pt>
                <c:pt idx="68">
                  <c:v>4.3499999999999996</c:v>
                </c:pt>
                <c:pt idx="69">
                  <c:v>7.01</c:v>
                </c:pt>
                <c:pt idx="70">
                  <c:v>6.01</c:v>
                </c:pt>
                <c:pt idx="71">
                  <c:v>6.34</c:v>
                </c:pt>
                <c:pt idx="72">
                  <c:v>7.66</c:v>
                </c:pt>
                <c:pt idx="73">
                  <c:v>4.83</c:v>
                </c:pt>
                <c:pt idx="74">
                  <c:v>6.52</c:v>
                </c:pt>
                <c:pt idx="75">
                  <c:v>7.31</c:v>
                </c:pt>
                <c:pt idx="76">
                  <c:v>3.61</c:v>
                </c:pt>
                <c:pt idx="77">
                  <c:v>7.54</c:v>
                </c:pt>
                <c:pt idx="78">
                  <c:v>5.3</c:v>
                </c:pt>
                <c:pt idx="79">
                  <c:v>6.7</c:v>
                </c:pt>
                <c:pt idx="80">
                  <c:v>5.0199999999999996</c:v>
                </c:pt>
                <c:pt idx="81">
                  <c:v>4.76</c:v>
                </c:pt>
                <c:pt idx="82">
                  <c:v>3.48</c:v>
                </c:pt>
                <c:pt idx="83">
                  <c:v>3.96</c:v>
                </c:pt>
                <c:pt idx="84">
                  <c:v>3.67</c:v>
                </c:pt>
                <c:pt idx="85">
                  <c:v>5.64</c:v>
                </c:pt>
                <c:pt idx="86">
                  <c:v>3.98</c:v>
                </c:pt>
                <c:pt idx="87">
                  <c:v>3.53</c:v>
                </c:pt>
                <c:pt idx="88">
                  <c:v>4.16</c:v>
                </c:pt>
                <c:pt idx="89">
                  <c:v>4.1500000000000004</c:v>
                </c:pt>
                <c:pt idx="90">
                  <c:v>4.1500000000000004</c:v>
                </c:pt>
                <c:pt idx="91">
                  <c:v>3.65</c:v>
                </c:pt>
                <c:pt idx="92">
                  <c:v>3.88</c:v>
                </c:pt>
                <c:pt idx="93">
                  <c:v>3.62</c:v>
                </c:pt>
                <c:pt idx="94">
                  <c:v>3.96</c:v>
                </c:pt>
                <c:pt idx="95">
                  <c:v>5.23</c:v>
                </c:pt>
                <c:pt idx="96">
                  <c:v>4.16</c:v>
                </c:pt>
                <c:pt idx="97">
                  <c:v>4.2300000000000004</c:v>
                </c:pt>
                <c:pt idx="98">
                  <c:v>5.93</c:v>
                </c:pt>
                <c:pt idx="99">
                  <c:v>6.57</c:v>
                </c:pt>
                <c:pt idx="100">
                  <c:v>4.63</c:v>
                </c:pt>
                <c:pt idx="101">
                  <c:v>6.32</c:v>
                </c:pt>
                <c:pt idx="102">
                  <c:v>2.84</c:v>
                </c:pt>
                <c:pt idx="103">
                  <c:v>7.87</c:v>
                </c:pt>
                <c:pt idx="104">
                  <c:v>8.4600000000000009</c:v>
                </c:pt>
                <c:pt idx="105">
                  <c:v>5.54</c:v>
                </c:pt>
                <c:pt idx="106">
                  <c:v>4.26</c:v>
                </c:pt>
                <c:pt idx="107">
                  <c:v>4.2300000000000004</c:v>
                </c:pt>
                <c:pt idx="108">
                  <c:v>4.7965027039999999</c:v>
                </c:pt>
                <c:pt idx="109">
                  <c:v>4.2310822029999997</c:v>
                </c:pt>
                <c:pt idx="110">
                  <c:v>4.9000000000000004</c:v>
                </c:pt>
                <c:pt idx="111">
                  <c:v>6.51</c:v>
                </c:pt>
                <c:pt idx="112">
                  <c:v>4.88</c:v>
                </c:pt>
                <c:pt idx="113">
                  <c:v>10.23</c:v>
                </c:pt>
                <c:pt idx="114">
                  <c:v>3.7</c:v>
                </c:pt>
                <c:pt idx="115">
                  <c:v>6.07</c:v>
                </c:pt>
                <c:pt idx="116">
                  <c:v>4.17</c:v>
                </c:pt>
                <c:pt idx="117">
                  <c:v>7.68</c:v>
                </c:pt>
                <c:pt idx="118">
                  <c:v>7.39</c:v>
                </c:pt>
                <c:pt idx="119">
                  <c:v>7.69</c:v>
                </c:pt>
                <c:pt idx="120">
                  <c:v>7.93</c:v>
                </c:pt>
                <c:pt idx="121">
                  <c:v>3.32</c:v>
                </c:pt>
                <c:pt idx="122">
                  <c:v>4.9400000000000004</c:v>
                </c:pt>
                <c:pt idx="123">
                  <c:v>4.4400000000000004</c:v>
                </c:pt>
                <c:pt idx="124">
                  <c:v>7.07</c:v>
                </c:pt>
                <c:pt idx="125">
                  <c:v>5.64</c:v>
                </c:pt>
                <c:pt idx="126">
                  <c:v>3.73</c:v>
                </c:pt>
                <c:pt idx="127">
                  <c:v>6.79</c:v>
                </c:pt>
                <c:pt idx="128">
                  <c:v>7.39</c:v>
                </c:pt>
                <c:pt idx="129">
                  <c:v>3.25</c:v>
                </c:pt>
                <c:pt idx="130">
                  <c:v>5.16</c:v>
                </c:pt>
                <c:pt idx="131">
                  <c:v>7.34</c:v>
                </c:pt>
                <c:pt idx="132">
                  <c:v>5.8</c:v>
                </c:pt>
                <c:pt idx="133">
                  <c:v>4.3099999999999996</c:v>
                </c:pt>
                <c:pt idx="134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1-475A-895D-799C19E7CB3B}"/>
            </c:ext>
          </c:extLst>
        </c:ser>
        <c:ser>
          <c:idx val="1"/>
          <c:order val="1"/>
          <c:tx>
            <c:strRef>
              <c:f>'Results - Dataset'!$H$14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Dataset'!$H$15:$H$149</c:f>
              <c:numCache>
                <c:formatCode>General</c:formatCode>
                <c:ptCount val="135"/>
                <c:pt idx="0">
                  <c:v>5.3029754674035203</c:v>
                </c:pt>
                <c:pt idx="1">
                  <c:v>5.7232053435399397</c:v>
                </c:pt>
                <c:pt idx="2">
                  <c:v>6.2720419433673102</c:v>
                </c:pt>
                <c:pt idx="3">
                  <c:v>2.5670161679071</c:v>
                </c:pt>
                <c:pt idx="4">
                  <c:v>5.3638721879515003</c:v>
                </c:pt>
                <c:pt idx="5">
                  <c:v>7.3956046858893103</c:v>
                </c:pt>
                <c:pt idx="6">
                  <c:v>5.7111634763447903</c:v>
                </c:pt>
                <c:pt idx="7">
                  <c:v>3.6076651665163499</c:v>
                </c:pt>
                <c:pt idx="8">
                  <c:v>7.5472804924571699</c:v>
                </c:pt>
                <c:pt idx="9">
                  <c:v>5.6420187441921898</c:v>
                </c:pt>
                <c:pt idx="10">
                  <c:v>7.8742487519214404</c:v>
                </c:pt>
                <c:pt idx="11">
                  <c:v>5.8586725808316604</c:v>
                </c:pt>
                <c:pt idx="12">
                  <c:v>6.9049279811138202</c:v>
                </c:pt>
                <c:pt idx="13">
                  <c:v>5.1504778735032497</c:v>
                </c:pt>
                <c:pt idx="14">
                  <c:v>4.3405038500454598</c:v>
                </c:pt>
                <c:pt idx="15">
                  <c:v>4.3262090337993504</c:v>
                </c:pt>
                <c:pt idx="16">
                  <c:v>4.5307747117707997</c:v>
                </c:pt>
                <c:pt idx="17">
                  <c:v>4.1280376651113402</c:v>
                </c:pt>
                <c:pt idx="18">
                  <c:v>4.8686572703951496</c:v>
                </c:pt>
                <c:pt idx="19">
                  <c:v>5.79231903638677</c:v>
                </c:pt>
                <c:pt idx="20">
                  <c:v>6.6999750911120204</c:v>
                </c:pt>
                <c:pt idx="21">
                  <c:v>2.4025787394748201</c:v>
                </c:pt>
                <c:pt idx="22">
                  <c:v>6.4695037076012696</c:v>
                </c:pt>
                <c:pt idx="23">
                  <c:v>4.9187971512950499</c:v>
                </c:pt>
                <c:pt idx="24">
                  <c:v>4.3651259291142397</c:v>
                </c:pt>
                <c:pt idx="25">
                  <c:v>4.94685445838084</c:v>
                </c:pt>
                <c:pt idx="26">
                  <c:v>4.4475689062506802</c:v>
                </c:pt>
                <c:pt idx="27">
                  <c:v>5.6521264512293401</c:v>
                </c:pt>
                <c:pt idx="28">
                  <c:v>4.1466211839353999</c:v>
                </c:pt>
                <c:pt idx="29">
                  <c:v>4.5352422178956999</c:v>
                </c:pt>
                <c:pt idx="30">
                  <c:v>5.2076921189051797</c:v>
                </c:pt>
                <c:pt idx="31">
                  <c:v>4.8292133810043403</c:v>
                </c:pt>
                <c:pt idx="32">
                  <c:v>2.8900540040055902</c:v>
                </c:pt>
                <c:pt idx="33">
                  <c:v>5.7388010324526499</c:v>
                </c:pt>
                <c:pt idx="34">
                  <c:v>4.8318958881051897</c:v>
                </c:pt>
                <c:pt idx="35">
                  <c:v>6.1565677493720097</c:v>
                </c:pt>
                <c:pt idx="36">
                  <c:v>4.6362493457096798</c:v>
                </c:pt>
                <c:pt idx="37">
                  <c:v>6.0519327023030396</c:v>
                </c:pt>
                <c:pt idx="38">
                  <c:v>4.48046373477173</c:v>
                </c:pt>
                <c:pt idx="39">
                  <c:v>3.8818320287674299</c:v>
                </c:pt>
                <c:pt idx="40">
                  <c:v>4.1144038408555401</c:v>
                </c:pt>
                <c:pt idx="41">
                  <c:v>5.02090397724296</c:v>
                </c:pt>
                <c:pt idx="42">
                  <c:v>5.1008103858106697</c:v>
                </c:pt>
                <c:pt idx="43">
                  <c:v>4.1143786451616799</c:v>
                </c:pt>
                <c:pt idx="44">
                  <c:v>4.1740275379416998</c:v>
                </c:pt>
                <c:pt idx="45">
                  <c:v>6.5554006828840796</c:v>
                </c:pt>
                <c:pt idx="46">
                  <c:v>4.9946299419694196</c:v>
                </c:pt>
                <c:pt idx="47">
                  <c:v>6.2936680013423603</c:v>
                </c:pt>
                <c:pt idx="48">
                  <c:v>7.9312406764283896</c:v>
                </c:pt>
                <c:pt idx="49">
                  <c:v>3.48553499665746</c:v>
                </c:pt>
                <c:pt idx="50">
                  <c:v>5.2365565150005899</c:v>
                </c:pt>
                <c:pt idx="51">
                  <c:v>5.8707720505498697</c:v>
                </c:pt>
                <c:pt idx="52">
                  <c:v>3.7844696067251999</c:v>
                </c:pt>
                <c:pt idx="53">
                  <c:v>4.9311268723708697</c:v>
                </c:pt>
                <c:pt idx="54">
                  <c:v>5.7242255534458399</c:v>
                </c:pt>
                <c:pt idx="55">
                  <c:v>4.0689544579270898</c:v>
                </c:pt>
                <c:pt idx="56">
                  <c:v>5.3938066618317704</c:v>
                </c:pt>
                <c:pt idx="57">
                  <c:v>3.9877387101183901</c:v>
                </c:pt>
                <c:pt idx="58">
                  <c:v>3.8917339248009002</c:v>
                </c:pt>
                <c:pt idx="59">
                  <c:v>5.5123619330005802</c:v>
                </c:pt>
                <c:pt idx="60">
                  <c:v>6.5235519452023301</c:v>
                </c:pt>
                <c:pt idx="61">
                  <c:v>4.82289218858776</c:v>
                </c:pt>
                <c:pt idx="62">
                  <c:v>4.9488137467731299</c:v>
                </c:pt>
                <c:pt idx="63">
                  <c:v>5.3338024450527204</c:v>
                </c:pt>
                <c:pt idx="64">
                  <c:v>4.9918372684012304</c:v>
                </c:pt>
                <c:pt idx="65">
                  <c:v>6.5185158451228098</c:v>
                </c:pt>
                <c:pt idx="66">
                  <c:v>4.7246575683027903</c:v>
                </c:pt>
                <c:pt idx="67">
                  <c:v>5.1050043944769303</c:v>
                </c:pt>
                <c:pt idx="68">
                  <c:v>4.4297592266047197</c:v>
                </c:pt>
                <c:pt idx="69">
                  <c:v>5.8575729750135102</c:v>
                </c:pt>
                <c:pt idx="70">
                  <c:v>6.0048191170886698</c:v>
                </c:pt>
                <c:pt idx="71">
                  <c:v>5.5561101428867099</c:v>
                </c:pt>
                <c:pt idx="72">
                  <c:v>7.1501955833207296</c:v>
                </c:pt>
                <c:pt idx="73">
                  <c:v>6.0193475160054097</c:v>
                </c:pt>
                <c:pt idx="74">
                  <c:v>5.8233372640183099</c:v>
                </c:pt>
                <c:pt idx="75">
                  <c:v>6.6445673166651602</c:v>
                </c:pt>
                <c:pt idx="76">
                  <c:v>4.5027333169893202</c:v>
                </c:pt>
                <c:pt idx="77">
                  <c:v>6.2907927305875901</c:v>
                </c:pt>
                <c:pt idx="78">
                  <c:v>5.7191190350670498</c:v>
                </c:pt>
                <c:pt idx="79">
                  <c:v>6.6037266557822996</c:v>
                </c:pt>
                <c:pt idx="80">
                  <c:v>4.9801432758480004</c:v>
                </c:pt>
                <c:pt idx="81">
                  <c:v>4.6332246504271497</c:v>
                </c:pt>
                <c:pt idx="82">
                  <c:v>3.8509517466923899</c:v>
                </c:pt>
                <c:pt idx="83">
                  <c:v>3.7667087932735202</c:v>
                </c:pt>
                <c:pt idx="84">
                  <c:v>4.02883181590318</c:v>
                </c:pt>
                <c:pt idx="85">
                  <c:v>6.2392551475145703</c:v>
                </c:pt>
                <c:pt idx="86">
                  <c:v>3.7926469244931398</c:v>
                </c:pt>
                <c:pt idx="87">
                  <c:v>3.4120102393714702</c:v>
                </c:pt>
                <c:pt idx="88">
                  <c:v>4.9635840449647901</c:v>
                </c:pt>
                <c:pt idx="89">
                  <c:v>4.1629328656713902</c:v>
                </c:pt>
                <c:pt idx="90">
                  <c:v>4.1629328656713902</c:v>
                </c:pt>
                <c:pt idx="91">
                  <c:v>4.9944451838298196</c:v>
                </c:pt>
                <c:pt idx="92">
                  <c:v>4.0602545777624899</c:v>
                </c:pt>
                <c:pt idx="93">
                  <c:v>3.6710540638357001</c:v>
                </c:pt>
                <c:pt idx="94">
                  <c:v>4.9315927782106401</c:v>
                </c:pt>
                <c:pt idx="95">
                  <c:v>5.2848240720274804</c:v>
                </c:pt>
                <c:pt idx="96">
                  <c:v>4.9635840449647901</c:v>
                </c:pt>
                <c:pt idx="97">
                  <c:v>4.3383541004822099</c:v>
                </c:pt>
                <c:pt idx="98">
                  <c:v>5.5742835322949604</c:v>
                </c:pt>
                <c:pt idx="99">
                  <c:v>7.01366387781722</c:v>
                </c:pt>
                <c:pt idx="100">
                  <c:v>4.9248721452345503</c:v>
                </c:pt>
                <c:pt idx="101">
                  <c:v>6.29996122425817</c:v>
                </c:pt>
                <c:pt idx="102">
                  <c:v>3.3897016513181502</c:v>
                </c:pt>
                <c:pt idx="103">
                  <c:v>7.5730876411651904</c:v>
                </c:pt>
                <c:pt idx="104">
                  <c:v>6.4827343604870702</c:v>
                </c:pt>
                <c:pt idx="105">
                  <c:v>6.4505623162740102</c:v>
                </c:pt>
                <c:pt idx="106">
                  <c:v>3.86125954765444</c:v>
                </c:pt>
                <c:pt idx="107">
                  <c:v>4.3383541004822099</c:v>
                </c:pt>
                <c:pt idx="108">
                  <c:v>4.8979694485051102</c:v>
                </c:pt>
                <c:pt idx="109">
                  <c:v>4.4111911109889297</c:v>
                </c:pt>
                <c:pt idx="110">
                  <c:v>4.2972511684125498</c:v>
                </c:pt>
                <c:pt idx="111">
                  <c:v>6.6332190383716698</c:v>
                </c:pt>
                <c:pt idx="112">
                  <c:v>4.76699256664548</c:v>
                </c:pt>
                <c:pt idx="113">
                  <c:v>9.8986701665197501</c:v>
                </c:pt>
                <c:pt idx="114">
                  <c:v>4.68189003274101</c:v>
                </c:pt>
                <c:pt idx="115">
                  <c:v>5.1485075740429496</c:v>
                </c:pt>
                <c:pt idx="116">
                  <c:v>4.0739565278446204</c:v>
                </c:pt>
                <c:pt idx="117">
                  <c:v>6.6510057321075404</c:v>
                </c:pt>
                <c:pt idx="118">
                  <c:v>6.1994753306391797</c:v>
                </c:pt>
                <c:pt idx="119">
                  <c:v>6.4291368816932399</c:v>
                </c:pt>
                <c:pt idx="120">
                  <c:v>6.8271069496507399</c:v>
                </c:pt>
                <c:pt idx="121">
                  <c:v>3.5780384347754102</c:v>
                </c:pt>
                <c:pt idx="122">
                  <c:v>6.5588175976220402</c:v>
                </c:pt>
                <c:pt idx="123">
                  <c:v>4.5588563842582399</c:v>
                </c:pt>
                <c:pt idx="124">
                  <c:v>7.4048720470026597</c:v>
                </c:pt>
                <c:pt idx="125">
                  <c:v>6.1153298710386403</c:v>
                </c:pt>
                <c:pt idx="126">
                  <c:v>3.3375164337344998</c:v>
                </c:pt>
                <c:pt idx="127">
                  <c:v>5.9595246825124502</c:v>
                </c:pt>
                <c:pt idx="128">
                  <c:v>7.2299416890257602</c:v>
                </c:pt>
                <c:pt idx="129">
                  <c:v>3.2826955959970698</c:v>
                </c:pt>
                <c:pt idx="130">
                  <c:v>4.7341582208803699</c:v>
                </c:pt>
                <c:pt idx="131">
                  <c:v>7.3080054143309603</c:v>
                </c:pt>
                <c:pt idx="132">
                  <c:v>6.0805543942135296</c:v>
                </c:pt>
                <c:pt idx="133">
                  <c:v>4.7798691282378201</c:v>
                </c:pt>
                <c:pt idx="134">
                  <c:v>4.1433310493558704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1-475A-895D-799C19E7C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P2O5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 - Dataset'!$L$14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Dataset'!$L$15:$L$167</c:f>
              <c:numCache>
                <c:formatCode>General</c:formatCode>
                <c:ptCount val="153"/>
                <c:pt idx="0">
                  <c:v>2.68</c:v>
                </c:pt>
                <c:pt idx="1">
                  <c:v>2.69</c:v>
                </c:pt>
                <c:pt idx="2">
                  <c:v>0.51</c:v>
                </c:pt>
                <c:pt idx="3">
                  <c:v>1.81</c:v>
                </c:pt>
                <c:pt idx="4">
                  <c:v>0.95</c:v>
                </c:pt>
                <c:pt idx="5">
                  <c:v>3.21</c:v>
                </c:pt>
                <c:pt idx="6">
                  <c:v>2.0699999999999998</c:v>
                </c:pt>
                <c:pt idx="7">
                  <c:v>3.6</c:v>
                </c:pt>
                <c:pt idx="8">
                  <c:v>2.0699999999999998</c:v>
                </c:pt>
                <c:pt idx="9">
                  <c:v>2.31</c:v>
                </c:pt>
                <c:pt idx="10">
                  <c:v>0.93</c:v>
                </c:pt>
                <c:pt idx="11">
                  <c:v>1.28</c:v>
                </c:pt>
                <c:pt idx="12">
                  <c:v>1.77</c:v>
                </c:pt>
                <c:pt idx="13">
                  <c:v>1.52</c:v>
                </c:pt>
                <c:pt idx="14">
                  <c:v>1.19</c:v>
                </c:pt>
                <c:pt idx="15">
                  <c:v>1.67</c:v>
                </c:pt>
                <c:pt idx="16">
                  <c:v>2.15</c:v>
                </c:pt>
                <c:pt idx="17">
                  <c:v>2.35</c:v>
                </c:pt>
                <c:pt idx="18">
                  <c:v>0.46</c:v>
                </c:pt>
                <c:pt idx="19">
                  <c:v>1.83</c:v>
                </c:pt>
                <c:pt idx="20">
                  <c:v>1.91</c:v>
                </c:pt>
                <c:pt idx="21">
                  <c:v>1.46</c:v>
                </c:pt>
                <c:pt idx="22">
                  <c:v>1.67</c:v>
                </c:pt>
                <c:pt idx="23">
                  <c:v>1.19</c:v>
                </c:pt>
                <c:pt idx="24">
                  <c:v>1.95</c:v>
                </c:pt>
                <c:pt idx="25">
                  <c:v>1.96</c:v>
                </c:pt>
                <c:pt idx="26">
                  <c:v>2.11</c:v>
                </c:pt>
                <c:pt idx="27">
                  <c:v>1.1499999999999999</c:v>
                </c:pt>
                <c:pt idx="28">
                  <c:v>1.75</c:v>
                </c:pt>
                <c:pt idx="29">
                  <c:v>1.43</c:v>
                </c:pt>
                <c:pt idx="30">
                  <c:v>1.28</c:v>
                </c:pt>
                <c:pt idx="31">
                  <c:v>0.49</c:v>
                </c:pt>
                <c:pt idx="32">
                  <c:v>2.0099999999999998</c:v>
                </c:pt>
                <c:pt idx="33">
                  <c:v>2.4</c:v>
                </c:pt>
                <c:pt idx="34">
                  <c:v>1.1100000000000001</c:v>
                </c:pt>
                <c:pt idx="35">
                  <c:v>1.75</c:v>
                </c:pt>
                <c:pt idx="36">
                  <c:v>2.37</c:v>
                </c:pt>
                <c:pt idx="37">
                  <c:v>1.56</c:v>
                </c:pt>
                <c:pt idx="38">
                  <c:v>1.1599999999999999</c:v>
                </c:pt>
                <c:pt idx="39">
                  <c:v>1.9</c:v>
                </c:pt>
                <c:pt idx="40">
                  <c:v>2.68</c:v>
                </c:pt>
                <c:pt idx="41">
                  <c:v>2.52</c:v>
                </c:pt>
                <c:pt idx="42">
                  <c:v>2.11</c:v>
                </c:pt>
                <c:pt idx="43">
                  <c:v>2.2999999999999998</c:v>
                </c:pt>
                <c:pt idx="44">
                  <c:v>1.51</c:v>
                </c:pt>
                <c:pt idx="45">
                  <c:v>1.84</c:v>
                </c:pt>
                <c:pt idx="46">
                  <c:v>1.57</c:v>
                </c:pt>
                <c:pt idx="47">
                  <c:v>1.7</c:v>
                </c:pt>
                <c:pt idx="48">
                  <c:v>2.81</c:v>
                </c:pt>
                <c:pt idx="49">
                  <c:v>1.35</c:v>
                </c:pt>
                <c:pt idx="50">
                  <c:v>1.55</c:v>
                </c:pt>
                <c:pt idx="51">
                  <c:v>2.41</c:v>
                </c:pt>
                <c:pt idx="52">
                  <c:v>1.68</c:v>
                </c:pt>
                <c:pt idx="53">
                  <c:v>2.14</c:v>
                </c:pt>
                <c:pt idx="54">
                  <c:v>1.34</c:v>
                </c:pt>
                <c:pt idx="55">
                  <c:v>1.27</c:v>
                </c:pt>
                <c:pt idx="56">
                  <c:v>2.2400000000000002</c:v>
                </c:pt>
                <c:pt idx="57">
                  <c:v>3.03</c:v>
                </c:pt>
                <c:pt idx="58">
                  <c:v>2.78</c:v>
                </c:pt>
                <c:pt idx="59">
                  <c:v>2.13</c:v>
                </c:pt>
                <c:pt idx="60">
                  <c:v>1.93</c:v>
                </c:pt>
                <c:pt idx="61">
                  <c:v>2.27</c:v>
                </c:pt>
                <c:pt idx="62">
                  <c:v>1.54</c:v>
                </c:pt>
                <c:pt idx="63">
                  <c:v>2.02</c:v>
                </c:pt>
                <c:pt idx="64">
                  <c:v>1.81</c:v>
                </c:pt>
                <c:pt idx="65">
                  <c:v>2.04</c:v>
                </c:pt>
                <c:pt idx="66">
                  <c:v>3.06</c:v>
                </c:pt>
                <c:pt idx="67">
                  <c:v>1.48</c:v>
                </c:pt>
                <c:pt idx="68">
                  <c:v>2.41</c:v>
                </c:pt>
                <c:pt idx="69">
                  <c:v>3.78</c:v>
                </c:pt>
                <c:pt idx="70">
                  <c:v>3.79</c:v>
                </c:pt>
                <c:pt idx="71">
                  <c:v>2.79</c:v>
                </c:pt>
                <c:pt idx="72">
                  <c:v>1.39</c:v>
                </c:pt>
                <c:pt idx="73">
                  <c:v>3.03</c:v>
                </c:pt>
                <c:pt idx="74">
                  <c:v>2.4300000000000002</c:v>
                </c:pt>
                <c:pt idx="75">
                  <c:v>3.36</c:v>
                </c:pt>
                <c:pt idx="76">
                  <c:v>2.02</c:v>
                </c:pt>
                <c:pt idx="77">
                  <c:v>3.55</c:v>
                </c:pt>
                <c:pt idx="78">
                  <c:v>1.24</c:v>
                </c:pt>
                <c:pt idx="79">
                  <c:v>1.25</c:v>
                </c:pt>
                <c:pt idx="80">
                  <c:v>1.04</c:v>
                </c:pt>
                <c:pt idx="81">
                  <c:v>2.4</c:v>
                </c:pt>
                <c:pt idx="82">
                  <c:v>1.1299999999999999</c:v>
                </c:pt>
                <c:pt idx="83">
                  <c:v>1.06</c:v>
                </c:pt>
                <c:pt idx="84">
                  <c:v>1.7</c:v>
                </c:pt>
                <c:pt idx="85">
                  <c:v>0.93</c:v>
                </c:pt>
                <c:pt idx="86">
                  <c:v>0.9</c:v>
                </c:pt>
                <c:pt idx="87">
                  <c:v>1.67</c:v>
                </c:pt>
                <c:pt idx="88">
                  <c:v>2.04</c:v>
                </c:pt>
                <c:pt idx="89">
                  <c:v>2.04</c:v>
                </c:pt>
                <c:pt idx="90">
                  <c:v>1.57</c:v>
                </c:pt>
                <c:pt idx="91">
                  <c:v>1.52</c:v>
                </c:pt>
                <c:pt idx="92">
                  <c:v>1.35</c:v>
                </c:pt>
                <c:pt idx="93">
                  <c:v>1.68</c:v>
                </c:pt>
                <c:pt idx="94">
                  <c:v>2.67</c:v>
                </c:pt>
                <c:pt idx="95">
                  <c:v>1.67</c:v>
                </c:pt>
                <c:pt idx="96">
                  <c:v>1.45</c:v>
                </c:pt>
                <c:pt idx="97">
                  <c:v>3.01</c:v>
                </c:pt>
                <c:pt idx="98">
                  <c:v>2.95</c:v>
                </c:pt>
                <c:pt idx="99">
                  <c:v>1.99</c:v>
                </c:pt>
                <c:pt idx="100">
                  <c:v>4.04</c:v>
                </c:pt>
                <c:pt idx="101">
                  <c:v>1.34</c:v>
                </c:pt>
                <c:pt idx="102">
                  <c:v>2.9</c:v>
                </c:pt>
                <c:pt idx="103">
                  <c:v>4.47</c:v>
                </c:pt>
                <c:pt idx="104">
                  <c:v>3.11</c:v>
                </c:pt>
                <c:pt idx="105">
                  <c:v>2.06</c:v>
                </c:pt>
                <c:pt idx="106">
                  <c:v>1.45</c:v>
                </c:pt>
                <c:pt idx="107">
                  <c:v>1.8</c:v>
                </c:pt>
                <c:pt idx="108">
                  <c:v>1.53</c:v>
                </c:pt>
                <c:pt idx="109">
                  <c:v>1.88</c:v>
                </c:pt>
                <c:pt idx="110">
                  <c:v>3.29</c:v>
                </c:pt>
                <c:pt idx="111">
                  <c:v>2.79</c:v>
                </c:pt>
                <c:pt idx="112">
                  <c:v>2.91</c:v>
                </c:pt>
                <c:pt idx="113">
                  <c:v>1.67</c:v>
                </c:pt>
                <c:pt idx="114">
                  <c:v>1.65</c:v>
                </c:pt>
                <c:pt idx="115">
                  <c:v>1.89</c:v>
                </c:pt>
                <c:pt idx="116">
                  <c:v>3.03</c:v>
                </c:pt>
                <c:pt idx="117">
                  <c:v>2.68</c:v>
                </c:pt>
                <c:pt idx="118">
                  <c:v>3.03</c:v>
                </c:pt>
                <c:pt idx="119">
                  <c:v>0.85</c:v>
                </c:pt>
                <c:pt idx="120">
                  <c:v>2.91</c:v>
                </c:pt>
                <c:pt idx="121">
                  <c:v>2.61</c:v>
                </c:pt>
                <c:pt idx="122">
                  <c:v>7.18</c:v>
                </c:pt>
                <c:pt idx="123">
                  <c:v>1.59</c:v>
                </c:pt>
                <c:pt idx="124">
                  <c:v>1.26</c:v>
                </c:pt>
                <c:pt idx="125">
                  <c:v>3.35</c:v>
                </c:pt>
                <c:pt idx="126">
                  <c:v>5.46</c:v>
                </c:pt>
                <c:pt idx="127">
                  <c:v>1.52</c:v>
                </c:pt>
                <c:pt idx="128">
                  <c:v>0.8</c:v>
                </c:pt>
                <c:pt idx="129">
                  <c:v>6.07</c:v>
                </c:pt>
                <c:pt idx="130">
                  <c:v>2.04</c:v>
                </c:pt>
                <c:pt idx="131">
                  <c:v>2.68</c:v>
                </c:pt>
                <c:pt idx="132">
                  <c:v>1.39</c:v>
                </c:pt>
                <c:pt idx="133">
                  <c:v>3.46</c:v>
                </c:pt>
                <c:pt idx="134">
                  <c:v>2.2000000000000002</c:v>
                </c:pt>
                <c:pt idx="135">
                  <c:v>1.1599999999999999</c:v>
                </c:pt>
                <c:pt idx="136">
                  <c:v>5.85</c:v>
                </c:pt>
                <c:pt idx="137">
                  <c:v>2.27</c:v>
                </c:pt>
                <c:pt idx="138">
                  <c:v>2.04</c:v>
                </c:pt>
                <c:pt idx="139">
                  <c:v>1.71</c:v>
                </c:pt>
                <c:pt idx="140">
                  <c:v>1.22</c:v>
                </c:pt>
                <c:pt idx="141">
                  <c:v>1.98</c:v>
                </c:pt>
                <c:pt idx="142">
                  <c:v>1.46</c:v>
                </c:pt>
                <c:pt idx="143">
                  <c:v>1.49</c:v>
                </c:pt>
                <c:pt idx="144">
                  <c:v>0.18</c:v>
                </c:pt>
                <c:pt idx="145">
                  <c:v>0.36</c:v>
                </c:pt>
                <c:pt idx="146">
                  <c:v>0.35</c:v>
                </c:pt>
                <c:pt idx="147">
                  <c:v>0.15</c:v>
                </c:pt>
                <c:pt idx="148">
                  <c:v>2.25</c:v>
                </c:pt>
                <c:pt idx="149">
                  <c:v>3.2</c:v>
                </c:pt>
                <c:pt idx="150">
                  <c:v>4.3600000000000003</c:v>
                </c:pt>
                <c:pt idx="151">
                  <c:v>3</c:v>
                </c:pt>
                <c:pt idx="152">
                  <c:v>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1-4DC6-A157-3EF3BE96C63A}"/>
            </c:ext>
          </c:extLst>
        </c:ser>
        <c:ser>
          <c:idx val="1"/>
          <c:order val="1"/>
          <c:tx>
            <c:strRef>
              <c:f>'Results - Dataset'!$M$14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Dataset'!$M$15:$M$167</c:f>
              <c:numCache>
                <c:formatCode>General</c:formatCode>
                <c:ptCount val="153"/>
                <c:pt idx="0">
                  <c:v>2.23370083306453</c:v>
                </c:pt>
                <c:pt idx="1">
                  <c:v>2.5315474454051001</c:v>
                </c:pt>
                <c:pt idx="2">
                  <c:v>0.53900901600619799</c:v>
                </c:pt>
                <c:pt idx="3">
                  <c:v>1.8870812747294801</c:v>
                </c:pt>
                <c:pt idx="4">
                  <c:v>1.12778821276345</c:v>
                </c:pt>
                <c:pt idx="5">
                  <c:v>3.2076788324899299</c:v>
                </c:pt>
                <c:pt idx="6">
                  <c:v>2.0136938546924799</c:v>
                </c:pt>
                <c:pt idx="7">
                  <c:v>3.6419332304557801</c:v>
                </c:pt>
                <c:pt idx="8">
                  <c:v>2.0661323763627402</c:v>
                </c:pt>
                <c:pt idx="9">
                  <c:v>2.5983686306146501</c:v>
                </c:pt>
                <c:pt idx="10">
                  <c:v>0.95949876298201597</c:v>
                </c:pt>
                <c:pt idx="11">
                  <c:v>1.4605974467529801</c:v>
                </c:pt>
                <c:pt idx="12">
                  <c:v>1.90240465616878</c:v>
                </c:pt>
                <c:pt idx="13">
                  <c:v>1.6631923594815901</c:v>
                </c:pt>
                <c:pt idx="14">
                  <c:v>1.10318916230816</c:v>
                </c:pt>
                <c:pt idx="15">
                  <c:v>1.5851337953539799</c:v>
                </c:pt>
                <c:pt idx="16">
                  <c:v>2.2446785181100801</c:v>
                </c:pt>
                <c:pt idx="17">
                  <c:v>2.3302517993314402</c:v>
                </c:pt>
                <c:pt idx="18">
                  <c:v>0.47020152522979802</c:v>
                </c:pt>
                <c:pt idx="19">
                  <c:v>2.1649248114078499</c:v>
                </c:pt>
                <c:pt idx="20">
                  <c:v>1.70085467689929</c:v>
                </c:pt>
                <c:pt idx="21">
                  <c:v>1.73468011828891</c:v>
                </c:pt>
                <c:pt idx="22">
                  <c:v>1.6011221719388899</c:v>
                </c:pt>
                <c:pt idx="23">
                  <c:v>1.1339254537641099</c:v>
                </c:pt>
                <c:pt idx="24">
                  <c:v>1.9368516205652699</c:v>
                </c:pt>
                <c:pt idx="25">
                  <c:v>1.8494977972564599</c:v>
                </c:pt>
                <c:pt idx="26">
                  <c:v>2.3375194045921899</c:v>
                </c:pt>
                <c:pt idx="27">
                  <c:v>1.32956627266936</c:v>
                </c:pt>
                <c:pt idx="28">
                  <c:v>1.5380399429446501</c:v>
                </c:pt>
                <c:pt idx="29">
                  <c:v>1.8859290011089</c:v>
                </c:pt>
                <c:pt idx="30">
                  <c:v>1.3522671044840999</c:v>
                </c:pt>
                <c:pt idx="31">
                  <c:v>0.50725163661225903</c:v>
                </c:pt>
                <c:pt idx="32">
                  <c:v>2.01835525710875</c:v>
                </c:pt>
                <c:pt idx="33">
                  <c:v>2.2185032767071098</c:v>
                </c:pt>
                <c:pt idx="34">
                  <c:v>1.4576882016133199</c:v>
                </c:pt>
                <c:pt idx="35">
                  <c:v>1.92428955370112</c:v>
                </c:pt>
                <c:pt idx="36">
                  <c:v>2.3061096580503202</c:v>
                </c:pt>
                <c:pt idx="37">
                  <c:v>1.9232562969054801</c:v>
                </c:pt>
                <c:pt idx="38">
                  <c:v>1.11793122689744</c:v>
                </c:pt>
                <c:pt idx="39">
                  <c:v>1.7457267038955999</c:v>
                </c:pt>
                <c:pt idx="40">
                  <c:v>2.1737398723492301</c:v>
                </c:pt>
                <c:pt idx="41">
                  <c:v>2.4775025381411702</c:v>
                </c:pt>
                <c:pt idx="42">
                  <c:v>1.6263807062811999</c:v>
                </c:pt>
                <c:pt idx="43">
                  <c:v>2.3567243069641299</c:v>
                </c:pt>
                <c:pt idx="44">
                  <c:v>1.7180289141810401</c:v>
                </c:pt>
                <c:pt idx="45">
                  <c:v>2.14381625434768</c:v>
                </c:pt>
                <c:pt idx="46">
                  <c:v>1.51681042291602</c:v>
                </c:pt>
                <c:pt idx="47">
                  <c:v>1.8677673989430601</c:v>
                </c:pt>
                <c:pt idx="48">
                  <c:v>2.6400839707816899</c:v>
                </c:pt>
                <c:pt idx="49">
                  <c:v>1.32423050412249</c:v>
                </c:pt>
                <c:pt idx="50">
                  <c:v>1.8724249086033</c:v>
                </c:pt>
                <c:pt idx="51">
                  <c:v>2.5064161719780498</c:v>
                </c:pt>
                <c:pt idx="52">
                  <c:v>1.5974939553774301</c:v>
                </c:pt>
                <c:pt idx="53">
                  <c:v>2.2359677545187502</c:v>
                </c:pt>
                <c:pt idx="54">
                  <c:v>1.1449164727577801</c:v>
                </c:pt>
                <c:pt idx="55">
                  <c:v>1.5705881728311599</c:v>
                </c:pt>
                <c:pt idx="56">
                  <c:v>2.2342069076314202</c:v>
                </c:pt>
                <c:pt idx="57">
                  <c:v>2.91715230341278</c:v>
                </c:pt>
                <c:pt idx="58">
                  <c:v>2.30232529248517</c:v>
                </c:pt>
                <c:pt idx="59">
                  <c:v>1.9151623051045801</c:v>
                </c:pt>
                <c:pt idx="60">
                  <c:v>2.1727429421278801</c:v>
                </c:pt>
                <c:pt idx="61">
                  <c:v>2.0542546663606398</c:v>
                </c:pt>
                <c:pt idx="62">
                  <c:v>1.66382405269213</c:v>
                </c:pt>
                <c:pt idx="63">
                  <c:v>2.1159351434268201</c:v>
                </c:pt>
                <c:pt idx="64">
                  <c:v>1.8720441343738199</c:v>
                </c:pt>
                <c:pt idx="65">
                  <c:v>2.05181483352162</c:v>
                </c:pt>
                <c:pt idx="66">
                  <c:v>2.6753932538190401</c:v>
                </c:pt>
                <c:pt idx="67">
                  <c:v>2.1891849631340601</c:v>
                </c:pt>
                <c:pt idx="68">
                  <c:v>2.1992370333763098</c:v>
                </c:pt>
                <c:pt idx="69">
                  <c:v>3.7324056883252701</c:v>
                </c:pt>
                <c:pt idx="70">
                  <c:v>3.5684317111341901</c:v>
                </c:pt>
                <c:pt idx="71">
                  <c:v>2.4758046316222999</c:v>
                </c:pt>
                <c:pt idx="72">
                  <c:v>1.6930941255268399</c:v>
                </c:pt>
                <c:pt idx="73">
                  <c:v>2.8235902478544399</c:v>
                </c:pt>
                <c:pt idx="74">
                  <c:v>2.5559779162768601</c:v>
                </c:pt>
                <c:pt idx="75">
                  <c:v>3.2995433793906899</c:v>
                </c:pt>
                <c:pt idx="76">
                  <c:v>2.0228514426786099</c:v>
                </c:pt>
                <c:pt idx="77">
                  <c:v>3.2219136560778598</c:v>
                </c:pt>
                <c:pt idx="78">
                  <c:v>1.6855029134589901</c:v>
                </c:pt>
                <c:pt idx="79">
                  <c:v>1.3703414419025599</c:v>
                </c:pt>
                <c:pt idx="80">
                  <c:v>0.93601408119727703</c:v>
                </c:pt>
                <c:pt idx="81">
                  <c:v>2.7852503952997498</c:v>
                </c:pt>
                <c:pt idx="82">
                  <c:v>1.1357339338790999</c:v>
                </c:pt>
                <c:pt idx="83">
                  <c:v>1.05935100669758</c:v>
                </c:pt>
                <c:pt idx="84">
                  <c:v>1.7499832026145099</c:v>
                </c:pt>
                <c:pt idx="85">
                  <c:v>0.93380829500602103</c:v>
                </c:pt>
                <c:pt idx="86">
                  <c:v>0.90428786265279604</c:v>
                </c:pt>
                <c:pt idx="87">
                  <c:v>1.7749906611059201</c:v>
                </c:pt>
                <c:pt idx="88">
                  <c:v>1.74710552295702</c:v>
                </c:pt>
                <c:pt idx="89">
                  <c:v>1.74710552295702</c:v>
                </c:pt>
                <c:pt idx="90">
                  <c:v>1.8037144925085</c:v>
                </c:pt>
                <c:pt idx="91">
                  <c:v>1.41007380341144</c:v>
                </c:pt>
                <c:pt idx="92">
                  <c:v>1.3507832134778699</c:v>
                </c:pt>
                <c:pt idx="93">
                  <c:v>2.0879713048060502</c:v>
                </c:pt>
                <c:pt idx="94">
                  <c:v>2.7287625905363102</c:v>
                </c:pt>
                <c:pt idx="95">
                  <c:v>1.7749906611059201</c:v>
                </c:pt>
                <c:pt idx="96">
                  <c:v>1.49577558932918</c:v>
                </c:pt>
                <c:pt idx="97">
                  <c:v>2.5633048519260502</c:v>
                </c:pt>
                <c:pt idx="98">
                  <c:v>3.0069152849193301</c:v>
                </c:pt>
                <c:pt idx="99">
                  <c:v>2.3363144171990902</c:v>
                </c:pt>
                <c:pt idx="100">
                  <c:v>3.5017774750189199</c:v>
                </c:pt>
                <c:pt idx="101">
                  <c:v>1.29081149037145</c:v>
                </c:pt>
                <c:pt idx="102">
                  <c:v>2.8569504618328501</c:v>
                </c:pt>
                <c:pt idx="103">
                  <c:v>3.4889022427466201</c:v>
                </c:pt>
                <c:pt idx="104">
                  <c:v>2.6063121524234201</c:v>
                </c:pt>
                <c:pt idx="105">
                  <c:v>1.9297054108578799</c:v>
                </c:pt>
                <c:pt idx="106">
                  <c:v>1.49577558932918</c:v>
                </c:pt>
                <c:pt idx="107">
                  <c:v>2.0618275556870098</c:v>
                </c:pt>
                <c:pt idx="108">
                  <c:v>1.57058182506618</c:v>
                </c:pt>
                <c:pt idx="109">
                  <c:v>1.85920356063017</c:v>
                </c:pt>
                <c:pt idx="110">
                  <c:v>3.20952238376058</c:v>
                </c:pt>
                <c:pt idx="111">
                  <c:v>2.6503825646714101</c:v>
                </c:pt>
                <c:pt idx="112">
                  <c:v>2.9179069579888202</c:v>
                </c:pt>
                <c:pt idx="113">
                  <c:v>1.70422804885815</c:v>
                </c:pt>
                <c:pt idx="114">
                  <c:v>1.6829170300637499</c:v>
                </c:pt>
                <c:pt idx="115">
                  <c:v>1.7799692763666499</c:v>
                </c:pt>
                <c:pt idx="116">
                  <c:v>2.8117391434158798</c:v>
                </c:pt>
                <c:pt idx="117">
                  <c:v>2.5907280694847299</c:v>
                </c:pt>
                <c:pt idx="118">
                  <c:v>2.69916625193963</c:v>
                </c:pt>
                <c:pt idx="119">
                  <c:v>0.87937160028924399</c:v>
                </c:pt>
                <c:pt idx="120">
                  <c:v>3.80483689779801</c:v>
                </c:pt>
                <c:pt idx="121">
                  <c:v>2.3188685937827</c:v>
                </c:pt>
                <c:pt idx="122">
                  <c:v>7.0870572965274201</c:v>
                </c:pt>
                <c:pt idx="123">
                  <c:v>2.5429234685372801</c:v>
                </c:pt>
                <c:pt idx="124">
                  <c:v>1.2991491546068401</c:v>
                </c:pt>
                <c:pt idx="125">
                  <c:v>2.3206774977904598</c:v>
                </c:pt>
                <c:pt idx="126">
                  <c:v>4.7537174031168004</c:v>
                </c:pt>
                <c:pt idx="127">
                  <c:v>1.3573037801538199</c:v>
                </c:pt>
                <c:pt idx="128">
                  <c:v>1.12885577402314</c:v>
                </c:pt>
                <c:pt idx="129">
                  <c:v>5.3907762225153304</c:v>
                </c:pt>
                <c:pt idx="130">
                  <c:v>2.3285408003548702</c:v>
                </c:pt>
                <c:pt idx="131">
                  <c:v>2.4873195468742</c:v>
                </c:pt>
                <c:pt idx="132">
                  <c:v>1.4143491521334599</c:v>
                </c:pt>
                <c:pt idx="133">
                  <c:v>3.17518965527228</c:v>
                </c:pt>
                <c:pt idx="134">
                  <c:v>2.2653612255876299</c:v>
                </c:pt>
                <c:pt idx="135">
                  <c:v>1.1904471886466801</c:v>
                </c:pt>
                <c:pt idx="136">
                  <c:v>5.3412248889344696</c:v>
                </c:pt>
                <c:pt idx="137">
                  <c:v>2.5650558970586501</c:v>
                </c:pt>
                <c:pt idx="138">
                  <c:v>2.6006306692363199</c:v>
                </c:pt>
                <c:pt idx="139">
                  <c:v>1.960732510805</c:v>
                </c:pt>
                <c:pt idx="140">
                  <c:v>1.0542849506893199</c:v>
                </c:pt>
                <c:pt idx="141">
                  <c:v>2.0348268785746102</c:v>
                </c:pt>
                <c:pt idx="142">
                  <c:v>1.5146161309485899</c:v>
                </c:pt>
                <c:pt idx="143">
                  <c:v>1.70936696972637</c:v>
                </c:pt>
                <c:pt idx="144">
                  <c:v>0.174797502888277</c:v>
                </c:pt>
                <c:pt idx="145">
                  <c:v>0.46799531502688901</c:v>
                </c:pt>
                <c:pt idx="146">
                  <c:v>0.32982302774264199</c:v>
                </c:pt>
                <c:pt idx="147">
                  <c:v>0.17681301691891199</c:v>
                </c:pt>
                <c:pt idx="148">
                  <c:v>2.48657850320477</c:v>
                </c:pt>
                <c:pt idx="149">
                  <c:v>3.2108775343186999</c:v>
                </c:pt>
                <c:pt idx="150">
                  <c:v>5.45791251638774</c:v>
                </c:pt>
                <c:pt idx="151">
                  <c:v>2.9754098441094801</c:v>
                </c:pt>
                <c:pt idx="152">
                  <c:v>4.6095971293427498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1-4DC6-A157-3EF3BE96C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K2O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 - Dataset'!$Q$14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Dataset'!$Q$15:$Q$125</c:f>
              <c:numCache>
                <c:formatCode>General</c:formatCode>
                <c:ptCount val="111"/>
                <c:pt idx="0">
                  <c:v>5.97</c:v>
                </c:pt>
                <c:pt idx="1">
                  <c:v>5.03</c:v>
                </c:pt>
                <c:pt idx="2">
                  <c:v>3.7</c:v>
                </c:pt>
                <c:pt idx="3">
                  <c:v>5.33</c:v>
                </c:pt>
                <c:pt idx="4">
                  <c:v>5.48</c:v>
                </c:pt>
                <c:pt idx="5">
                  <c:v>3.74</c:v>
                </c:pt>
                <c:pt idx="6">
                  <c:v>7.94</c:v>
                </c:pt>
                <c:pt idx="7">
                  <c:v>5.29</c:v>
                </c:pt>
                <c:pt idx="8">
                  <c:v>8.84</c:v>
                </c:pt>
                <c:pt idx="9">
                  <c:v>5.67</c:v>
                </c:pt>
                <c:pt idx="10">
                  <c:v>7.5</c:v>
                </c:pt>
                <c:pt idx="11">
                  <c:v>5.56</c:v>
                </c:pt>
                <c:pt idx="12">
                  <c:v>3.09</c:v>
                </c:pt>
                <c:pt idx="13">
                  <c:v>5.18</c:v>
                </c:pt>
                <c:pt idx="14">
                  <c:v>4.8600000000000003</c:v>
                </c:pt>
                <c:pt idx="15">
                  <c:v>5.05</c:v>
                </c:pt>
                <c:pt idx="16">
                  <c:v>4.8099999999999996</c:v>
                </c:pt>
                <c:pt idx="17">
                  <c:v>5.45</c:v>
                </c:pt>
                <c:pt idx="18">
                  <c:v>6.46</c:v>
                </c:pt>
                <c:pt idx="19">
                  <c:v>6.4</c:v>
                </c:pt>
                <c:pt idx="20">
                  <c:v>3.4</c:v>
                </c:pt>
                <c:pt idx="21">
                  <c:v>5.74</c:v>
                </c:pt>
                <c:pt idx="22">
                  <c:v>4.9000000000000004</c:v>
                </c:pt>
                <c:pt idx="23">
                  <c:v>5.26</c:v>
                </c:pt>
                <c:pt idx="24">
                  <c:v>4.7300000000000004</c:v>
                </c:pt>
                <c:pt idx="25">
                  <c:v>5.24</c:v>
                </c:pt>
                <c:pt idx="26">
                  <c:v>4.7300000000000004</c:v>
                </c:pt>
                <c:pt idx="27">
                  <c:v>5.54</c:v>
                </c:pt>
                <c:pt idx="28">
                  <c:v>3.71</c:v>
                </c:pt>
                <c:pt idx="29">
                  <c:v>5.0199999999999996</c:v>
                </c:pt>
                <c:pt idx="30">
                  <c:v>4.75</c:v>
                </c:pt>
                <c:pt idx="31">
                  <c:v>5.62</c:v>
                </c:pt>
                <c:pt idx="32">
                  <c:v>5.61</c:v>
                </c:pt>
                <c:pt idx="33">
                  <c:v>6.14</c:v>
                </c:pt>
                <c:pt idx="34">
                  <c:v>5.81</c:v>
                </c:pt>
                <c:pt idx="35">
                  <c:v>5.2</c:v>
                </c:pt>
                <c:pt idx="36">
                  <c:v>6.44</c:v>
                </c:pt>
                <c:pt idx="37">
                  <c:v>5.46</c:v>
                </c:pt>
                <c:pt idx="38">
                  <c:v>5.57</c:v>
                </c:pt>
                <c:pt idx="39">
                  <c:v>6.21</c:v>
                </c:pt>
                <c:pt idx="40">
                  <c:v>6.2</c:v>
                </c:pt>
                <c:pt idx="41">
                  <c:v>5.36</c:v>
                </c:pt>
                <c:pt idx="42">
                  <c:v>8.7899999999999991</c:v>
                </c:pt>
                <c:pt idx="43">
                  <c:v>4.3899999999999997</c:v>
                </c:pt>
                <c:pt idx="44">
                  <c:v>5.57</c:v>
                </c:pt>
                <c:pt idx="45">
                  <c:v>6.79</c:v>
                </c:pt>
                <c:pt idx="46">
                  <c:v>3.92</c:v>
                </c:pt>
                <c:pt idx="47">
                  <c:v>6.58</c:v>
                </c:pt>
                <c:pt idx="48">
                  <c:v>5.64</c:v>
                </c:pt>
                <c:pt idx="49">
                  <c:v>6.26</c:v>
                </c:pt>
                <c:pt idx="50">
                  <c:v>6.89</c:v>
                </c:pt>
                <c:pt idx="51">
                  <c:v>4</c:v>
                </c:pt>
                <c:pt idx="52">
                  <c:v>4.6100000000000003</c:v>
                </c:pt>
                <c:pt idx="53">
                  <c:v>6.35</c:v>
                </c:pt>
                <c:pt idx="54">
                  <c:v>6.62</c:v>
                </c:pt>
                <c:pt idx="55">
                  <c:v>6.44</c:v>
                </c:pt>
                <c:pt idx="56">
                  <c:v>5.98</c:v>
                </c:pt>
                <c:pt idx="57">
                  <c:v>7.17</c:v>
                </c:pt>
                <c:pt idx="58">
                  <c:v>5.53</c:v>
                </c:pt>
                <c:pt idx="59">
                  <c:v>5.27</c:v>
                </c:pt>
                <c:pt idx="60">
                  <c:v>3.3</c:v>
                </c:pt>
                <c:pt idx="61">
                  <c:v>6.41</c:v>
                </c:pt>
                <c:pt idx="62">
                  <c:v>7.91</c:v>
                </c:pt>
                <c:pt idx="63">
                  <c:v>5.65</c:v>
                </c:pt>
                <c:pt idx="64">
                  <c:v>8.73</c:v>
                </c:pt>
                <c:pt idx="65">
                  <c:v>6.53</c:v>
                </c:pt>
                <c:pt idx="66">
                  <c:v>3.85</c:v>
                </c:pt>
                <c:pt idx="67">
                  <c:v>4.5599999999999996</c:v>
                </c:pt>
                <c:pt idx="68">
                  <c:v>7.11</c:v>
                </c:pt>
                <c:pt idx="69">
                  <c:v>8.01</c:v>
                </c:pt>
                <c:pt idx="70">
                  <c:v>6.87</c:v>
                </c:pt>
                <c:pt idx="71">
                  <c:v>5.49</c:v>
                </c:pt>
                <c:pt idx="72">
                  <c:v>6.01</c:v>
                </c:pt>
                <c:pt idx="73">
                  <c:v>4.93</c:v>
                </c:pt>
                <c:pt idx="74">
                  <c:v>4.79</c:v>
                </c:pt>
                <c:pt idx="75">
                  <c:v>5.35</c:v>
                </c:pt>
                <c:pt idx="76">
                  <c:v>4.37</c:v>
                </c:pt>
                <c:pt idx="77">
                  <c:v>7.29</c:v>
                </c:pt>
                <c:pt idx="78">
                  <c:v>4.78</c:v>
                </c:pt>
                <c:pt idx="79">
                  <c:v>5.98</c:v>
                </c:pt>
                <c:pt idx="80">
                  <c:v>6.09</c:v>
                </c:pt>
                <c:pt idx="81">
                  <c:v>7.45</c:v>
                </c:pt>
                <c:pt idx="82">
                  <c:v>7.32</c:v>
                </c:pt>
                <c:pt idx="83">
                  <c:v>7.32</c:v>
                </c:pt>
                <c:pt idx="84">
                  <c:v>4.82</c:v>
                </c:pt>
                <c:pt idx="85">
                  <c:v>5.86</c:v>
                </c:pt>
                <c:pt idx="86">
                  <c:v>4.8</c:v>
                </c:pt>
                <c:pt idx="87">
                  <c:v>5.13</c:v>
                </c:pt>
                <c:pt idx="88">
                  <c:v>6.5</c:v>
                </c:pt>
                <c:pt idx="89">
                  <c:v>7.45</c:v>
                </c:pt>
                <c:pt idx="90">
                  <c:v>7.45</c:v>
                </c:pt>
                <c:pt idx="91">
                  <c:v>6.01</c:v>
                </c:pt>
                <c:pt idx="92">
                  <c:v>7.31</c:v>
                </c:pt>
                <c:pt idx="93">
                  <c:v>5.81</c:v>
                </c:pt>
                <c:pt idx="94">
                  <c:v>6.14</c:v>
                </c:pt>
                <c:pt idx="95">
                  <c:v>4.1399999999999997</c:v>
                </c:pt>
                <c:pt idx="96">
                  <c:v>7.76</c:v>
                </c:pt>
                <c:pt idx="97">
                  <c:v>7.28</c:v>
                </c:pt>
                <c:pt idx="98">
                  <c:v>6.64</c:v>
                </c:pt>
                <c:pt idx="99">
                  <c:v>3.96</c:v>
                </c:pt>
                <c:pt idx="100">
                  <c:v>4.87</c:v>
                </c:pt>
                <c:pt idx="101">
                  <c:v>7.45</c:v>
                </c:pt>
                <c:pt idx="102">
                  <c:v>3.62</c:v>
                </c:pt>
                <c:pt idx="103">
                  <c:v>4.71</c:v>
                </c:pt>
                <c:pt idx="104">
                  <c:v>7.04</c:v>
                </c:pt>
                <c:pt idx="105">
                  <c:v>6.88</c:v>
                </c:pt>
                <c:pt idx="106">
                  <c:v>6.41</c:v>
                </c:pt>
                <c:pt idx="107">
                  <c:v>9.89</c:v>
                </c:pt>
                <c:pt idx="108">
                  <c:v>5.77</c:v>
                </c:pt>
                <c:pt idx="109">
                  <c:v>5.81</c:v>
                </c:pt>
                <c:pt idx="110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6-443D-9AF8-C806815163F6}"/>
            </c:ext>
          </c:extLst>
        </c:ser>
        <c:ser>
          <c:idx val="1"/>
          <c:order val="1"/>
          <c:tx>
            <c:strRef>
              <c:f>'Results - Dataset'!$R$14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Dataset'!$R$15:$R$125</c:f>
              <c:numCache>
                <c:formatCode>General</c:formatCode>
                <c:ptCount val="111"/>
                <c:pt idx="0">
                  <c:v>5.7263776644182398</c:v>
                </c:pt>
                <c:pt idx="1">
                  <c:v>6.2486534575599402</c:v>
                </c:pt>
                <c:pt idx="2">
                  <c:v>4.51054375553207</c:v>
                </c:pt>
                <c:pt idx="3">
                  <c:v>4.85370736266061</c:v>
                </c:pt>
                <c:pt idx="4">
                  <c:v>5.6898821720083399</c:v>
                </c:pt>
                <c:pt idx="5">
                  <c:v>4.7136260011361903</c:v>
                </c:pt>
                <c:pt idx="6">
                  <c:v>7.5141506714509303</c:v>
                </c:pt>
                <c:pt idx="7">
                  <c:v>5.6452448872371797</c:v>
                </c:pt>
                <c:pt idx="8">
                  <c:v>7.6888978954106699</c:v>
                </c:pt>
                <c:pt idx="9">
                  <c:v>5.7611590107619204</c:v>
                </c:pt>
                <c:pt idx="10">
                  <c:v>7.3551955494154901</c:v>
                </c:pt>
                <c:pt idx="11">
                  <c:v>6.64422375137966</c:v>
                </c:pt>
                <c:pt idx="12">
                  <c:v>4.1277391400261099</c:v>
                </c:pt>
                <c:pt idx="13">
                  <c:v>5.0714837624976203</c:v>
                </c:pt>
                <c:pt idx="14">
                  <c:v>4.5509459423022696</c:v>
                </c:pt>
                <c:pt idx="15">
                  <c:v>5.1183533195761903</c:v>
                </c:pt>
                <c:pt idx="16">
                  <c:v>5.0697523035929999</c:v>
                </c:pt>
                <c:pt idx="17">
                  <c:v>5.38878025944478</c:v>
                </c:pt>
                <c:pt idx="18">
                  <c:v>5.8914771654315503</c:v>
                </c:pt>
                <c:pt idx="19">
                  <c:v>7.0350639068249299</c:v>
                </c:pt>
                <c:pt idx="20">
                  <c:v>4.3580183893117104</c:v>
                </c:pt>
                <c:pt idx="21">
                  <c:v>5.8919671895024797</c:v>
                </c:pt>
                <c:pt idx="22">
                  <c:v>4.9343983752213703</c:v>
                </c:pt>
                <c:pt idx="23">
                  <c:v>5.3614336813778296</c:v>
                </c:pt>
                <c:pt idx="24">
                  <c:v>5.1987246070383897</c:v>
                </c:pt>
                <c:pt idx="25">
                  <c:v>5.1192788489238596</c:v>
                </c:pt>
                <c:pt idx="26">
                  <c:v>4.8624508866411302</c:v>
                </c:pt>
                <c:pt idx="27">
                  <c:v>5.8744382827913899</c:v>
                </c:pt>
                <c:pt idx="28">
                  <c:v>5.0300101281424903</c:v>
                </c:pt>
                <c:pt idx="29">
                  <c:v>4.9427262977326603</c:v>
                </c:pt>
                <c:pt idx="30">
                  <c:v>5.0421063559581896</c:v>
                </c:pt>
                <c:pt idx="31">
                  <c:v>4.4925441101543599</c:v>
                </c:pt>
                <c:pt idx="32">
                  <c:v>5.2403837995032898</c:v>
                </c:pt>
                <c:pt idx="33">
                  <c:v>6.4028883628650499</c:v>
                </c:pt>
                <c:pt idx="34">
                  <c:v>5.4234437287485902</c:v>
                </c:pt>
                <c:pt idx="35">
                  <c:v>4.5403679684505702</c:v>
                </c:pt>
                <c:pt idx="36">
                  <c:v>5.1017878089130004</c:v>
                </c:pt>
                <c:pt idx="37">
                  <c:v>5.62099042983363</c:v>
                </c:pt>
                <c:pt idx="38">
                  <c:v>5.0084494622427398</c:v>
                </c:pt>
                <c:pt idx="39">
                  <c:v>6.3498128966268501</c:v>
                </c:pt>
                <c:pt idx="40">
                  <c:v>5.52540751540604</c:v>
                </c:pt>
                <c:pt idx="41">
                  <c:v>6.2184192600206201</c:v>
                </c:pt>
                <c:pt idx="42">
                  <c:v>8.1813534270645505</c:v>
                </c:pt>
                <c:pt idx="43">
                  <c:v>4.8342248958446596</c:v>
                </c:pt>
                <c:pt idx="44">
                  <c:v>5.6447066048677499</c:v>
                </c:pt>
                <c:pt idx="45">
                  <c:v>6.2216150090625</c:v>
                </c:pt>
                <c:pt idx="46">
                  <c:v>4.9958067831491597</c:v>
                </c:pt>
                <c:pt idx="47">
                  <c:v>5.7617219156153299</c:v>
                </c:pt>
                <c:pt idx="48">
                  <c:v>6.5252982104998196</c:v>
                </c:pt>
                <c:pt idx="49">
                  <c:v>5.3235496024574296</c:v>
                </c:pt>
                <c:pt idx="50">
                  <c:v>6.7563395828620001</c:v>
                </c:pt>
                <c:pt idx="51">
                  <c:v>4.7245510741822203</c:v>
                </c:pt>
                <c:pt idx="52">
                  <c:v>5.13231759342559</c:v>
                </c:pt>
                <c:pt idx="53">
                  <c:v>5.4872670642538397</c:v>
                </c:pt>
                <c:pt idx="54">
                  <c:v>6.5459370294175097</c:v>
                </c:pt>
                <c:pt idx="55">
                  <c:v>6.1843435148603501</c:v>
                </c:pt>
                <c:pt idx="56">
                  <c:v>6.7639674631910296</c:v>
                </c:pt>
                <c:pt idx="57">
                  <c:v>6.0086008179906001</c:v>
                </c:pt>
                <c:pt idx="58">
                  <c:v>6.4486871814710502</c:v>
                </c:pt>
                <c:pt idx="59">
                  <c:v>6.0072841954448704</c:v>
                </c:pt>
                <c:pt idx="60">
                  <c:v>3.8753673416025798</c:v>
                </c:pt>
                <c:pt idx="61">
                  <c:v>5.9634748640633202</c:v>
                </c:pt>
                <c:pt idx="62">
                  <c:v>7.1715728892447599</c:v>
                </c:pt>
                <c:pt idx="63">
                  <c:v>6.5286793690750597</c:v>
                </c:pt>
                <c:pt idx="64">
                  <c:v>7.3195886780489801</c:v>
                </c:pt>
                <c:pt idx="65">
                  <c:v>6.5987910987023799</c:v>
                </c:pt>
                <c:pt idx="66">
                  <c:v>5.9381730036200198</c:v>
                </c:pt>
                <c:pt idx="67">
                  <c:v>4.9975241066798102</c:v>
                </c:pt>
                <c:pt idx="68">
                  <c:v>6.7121690229394098</c:v>
                </c:pt>
                <c:pt idx="69">
                  <c:v>7.42180577074196</c:v>
                </c:pt>
                <c:pt idx="70">
                  <c:v>5.8735864057351197</c:v>
                </c:pt>
                <c:pt idx="71">
                  <c:v>5.44074618514143</c:v>
                </c:pt>
                <c:pt idx="72">
                  <c:v>6.6976572962081402</c:v>
                </c:pt>
                <c:pt idx="73">
                  <c:v>4.9999527641292003</c:v>
                </c:pt>
                <c:pt idx="74">
                  <c:v>4.8589458091975297</c:v>
                </c:pt>
                <c:pt idx="75">
                  <c:v>4.8584030509524503</c:v>
                </c:pt>
                <c:pt idx="76">
                  <c:v>4.3612303197506899</c:v>
                </c:pt>
                <c:pt idx="77">
                  <c:v>6.5482357995107696</c:v>
                </c:pt>
                <c:pt idx="78">
                  <c:v>4.4616999924031404</c:v>
                </c:pt>
                <c:pt idx="79">
                  <c:v>4.7940456869588202</c:v>
                </c:pt>
                <c:pt idx="80">
                  <c:v>4.42937330456013</c:v>
                </c:pt>
                <c:pt idx="81">
                  <c:v>7.0124912553718604</c:v>
                </c:pt>
                <c:pt idx="82">
                  <c:v>7.2254912983958901</c:v>
                </c:pt>
                <c:pt idx="83">
                  <c:v>7.2254912983958901</c:v>
                </c:pt>
                <c:pt idx="84">
                  <c:v>5.2633568619438096</c:v>
                </c:pt>
                <c:pt idx="85">
                  <c:v>5.1290226409605202</c:v>
                </c:pt>
                <c:pt idx="86">
                  <c:v>5.0779356117191599</c:v>
                </c:pt>
                <c:pt idx="87">
                  <c:v>5.1684956818441599</c:v>
                </c:pt>
                <c:pt idx="88">
                  <c:v>6.2973469235267903</c:v>
                </c:pt>
                <c:pt idx="89">
                  <c:v>7.0124912553718604</c:v>
                </c:pt>
                <c:pt idx="90">
                  <c:v>6.5692473847554496</c:v>
                </c:pt>
                <c:pt idx="91">
                  <c:v>5.2817993182623901</c:v>
                </c:pt>
                <c:pt idx="92">
                  <c:v>6.5030155244156704</c:v>
                </c:pt>
                <c:pt idx="93">
                  <c:v>4.7546814272123301</c:v>
                </c:pt>
                <c:pt idx="94">
                  <c:v>7.3155957911493701</c:v>
                </c:pt>
                <c:pt idx="95">
                  <c:v>4.5121927697818096</c:v>
                </c:pt>
                <c:pt idx="96">
                  <c:v>6.8619515254160399</c:v>
                </c:pt>
                <c:pt idx="97">
                  <c:v>7.3506450356343196</c:v>
                </c:pt>
                <c:pt idx="98">
                  <c:v>5.8342083857746401</c:v>
                </c:pt>
                <c:pt idx="99">
                  <c:v>4.9366834595284397</c:v>
                </c:pt>
                <c:pt idx="100">
                  <c:v>4.5779876978099603</c:v>
                </c:pt>
                <c:pt idx="101">
                  <c:v>6.5692473847554496</c:v>
                </c:pt>
                <c:pt idx="102">
                  <c:v>4.9363823561846703</c:v>
                </c:pt>
                <c:pt idx="103">
                  <c:v>5.2353917581929501</c:v>
                </c:pt>
                <c:pt idx="104">
                  <c:v>5.9526953984545701</c:v>
                </c:pt>
                <c:pt idx="105">
                  <c:v>6.22822825632419</c:v>
                </c:pt>
                <c:pt idx="106">
                  <c:v>5.4248830770650898</c:v>
                </c:pt>
                <c:pt idx="107">
                  <c:v>9.2122525403979605</c:v>
                </c:pt>
                <c:pt idx="108">
                  <c:v>5.7362955927061696</c:v>
                </c:pt>
                <c:pt idx="109">
                  <c:v>5.4170741414785901</c:v>
                </c:pt>
                <c:pt idx="110">
                  <c:v>5.0595785744826101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6-443D-9AF8-C80681516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NH4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'Results - Dataset'!$V$14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Dataset'!$V$15:$V$162</c:f>
              <c:numCache>
                <c:formatCode>General</c:formatCode>
                <c:ptCount val="148"/>
                <c:pt idx="0">
                  <c:v>3.05</c:v>
                </c:pt>
                <c:pt idx="1">
                  <c:v>3.36</c:v>
                </c:pt>
                <c:pt idx="2">
                  <c:v>2.08</c:v>
                </c:pt>
                <c:pt idx="3">
                  <c:v>1.27</c:v>
                </c:pt>
                <c:pt idx="4">
                  <c:v>2.58</c:v>
                </c:pt>
                <c:pt idx="5">
                  <c:v>3.92</c:v>
                </c:pt>
                <c:pt idx="6">
                  <c:v>3.23</c:v>
                </c:pt>
                <c:pt idx="7">
                  <c:v>1.35</c:v>
                </c:pt>
                <c:pt idx="8">
                  <c:v>3.4</c:v>
                </c:pt>
                <c:pt idx="9">
                  <c:v>2.85</c:v>
                </c:pt>
                <c:pt idx="10">
                  <c:v>4.26</c:v>
                </c:pt>
                <c:pt idx="11">
                  <c:v>3.7</c:v>
                </c:pt>
                <c:pt idx="12">
                  <c:v>3.17</c:v>
                </c:pt>
                <c:pt idx="13">
                  <c:v>3.09</c:v>
                </c:pt>
                <c:pt idx="14">
                  <c:v>1.83</c:v>
                </c:pt>
                <c:pt idx="15">
                  <c:v>2.52</c:v>
                </c:pt>
                <c:pt idx="16">
                  <c:v>2.2599999999999998</c:v>
                </c:pt>
                <c:pt idx="17">
                  <c:v>2.48</c:v>
                </c:pt>
                <c:pt idx="18">
                  <c:v>1.34</c:v>
                </c:pt>
                <c:pt idx="19">
                  <c:v>2.68</c:v>
                </c:pt>
                <c:pt idx="20">
                  <c:v>2.17</c:v>
                </c:pt>
                <c:pt idx="21">
                  <c:v>2.65</c:v>
                </c:pt>
                <c:pt idx="22">
                  <c:v>2.02</c:v>
                </c:pt>
                <c:pt idx="23">
                  <c:v>1.68</c:v>
                </c:pt>
                <c:pt idx="24">
                  <c:v>3.01</c:v>
                </c:pt>
                <c:pt idx="25">
                  <c:v>2.2999999999999998</c:v>
                </c:pt>
                <c:pt idx="26">
                  <c:v>2.27</c:v>
                </c:pt>
                <c:pt idx="27">
                  <c:v>2.16</c:v>
                </c:pt>
                <c:pt idx="28">
                  <c:v>3.4</c:v>
                </c:pt>
                <c:pt idx="29">
                  <c:v>1.69</c:v>
                </c:pt>
                <c:pt idx="30">
                  <c:v>2.42</c:v>
                </c:pt>
                <c:pt idx="31">
                  <c:v>3.04</c:v>
                </c:pt>
                <c:pt idx="32">
                  <c:v>4.04</c:v>
                </c:pt>
                <c:pt idx="33">
                  <c:v>1.95</c:v>
                </c:pt>
                <c:pt idx="34">
                  <c:v>4.2300000000000004</c:v>
                </c:pt>
                <c:pt idx="35">
                  <c:v>2.2400000000000002</c:v>
                </c:pt>
                <c:pt idx="36">
                  <c:v>2.14</c:v>
                </c:pt>
                <c:pt idx="37">
                  <c:v>2.74</c:v>
                </c:pt>
                <c:pt idx="38">
                  <c:v>3.45</c:v>
                </c:pt>
                <c:pt idx="39">
                  <c:v>2.75</c:v>
                </c:pt>
                <c:pt idx="40">
                  <c:v>2.4700000000000002</c:v>
                </c:pt>
                <c:pt idx="41">
                  <c:v>2.35</c:v>
                </c:pt>
                <c:pt idx="42">
                  <c:v>2.86</c:v>
                </c:pt>
                <c:pt idx="43">
                  <c:v>2.67</c:v>
                </c:pt>
                <c:pt idx="44">
                  <c:v>5.39</c:v>
                </c:pt>
                <c:pt idx="45">
                  <c:v>2.73</c:v>
                </c:pt>
                <c:pt idx="46">
                  <c:v>2.52</c:v>
                </c:pt>
                <c:pt idx="47">
                  <c:v>3.11</c:v>
                </c:pt>
                <c:pt idx="48">
                  <c:v>2.84</c:v>
                </c:pt>
                <c:pt idx="49">
                  <c:v>2.68</c:v>
                </c:pt>
                <c:pt idx="50">
                  <c:v>3.56</c:v>
                </c:pt>
                <c:pt idx="51">
                  <c:v>2.16</c:v>
                </c:pt>
                <c:pt idx="52">
                  <c:v>3.38</c:v>
                </c:pt>
                <c:pt idx="53">
                  <c:v>2.79</c:v>
                </c:pt>
                <c:pt idx="54">
                  <c:v>1.91</c:v>
                </c:pt>
                <c:pt idx="55">
                  <c:v>2.5099999999999998</c:v>
                </c:pt>
                <c:pt idx="56">
                  <c:v>4.83</c:v>
                </c:pt>
                <c:pt idx="57">
                  <c:v>2.81</c:v>
                </c:pt>
                <c:pt idx="58">
                  <c:v>3.7</c:v>
                </c:pt>
                <c:pt idx="59">
                  <c:v>3.71</c:v>
                </c:pt>
                <c:pt idx="60">
                  <c:v>4.09</c:v>
                </c:pt>
                <c:pt idx="61">
                  <c:v>5.66</c:v>
                </c:pt>
                <c:pt idx="62">
                  <c:v>4.0199999999999996</c:v>
                </c:pt>
                <c:pt idx="63">
                  <c:v>2.4</c:v>
                </c:pt>
                <c:pt idx="64">
                  <c:v>2.6</c:v>
                </c:pt>
                <c:pt idx="65">
                  <c:v>4.72</c:v>
                </c:pt>
                <c:pt idx="66">
                  <c:v>3.42</c:v>
                </c:pt>
                <c:pt idx="67">
                  <c:v>3.54</c:v>
                </c:pt>
                <c:pt idx="68">
                  <c:v>4.2</c:v>
                </c:pt>
                <c:pt idx="69">
                  <c:v>3.5</c:v>
                </c:pt>
                <c:pt idx="70">
                  <c:v>4.04</c:v>
                </c:pt>
                <c:pt idx="71">
                  <c:v>4.18</c:v>
                </c:pt>
                <c:pt idx="72">
                  <c:v>2.0699999999999998</c:v>
                </c:pt>
                <c:pt idx="73">
                  <c:v>5.0199999999999996</c:v>
                </c:pt>
                <c:pt idx="74">
                  <c:v>2.5099999999999998</c:v>
                </c:pt>
                <c:pt idx="75">
                  <c:v>4.1399999999999997</c:v>
                </c:pt>
                <c:pt idx="76">
                  <c:v>3.63</c:v>
                </c:pt>
                <c:pt idx="77">
                  <c:v>2.61</c:v>
                </c:pt>
                <c:pt idx="78">
                  <c:v>3.02</c:v>
                </c:pt>
                <c:pt idx="79">
                  <c:v>1.86</c:v>
                </c:pt>
                <c:pt idx="80">
                  <c:v>2.0499999999999998</c:v>
                </c:pt>
                <c:pt idx="81">
                  <c:v>2.31</c:v>
                </c:pt>
                <c:pt idx="82">
                  <c:v>3.47</c:v>
                </c:pt>
                <c:pt idx="83">
                  <c:v>2.0499999999999998</c:v>
                </c:pt>
                <c:pt idx="84">
                  <c:v>2.29</c:v>
                </c:pt>
                <c:pt idx="85">
                  <c:v>2.85</c:v>
                </c:pt>
                <c:pt idx="86">
                  <c:v>2.9</c:v>
                </c:pt>
                <c:pt idx="87">
                  <c:v>2.9</c:v>
                </c:pt>
                <c:pt idx="88">
                  <c:v>2.0099999999999998</c:v>
                </c:pt>
                <c:pt idx="89">
                  <c:v>2.31</c:v>
                </c:pt>
                <c:pt idx="90">
                  <c:v>2.09</c:v>
                </c:pt>
                <c:pt idx="91">
                  <c:v>2.2000000000000002</c:v>
                </c:pt>
                <c:pt idx="92">
                  <c:v>3.15</c:v>
                </c:pt>
                <c:pt idx="93">
                  <c:v>2.85</c:v>
                </c:pt>
                <c:pt idx="94">
                  <c:v>2.85</c:v>
                </c:pt>
                <c:pt idx="95">
                  <c:v>4.55</c:v>
                </c:pt>
                <c:pt idx="96">
                  <c:v>3.74</c:v>
                </c:pt>
                <c:pt idx="97">
                  <c:v>2.85</c:v>
                </c:pt>
                <c:pt idx="98">
                  <c:v>4.3499999999999996</c:v>
                </c:pt>
                <c:pt idx="99">
                  <c:v>1.43</c:v>
                </c:pt>
                <c:pt idx="100">
                  <c:v>3.99</c:v>
                </c:pt>
                <c:pt idx="101">
                  <c:v>4.9800000000000004</c:v>
                </c:pt>
                <c:pt idx="102">
                  <c:v>3.71</c:v>
                </c:pt>
                <c:pt idx="103">
                  <c:v>2.52</c:v>
                </c:pt>
                <c:pt idx="104">
                  <c:v>2.85</c:v>
                </c:pt>
                <c:pt idx="105">
                  <c:v>2.84</c:v>
                </c:pt>
                <c:pt idx="106">
                  <c:v>2.34</c:v>
                </c:pt>
                <c:pt idx="107">
                  <c:v>3.63</c:v>
                </c:pt>
                <c:pt idx="108">
                  <c:v>3.91</c:v>
                </c:pt>
                <c:pt idx="109">
                  <c:v>2.4</c:v>
                </c:pt>
                <c:pt idx="110">
                  <c:v>3.78</c:v>
                </c:pt>
                <c:pt idx="111">
                  <c:v>2.1800000000000002</c:v>
                </c:pt>
                <c:pt idx="112">
                  <c:v>3.11</c:v>
                </c:pt>
                <c:pt idx="113">
                  <c:v>2.59</c:v>
                </c:pt>
                <c:pt idx="114">
                  <c:v>5.76</c:v>
                </c:pt>
                <c:pt idx="115">
                  <c:v>5.2</c:v>
                </c:pt>
                <c:pt idx="116">
                  <c:v>5.73</c:v>
                </c:pt>
                <c:pt idx="117">
                  <c:v>5.79</c:v>
                </c:pt>
                <c:pt idx="118">
                  <c:v>2.0499999999999998</c:v>
                </c:pt>
                <c:pt idx="119">
                  <c:v>3.18</c:v>
                </c:pt>
                <c:pt idx="120">
                  <c:v>3.22</c:v>
                </c:pt>
                <c:pt idx="121">
                  <c:v>4.04</c:v>
                </c:pt>
                <c:pt idx="122">
                  <c:v>4.57</c:v>
                </c:pt>
                <c:pt idx="123">
                  <c:v>2.63</c:v>
                </c:pt>
                <c:pt idx="124">
                  <c:v>5.37</c:v>
                </c:pt>
                <c:pt idx="125">
                  <c:v>4.83</c:v>
                </c:pt>
                <c:pt idx="126">
                  <c:v>2.59</c:v>
                </c:pt>
                <c:pt idx="127">
                  <c:v>3.84</c:v>
                </c:pt>
                <c:pt idx="128">
                  <c:v>5.79</c:v>
                </c:pt>
                <c:pt idx="129">
                  <c:v>3.81</c:v>
                </c:pt>
                <c:pt idx="130">
                  <c:v>3.07</c:v>
                </c:pt>
                <c:pt idx="131">
                  <c:v>2.35</c:v>
                </c:pt>
                <c:pt idx="132">
                  <c:v>4.2</c:v>
                </c:pt>
                <c:pt idx="133">
                  <c:v>4.32</c:v>
                </c:pt>
                <c:pt idx="134">
                  <c:v>1.81</c:v>
                </c:pt>
                <c:pt idx="135">
                  <c:v>5.86</c:v>
                </c:pt>
                <c:pt idx="136">
                  <c:v>5.66</c:v>
                </c:pt>
                <c:pt idx="137">
                  <c:v>5.33</c:v>
                </c:pt>
                <c:pt idx="138">
                  <c:v>3.78</c:v>
                </c:pt>
                <c:pt idx="139">
                  <c:v>4.08</c:v>
                </c:pt>
                <c:pt idx="140">
                  <c:v>2.83</c:v>
                </c:pt>
                <c:pt idx="141">
                  <c:v>2.39</c:v>
                </c:pt>
                <c:pt idx="142">
                  <c:v>0.4</c:v>
                </c:pt>
                <c:pt idx="143">
                  <c:v>0.7</c:v>
                </c:pt>
                <c:pt idx="144">
                  <c:v>0.9</c:v>
                </c:pt>
                <c:pt idx="145">
                  <c:v>0.8</c:v>
                </c:pt>
                <c:pt idx="146">
                  <c:v>2.87</c:v>
                </c:pt>
                <c:pt idx="147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0-4AEE-8167-8E6DAE1E0EAB}"/>
            </c:ext>
          </c:extLst>
        </c:ser>
        <c:ser>
          <c:idx val="1"/>
          <c:order val="1"/>
          <c:tx>
            <c:strRef>
              <c:f>'Results - Dataset'!$W$14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'Results - Dataset'!$W$15:$W$162</c:f>
              <c:numCache>
                <c:formatCode>General</c:formatCode>
                <c:ptCount val="148"/>
                <c:pt idx="0">
                  <c:v>2.9379878376220101</c:v>
                </c:pt>
                <c:pt idx="1">
                  <c:v>3.3847635474705098</c:v>
                </c:pt>
                <c:pt idx="2">
                  <c:v>3.5527962764116698</c:v>
                </c:pt>
                <c:pt idx="3">
                  <c:v>1.3805721714189401</c:v>
                </c:pt>
                <c:pt idx="4">
                  <c:v>2.4809420423132398</c:v>
                </c:pt>
                <c:pt idx="5">
                  <c:v>3.8974292609139698</c:v>
                </c:pt>
                <c:pt idx="6">
                  <c:v>3.56935428849508</c:v>
                </c:pt>
                <c:pt idx="7">
                  <c:v>1.90036212255256</c:v>
                </c:pt>
                <c:pt idx="8">
                  <c:v>3.44099041257937</c:v>
                </c:pt>
                <c:pt idx="9">
                  <c:v>2.5701352015476702</c:v>
                </c:pt>
                <c:pt idx="10">
                  <c:v>3.8435791745723602</c:v>
                </c:pt>
                <c:pt idx="11">
                  <c:v>3.82892116016437</c:v>
                </c:pt>
                <c:pt idx="12">
                  <c:v>3.2199436646916499</c:v>
                </c:pt>
                <c:pt idx="13">
                  <c:v>2.7001163494270601</c:v>
                </c:pt>
                <c:pt idx="14">
                  <c:v>1.9339145935368001</c:v>
                </c:pt>
                <c:pt idx="15">
                  <c:v>2.4978960386859099</c:v>
                </c:pt>
                <c:pt idx="16">
                  <c:v>2.38928783632762</c:v>
                </c:pt>
                <c:pt idx="17">
                  <c:v>2.6073132248817599</c:v>
                </c:pt>
                <c:pt idx="18">
                  <c:v>1.42503822245033</c:v>
                </c:pt>
                <c:pt idx="19">
                  <c:v>3.9373251609389399</c:v>
                </c:pt>
                <c:pt idx="20">
                  <c:v>2.94978464802481</c:v>
                </c:pt>
                <c:pt idx="21">
                  <c:v>2.5421154272814199</c:v>
                </c:pt>
                <c:pt idx="22">
                  <c:v>2.1258590076230699</c:v>
                </c:pt>
                <c:pt idx="23">
                  <c:v>1.8938937186170499</c:v>
                </c:pt>
                <c:pt idx="24">
                  <c:v>2.93198104278017</c:v>
                </c:pt>
                <c:pt idx="25">
                  <c:v>2.3340422540882799</c:v>
                </c:pt>
                <c:pt idx="26">
                  <c:v>2.39177539522173</c:v>
                </c:pt>
                <c:pt idx="27">
                  <c:v>2.6431427860303498</c:v>
                </c:pt>
                <c:pt idx="28">
                  <c:v>3.31354693497974</c:v>
                </c:pt>
                <c:pt idx="29">
                  <c:v>1.68713484205596</c:v>
                </c:pt>
                <c:pt idx="30">
                  <c:v>2.5435791237639398</c:v>
                </c:pt>
                <c:pt idx="31">
                  <c:v>2.8713011233643599</c:v>
                </c:pt>
                <c:pt idx="32">
                  <c:v>3.60844891969899</c:v>
                </c:pt>
                <c:pt idx="33">
                  <c:v>2.1787913167299702</c:v>
                </c:pt>
                <c:pt idx="34">
                  <c:v>3.8653311191246602</c:v>
                </c:pt>
                <c:pt idx="35">
                  <c:v>2.3825585207328301</c:v>
                </c:pt>
                <c:pt idx="36">
                  <c:v>2.0886803148022501</c:v>
                </c:pt>
                <c:pt idx="37">
                  <c:v>2.4854429876153898</c:v>
                </c:pt>
                <c:pt idx="38">
                  <c:v>3.0902502971522501</c:v>
                </c:pt>
                <c:pt idx="39">
                  <c:v>2.8801880504300099</c:v>
                </c:pt>
                <c:pt idx="40">
                  <c:v>2.2800166933902499</c:v>
                </c:pt>
                <c:pt idx="41">
                  <c:v>2.3290315901952998</c:v>
                </c:pt>
                <c:pt idx="42">
                  <c:v>3.6419946001499799</c:v>
                </c:pt>
                <c:pt idx="43">
                  <c:v>3.2485875935970299</c:v>
                </c:pt>
                <c:pt idx="44">
                  <c:v>5.0539951584362104</c:v>
                </c:pt>
                <c:pt idx="45">
                  <c:v>2.7166375938988101</c:v>
                </c:pt>
                <c:pt idx="46">
                  <c:v>3.2627137143036702</c:v>
                </c:pt>
                <c:pt idx="47">
                  <c:v>3.1105472575729198</c:v>
                </c:pt>
                <c:pt idx="48">
                  <c:v>2.7930444144105002</c:v>
                </c:pt>
                <c:pt idx="49">
                  <c:v>2.7648763877454399</c:v>
                </c:pt>
                <c:pt idx="50">
                  <c:v>3.54243276351708</c:v>
                </c:pt>
                <c:pt idx="51">
                  <c:v>1.9907227380769299</c:v>
                </c:pt>
                <c:pt idx="52">
                  <c:v>3.50080940529201</c:v>
                </c:pt>
                <c:pt idx="53">
                  <c:v>2.4111941109414201</c:v>
                </c:pt>
                <c:pt idx="54">
                  <c:v>2.2032691988141799</c:v>
                </c:pt>
                <c:pt idx="55">
                  <c:v>2.8204617942560199</c:v>
                </c:pt>
                <c:pt idx="56">
                  <c:v>4.48400127651741</c:v>
                </c:pt>
                <c:pt idx="57">
                  <c:v>2.4771182706320301</c:v>
                </c:pt>
                <c:pt idx="58">
                  <c:v>2.9129405910052402</c:v>
                </c:pt>
                <c:pt idx="59">
                  <c:v>3.5253450994088702</c:v>
                </c:pt>
                <c:pt idx="60">
                  <c:v>3.2452304723737302</c:v>
                </c:pt>
                <c:pt idx="61">
                  <c:v>4.8287129102840796</c:v>
                </c:pt>
                <c:pt idx="62">
                  <c:v>3.3727764840790102</c:v>
                </c:pt>
                <c:pt idx="63">
                  <c:v>2.4017553921995498</c:v>
                </c:pt>
                <c:pt idx="64">
                  <c:v>2.9462778055252898</c:v>
                </c:pt>
                <c:pt idx="65">
                  <c:v>3.6429317082666</c:v>
                </c:pt>
                <c:pt idx="66">
                  <c:v>3.2759553243142099</c:v>
                </c:pt>
                <c:pt idx="67">
                  <c:v>3.2828538068905901</c:v>
                </c:pt>
                <c:pt idx="68">
                  <c:v>4.0678508055769402</c:v>
                </c:pt>
                <c:pt idx="69">
                  <c:v>3.90743998803078</c:v>
                </c:pt>
                <c:pt idx="70">
                  <c:v>4.1594123141713002</c:v>
                </c:pt>
                <c:pt idx="71">
                  <c:v>4.1645626406538696</c:v>
                </c:pt>
                <c:pt idx="72">
                  <c:v>2.6045603522794298</c:v>
                </c:pt>
                <c:pt idx="73">
                  <c:v>3.86175132793807</c:v>
                </c:pt>
                <c:pt idx="74">
                  <c:v>2.94568100496027</c:v>
                </c:pt>
                <c:pt idx="75">
                  <c:v>3.9788330296331802</c:v>
                </c:pt>
                <c:pt idx="76">
                  <c:v>3.21030373776397</c:v>
                </c:pt>
                <c:pt idx="77">
                  <c:v>2.3584006541518798</c:v>
                </c:pt>
                <c:pt idx="78">
                  <c:v>3.6560697944682001</c:v>
                </c:pt>
                <c:pt idx="79">
                  <c:v>1.9630755768691299</c:v>
                </c:pt>
                <c:pt idx="80">
                  <c:v>2.0448143429305601</c:v>
                </c:pt>
                <c:pt idx="81">
                  <c:v>2.3859972141077499</c:v>
                </c:pt>
                <c:pt idx="82">
                  <c:v>4.0293164472067398</c:v>
                </c:pt>
                <c:pt idx="83">
                  <c:v>2.0040822624894301</c:v>
                </c:pt>
                <c:pt idx="84">
                  <c:v>2.15210625214901</c:v>
                </c:pt>
                <c:pt idx="85">
                  <c:v>3.3368936537631302</c:v>
                </c:pt>
                <c:pt idx="86">
                  <c:v>2.8129254457330299</c:v>
                </c:pt>
                <c:pt idx="87">
                  <c:v>2.8129254457330299</c:v>
                </c:pt>
                <c:pt idx="88">
                  <c:v>3.1219919700582102</c:v>
                </c:pt>
                <c:pt idx="89">
                  <c:v>2.18530562623716</c:v>
                </c:pt>
                <c:pt idx="90">
                  <c:v>2.1172586119486998</c:v>
                </c:pt>
                <c:pt idx="91">
                  <c:v>2.9586422734410101</c:v>
                </c:pt>
                <c:pt idx="92">
                  <c:v>3.21814930684226</c:v>
                </c:pt>
                <c:pt idx="93">
                  <c:v>3.3368936537631302</c:v>
                </c:pt>
                <c:pt idx="94">
                  <c:v>2.9870687186654301</c:v>
                </c:pt>
                <c:pt idx="95">
                  <c:v>3.7034791343950202</c:v>
                </c:pt>
                <c:pt idx="96">
                  <c:v>3.7834547264400298</c:v>
                </c:pt>
                <c:pt idx="97">
                  <c:v>3.3115565530322302</c:v>
                </c:pt>
                <c:pt idx="98">
                  <c:v>4.1354611331226199</c:v>
                </c:pt>
                <c:pt idx="99">
                  <c:v>1.80156278917651</c:v>
                </c:pt>
                <c:pt idx="100">
                  <c:v>4.00007474349262</c:v>
                </c:pt>
                <c:pt idx="101">
                  <c:v>4.3965631968907699</c:v>
                </c:pt>
                <c:pt idx="102">
                  <c:v>3.6111966355662202</c:v>
                </c:pt>
                <c:pt idx="103">
                  <c:v>2.28116978101699</c:v>
                </c:pt>
                <c:pt idx="104">
                  <c:v>2.9870687186654301</c:v>
                </c:pt>
                <c:pt idx="105">
                  <c:v>3.0364811944875498</c:v>
                </c:pt>
                <c:pt idx="106">
                  <c:v>2.5299025095738301</c:v>
                </c:pt>
                <c:pt idx="107">
                  <c:v>3.1102165386570402</c:v>
                </c:pt>
                <c:pt idx="108">
                  <c:v>3.8333692079896799</c:v>
                </c:pt>
                <c:pt idx="109">
                  <c:v>2.2447994498571502</c:v>
                </c:pt>
                <c:pt idx="110">
                  <c:v>3.7978381048218299</c:v>
                </c:pt>
                <c:pt idx="111">
                  <c:v>2.6612124409267</c:v>
                </c:pt>
                <c:pt idx="112">
                  <c:v>2.8974077109030798</c:v>
                </c:pt>
                <c:pt idx="113">
                  <c:v>2.4969465978554899</c:v>
                </c:pt>
                <c:pt idx="114">
                  <c:v>4.8365566646892004</c:v>
                </c:pt>
                <c:pt idx="115">
                  <c:v>4.82245391947757</c:v>
                </c:pt>
                <c:pt idx="116">
                  <c:v>5.1139645397925202</c:v>
                </c:pt>
                <c:pt idx="117">
                  <c:v>5.0773511127448296</c:v>
                </c:pt>
                <c:pt idx="118">
                  <c:v>2.1598381996634899</c:v>
                </c:pt>
                <c:pt idx="119">
                  <c:v>4.2624713646872898</c:v>
                </c:pt>
                <c:pt idx="120">
                  <c:v>3.1981191045280801</c:v>
                </c:pt>
                <c:pt idx="121">
                  <c:v>4.2451494366185702</c:v>
                </c:pt>
                <c:pt idx="122">
                  <c:v>4.3343522694822303</c:v>
                </c:pt>
                <c:pt idx="123">
                  <c:v>2.2893289579952998</c:v>
                </c:pt>
                <c:pt idx="124">
                  <c:v>4.4198608327688804</c:v>
                </c:pt>
                <c:pt idx="125">
                  <c:v>5.0487942392096796</c:v>
                </c:pt>
                <c:pt idx="126">
                  <c:v>2.5698396998675301</c:v>
                </c:pt>
                <c:pt idx="127">
                  <c:v>3.3624410513204199</c:v>
                </c:pt>
                <c:pt idx="128">
                  <c:v>5.5699254984768496</c:v>
                </c:pt>
                <c:pt idx="129">
                  <c:v>4.5373000825959204</c:v>
                </c:pt>
                <c:pt idx="130">
                  <c:v>3.0715714661598899</c:v>
                </c:pt>
                <c:pt idx="131">
                  <c:v>2.58923930952685</c:v>
                </c:pt>
                <c:pt idx="132">
                  <c:v>4.43727439434522</c:v>
                </c:pt>
                <c:pt idx="133">
                  <c:v>4.4674713897686802</c:v>
                </c:pt>
                <c:pt idx="134">
                  <c:v>2.1640133079332999</c:v>
                </c:pt>
                <c:pt idx="135">
                  <c:v>5.5603557858522104</c:v>
                </c:pt>
                <c:pt idx="136">
                  <c:v>5.6682847988141498</c:v>
                </c:pt>
                <c:pt idx="137">
                  <c:v>5.1773258917712601</c:v>
                </c:pt>
                <c:pt idx="138">
                  <c:v>4.0685793224635596</c:v>
                </c:pt>
                <c:pt idx="139">
                  <c:v>3.9487854783358198</c:v>
                </c:pt>
                <c:pt idx="140">
                  <c:v>2.5235232963880101</c:v>
                </c:pt>
                <c:pt idx="141">
                  <c:v>3.3963989946039899</c:v>
                </c:pt>
                <c:pt idx="142">
                  <c:v>0.47946745277719799</c:v>
                </c:pt>
                <c:pt idx="143">
                  <c:v>0.84760695428739896</c:v>
                </c:pt>
                <c:pt idx="144">
                  <c:v>0.84529336082631801</c:v>
                </c:pt>
                <c:pt idx="145">
                  <c:v>0.92276141886325902</c:v>
                </c:pt>
                <c:pt idx="146">
                  <c:v>3.2083520956637201</c:v>
                </c:pt>
                <c:pt idx="147">
                  <c:v>5.8373569259867102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0-4AEE-8167-8E6DAE1E0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66704"/>
        <c:axId val="894665456"/>
      </c:lineChart>
      <c:catAx>
        <c:axId val="8946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5456"/>
        <c:crosses val="autoZero"/>
        <c:auto val="1"/>
        <c:lblAlgn val="ctr"/>
        <c:lblOffset val="100"/>
        <c:noMultiLvlLbl val="0"/>
      </c:catAx>
      <c:valAx>
        <c:axId val="8946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46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'Test Robustezza'!$B$40</c:f>
              <c:strCache>
                <c:ptCount val="1"/>
                <c:pt idx="0">
                  <c:v>MASTER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Robustezza'!$E$42:$E$53</c:f>
              <c:numCache>
                <c:formatCode>0.00</c:formatCode>
                <c:ptCount val="12"/>
                <c:pt idx="0">
                  <c:v>2.2659639520399</c:v>
                </c:pt>
                <c:pt idx="1">
                  <c:v>1.4931598474880401</c:v>
                </c:pt>
                <c:pt idx="2">
                  <c:v>1.44665663417054</c:v>
                </c:pt>
                <c:pt idx="3">
                  <c:v>1.6675031890631999</c:v>
                </c:pt>
                <c:pt idx="4">
                  <c:v>1.50238246875028</c:v>
                </c:pt>
                <c:pt idx="5">
                  <c:v>1.6294629888429</c:v>
                </c:pt>
                <c:pt idx="6">
                  <c:v>1.45489531380759</c:v>
                </c:pt>
                <c:pt idx="7">
                  <c:v>2.6115591347651002</c:v>
                </c:pt>
                <c:pt idx="8">
                  <c:v>2.59047516903646</c:v>
                </c:pt>
                <c:pt idx="9">
                  <c:v>2.3067419834558902</c:v>
                </c:pt>
                <c:pt idx="10">
                  <c:v>3.1530144483474101</c:v>
                </c:pt>
                <c:pt idx="11">
                  <c:v>3.3230124944575801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6-4329-A4A6-EE3018ED3289}"/>
            </c:ext>
          </c:extLst>
        </c:ser>
        <c:ser>
          <c:idx val="1"/>
          <c:order val="1"/>
          <c:tx>
            <c:strRef>
              <c:f>[2]Robustezza!$J$95</c:f>
              <c:strCache>
                <c:ptCount val="1"/>
                <c:pt idx="0">
                  <c:v>189009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[2]Robustezza!$M$97:$M$108</c:f>
              <c:numCache>
                <c:formatCode>General</c:formatCode>
                <c:ptCount val="12"/>
                <c:pt idx="0">
                  <c:v>1.9924146713027699</c:v>
                </c:pt>
                <c:pt idx="1">
                  <c:v>1.3156266813167801</c:v>
                </c:pt>
                <c:pt idx="2">
                  <c:v>1.6475198982113599</c:v>
                </c:pt>
                <c:pt idx="3">
                  <c:v>1.8177756206284801</c:v>
                </c:pt>
                <c:pt idx="4">
                  <c:v>1.89495445880974</c:v>
                </c:pt>
                <c:pt idx="5">
                  <c:v>1.55551591333145</c:v>
                </c:pt>
                <c:pt idx="6">
                  <c:v>1.9167515267527599</c:v>
                </c:pt>
                <c:pt idx="7">
                  <c:v>2.14473990282838</c:v>
                </c:pt>
                <c:pt idx="8">
                  <c:v>2.0514126798295602</c:v>
                </c:pt>
                <c:pt idx="9">
                  <c:v>1.81511494993042</c:v>
                </c:pt>
                <c:pt idx="10">
                  <c:v>0.78398862530995606</c:v>
                </c:pt>
                <c:pt idx="11">
                  <c:v>1.48474658655502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D6-4329-A4A6-EE3018ED3289}"/>
            </c:ext>
          </c:extLst>
        </c:ser>
        <c:ser>
          <c:idx val="2"/>
          <c:order val="2"/>
          <c:tx>
            <c:strRef>
              <c:f>'Test Robustezza'!$R$40</c:f>
              <c:strCache>
                <c:ptCount val="1"/>
                <c:pt idx="0">
                  <c:v>189013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Robustezza'!$U$42:$U$53</c:f>
              <c:numCache>
                <c:formatCode>0.00</c:formatCode>
                <c:ptCount val="12"/>
                <c:pt idx="0">
                  <c:v>2.2979621494624198</c:v>
                </c:pt>
                <c:pt idx="1">
                  <c:v>1.3359599157734501</c:v>
                </c:pt>
                <c:pt idx="2">
                  <c:v>1.0146987493505799</c:v>
                </c:pt>
                <c:pt idx="3">
                  <c:v>1.6615736888139601</c:v>
                </c:pt>
                <c:pt idx="4">
                  <c:v>1.7340005484904599</c:v>
                </c:pt>
                <c:pt idx="5">
                  <c:v>1.6309335736264201</c:v>
                </c:pt>
                <c:pt idx="6">
                  <c:v>1.6824920983931899</c:v>
                </c:pt>
                <c:pt idx="7">
                  <c:v>2.8148692350623201</c:v>
                </c:pt>
                <c:pt idx="8">
                  <c:v>2.7950787637156398</c:v>
                </c:pt>
                <c:pt idx="9">
                  <c:v>2.2920712113264599</c:v>
                </c:pt>
                <c:pt idx="10">
                  <c:v>3.1060995497950898</c:v>
                </c:pt>
                <c:pt idx="11">
                  <c:v>3.1771132002390101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D6-4329-A4A6-EE3018ED3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239519"/>
        <c:axId val="1986256159"/>
      </c:lineChart>
      <c:catAx>
        <c:axId val="1986239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6256159"/>
        <c:crosses val="autoZero"/>
        <c:auto val="1"/>
        <c:lblAlgn val="ctr"/>
        <c:lblOffset val="100"/>
        <c:noMultiLvlLbl val="0"/>
      </c:catAx>
      <c:valAx>
        <c:axId val="198625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623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921 - DM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4.3739422803567664E-2"/>
          <c:y val="6.3646093284775551E-2"/>
          <c:w val="0.93320884034108398"/>
          <c:h val="0.8180600895654748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Robustezza'!$C$42:$C$53</c:f>
              <c:numCache>
                <c:formatCode>0.00</c:formatCode>
                <c:ptCount val="12"/>
                <c:pt idx="0">
                  <c:v>7.5463045801642696</c:v>
                </c:pt>
                <c:pt idx="1">
                  <c:v>4.7892911240912701</c:v>
                </c:pt>
                <c:pt idx="2">
                  <c:v>6.2859372885853002</c:v>
                </c:pt>
                <c:pt idx="3">
                  <c:v>6.8020662152175202</c:v>
                </c:pt>
                <c:pt idx="4">
                  <c:v>7.0314124717298698</c:v>
                </c:pt>
                <c:pt idx="5">
                  <c:v>7.5106436967752304</c:v>
                </c:pt>
                <c:pt idx="6">
                  <c:v>7.0212930149410404</c:v>
                </c:pt>
                <c:pt idx="7">
                  <c:v>6.9997879259990201</c:v>
                </c:pt>
                <c:pt idx="8">
                  <c:v>7.5299329500298597</c:v>
                </c:pt>
                <c:pt idx="9">
                  <c:v>6.5605316548035404</c:v>
                </c:pt>
                <c:pt idx="10">
                  <c:v>8.0657587520951992</c:v>
                </c:pt>
                <c:pt idx="11">
                  <c:v>8.3965757904652207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D-400F-90E0-63A7D1E3920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Robustezza'!$K$42:$K$53</c:f>
              <c:numCache>
                <c:formatCode>0.00</c:formatCode>
                <c:ptCount val="12"/>
                <c:pt idx="0">
                  <c:v>7.45739183824909</c:v>
                </c:pt>
                <c:pt idx="1">
                  <c:v>4.6815550183034196</c:v>
                </c:pt>
                <c:pt idx="2">
                  <c:v>6.3969547499502699</c:v>
                </c:pt>
                <c:pt idx="3">
                  <c:v>7.01702616064388</c:v>
                </c:pt>
                <c:pt idx="4">
                  <c:v>7.2054872603656799</c:v>
                </c:pt>
                <c:pt idx="5">
                  <c:v>7.6064976553363497</c:v>
                </c:pt>
                <c:pt idx="6">
                  <c:v>7.2142180149905899</c:v>
                </c:pt>
                <c:pt idx="7">
                  <c:v>7.4657046561450997</c:v>
                </c:pt>
                <c:pt idx="8">
                  <c:v>8.1908056305842702</c:v>
                </c:pt>
                <c:pt idx="9">
                  <c:v>7.5492402487527803</c:v>
                </c:pt>
                <c:pt idx="10">
                  <c:v>9.0867053090396102</c:v>
                </c:pt>
                <c:pt idx="11">
                  <c:v>9.0051661459036101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1D-400F-90E0-63A7D1E3920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Robustezza'!$S$42:$S$53</c:f>
              <c:numCache>
                <c:formatCode>0.00</c:formatCode>
                <c:ptCount val="12"/>
                <c:pt idx="0">
                  <c:v>7.7142454577902804</c:v>
                </c:pt>
                <c:pt idx="1">
                  <c:v>4.4540439656703699</c:v>
                </c:pt>
                <c:pt idx="2">
                  <c:v>4.5468288999914996</c:v>
                </c:pt>
                <c:pt idx="3">
                  <c:v>6.7139161451583202</c:v>
                </c:pt>
                <c:pt idx="4">
                  <c:v>7.4794547321059204</c:v>
                </c:pt>
                <c:pt idx="5">
                  <c:v>7.5928100839499804</c:v>
                </c:pt>
                <c:pt idx="6">
                  <c:v>7.2401501156695396</c:v>
                </c:pt>
                <c:pt idx="7">
                  <c:v>7.2276369284935704</c:v>
                </c:pt>
                <c:pt idx="8">
                  <c:v>7.7799778512278399</c:v>
                </c:pt>
                <c:pt idx="9">
                  <c:v>6.6394734973164198</c:v>
                </c:pt>
                <c:pt idx="10">
                  <c:v>8.0454964597373504</c:v>
                </c:pt>
                <c:pt idx="11">
                  <c:v>8.3840146359984296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1D-400F-90E0-63A7D1E3920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Robustezza'!$AA$42:$AA$53</c:f>
              <c:numCache>
                <c:formatCode>0.00</c:formatCode>
                <c:ptCount val="12"/>
                <c:pt idx="0">
                  <c:v>8.1886894984541598</c:v>
                </c:pt>
                <c:pt idx="1">
                  <c:v>4.6032541535020801</c:v>
                </c:pt>
                <c:pt idx="2">
                  <c:v>5.5801770014058301</c:v>
                </c:pt>
                <c:pt idx="3">
                  <c:v>6.6402481938731199</c:v>
                </c:pt>
                <c:pt idx="4">
                  <c:v>7.6565312271813601</c:v>
                </c:pt>
                <c:pt idx="5">
                  <c:v>7.6554855321675301</c:v>
                </c:pt>
                <c:pt idx="6">
                  <c:v>7.4555779776624496</c:v>
                </c:pt>
                <c:pt idx="7">
                  <c:v>7.5196329697592699</c:v>
                </c:pt>
                <c:pt idx="8">
                  <c:v>8.1515746723277296</c:v>
                </c:pt>
                <c:pt idx="9">
                  <c:v>6.4897712076229199</c:v>
                </c:pt>
                <c:pt idx="10">
                  <c:v>8.2474858557064294</c:v>
                </c:pt>
                <c:pt idx="11">
                  <c:v>8.2625854148869209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1D-400F-90E0-63A7D1E3920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Robustezza'!$AI$42:$AI$53</c:f>
              <c:numCache>
                <c:formatCode>0.00</c:formatCode>
                <c:ptCount val="12"/>
                <c:pt idx="0">
                  <c:v>7.3736026967557198</c:v>
                </c:pt>
                <c:pt idx="1">
                  <c:v>4.3484216482536597</c:v>
                </c:pt>
                <c:pt idx="2">
                  <c:v>6.2320597704375604</c:v>
                </c:pt>
                <c:pt idx="3">
                  <c:v>6.8192630398969403</c:v>
                </c:pt>
                <c:pt idx="4">
                  <c:v>7.0029402047889002</c:v>
                </c:pt>
                <c:pt idx="5">
                  <c:v>7.45641507175859</c:v>
                </c:pt>
                <c:pt idx="6">
                  <c:v>7.02435816973514</c:v>
                </c:pt>
                <c:pt idx="7">
                  <c:v>7.0667508773072401</c:v>
                </c:pt>
                <c:pt idx="8">
                  <c:v>7.5424150379367099</c:v>
                </c:pt>
                <c:pt idx="9">
                  <c:v>6.7815547039208104</c:v>
                </c:pt>
                <c:pt idx="10">
                  <c:v>8.5106208561381802</c:v>
                </c:pt>
                <c:pt idx="11">
                  <c:v>8.4566720981029597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1D-400F-90E0-63A7D1E39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921 -N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Robustezza'!$D$42:$D$53</c:f>
              <c:numCache>
                <c:formatCode>0.00</c:formatCode>
                <c:ptCount val="12"/>
                <c:pt idx="0">
                  <c:v>5.0544675421361198</c:v>
                </c:pt>
                <c:pt idx="1">
                  <c:v>4.0004182855084096</c:v>
                </c:pt>
                <c:pt idx="2">
                  <c:v>3.6471303642111401</c:v>
                </c:pt>
                <c:pt idx="3">
                  <c:v>4.6610682593178998</c:v>
                </c:pt>
                <c:pt idx="4">
                  <c:v>3.9367432824012001</c:v>
                </c:pt>
                <c:pt idx="5">
                  <c:v>4.1980995643492998</c:v>
                </c:pt>
                <c:pt idx="6">
                  <c:v>3.8414568962398699</c:v>
                </c:pt>
                <c:pt idx="7">
                  <c:v>5.6054820453586203</c:v>
                </c:pt>
                <c:pt idx="8">
                  <c:v>5.5344176475720399</c:v>
                </c:pt>
                <c:pt idx="9">
                  <c:v>4.8033952094647097</c:v>
                </c:pt>
                <c:pt idx="10">
                  <c:v>6.2944009898155899</c:v>
                </c:pt>
                <c:pt idx="11">
                  <c:v>6.3936849608692103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6-4B24-AE8A-73BC266993D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Robustezza'!$L$42:$L$53</c:f>
              <c:numCache>
                <c:formatCode>0.00</c:formatCode>
                <c:ptCount val="12"/>
                <c:pt idx="0">
                  <c:v>5.0814856705989202</c:v>
                </c:pt>
                <c:pt idx="1">
                  <c:v>3.9907071662990901</c:v>
                </c:pt>
                <c:pt idx="2">
                  <c:v>3.7031789949641101</c:v>
                </c:pt>
                <c:pt idx="3">
                  <c:v>5.0011131688721902</c:v>
                </c:pt>
                <c:pt idx="4">
                  <c:v>4.0691367971576504</c:v>
                </c:pt>
                <c:pt idx="5">
                  <c:v>4.3286214214071403</c:v>
                </c:pt>
                <c:pt idx="6">
                  <c:v>3.98187384815142</c:v>
                </c:pt>
                <c:pt idx="7">
                  <c:v>5.8572171564130597</c:v>
                </c:pt>
                <c:pt idx="8">
                  <c:v>6.0764101400194397</c:v>
                </c:pt>
                <c:pt idx="9">
                  <c:v>5.3182432918039</c:v>
                </c:pt>
                <c:pt idx="10">
                  <c:v>6.8391949428149603</c:v>
                </c:pt>
                <c:pt idx="11">
                  <c:v>6.7782032117063098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96-4B24-AE8A-73BC266993D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Robustezza'!$T$42:$T$53</c:f>
              <c:numCache>
                <c:formatCode>0.00</c:formatCode>
                <c:ptCount val="12"/>
                <c:pt idx="0">
                  <c:v>5.1017420415319101</c:v>
                </c:pt>
                <c:pt idx="1">
                  <c:v>3.8013670511054101</c:v>
                </c:pt>
                <c:pt idx="2">
                  <c:v>3.2814311299632202</c:v>
                </c:pt>
                <c:pt idx="3">
                  <c:v>4.4019652572370003</c:v>
                </c:pt>
                <c:pt idx="4">
                  <c:v>4.1368764478653697</c:v>
                </c:pt>
                <c:pt idx="5">
                  <c:v>4.2568737359351001</c:v>
                </c:pt>
                <c:pt idx="6">
                  <c:v>3.96555189907314</c:v>
                </c:pt>
                <c:pt idx="7">
                  <c:v>5.6874188668721901</c:v>
                </c:pt>
                <c:pt idx="8">
                  <c:v>5.8646540065525201</c:v>
                </c:pt>
                <c:pt idx="9">
                  <c:v>4.78396491709288</c:v>
                </c:pt>
                <c:pt idx="10">
                  <c:v>6.2412545017255701</c:v>
                </c:pt>
                <c:pt idx="11">
                  <c:v>6.3794488571638004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96-4B24-AE8A-73BC266993D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Robustezza'!$AB$42:$AB$53</c:f>
              <c:numCache>
                <c:formatCode>0.00</c:formatCode>
                <c:ptCount val="12"/>
                <c:pt idx="0">
                  <c:v>4.9817634446648604</c:v>
                </c:pt>
                <c:pt idx="1">
                  <c:v>3.8129659277671402</c:v>
                </c:pt>
                <c:pt idx="2">
                  <c:v>3.48427052830692</c:v>
                </c:pt>
                <c:pt idx="3">
                  <c:v>4.3208225575161698</c:v>
                </c:pt>
                <c:pt idx="4">
                  <c:v>4.2812107782233504</c:v>
                </c:pt>
                <c:pt idx="5">
                  <c:v>4.41167411101409</c:v>
                </c:pt>
                <c:pt idx="6">
                  <c:v>4.10351932866255</c:v>
                </c:pt>
                <c:pt idx="7">
                  <c:v>5.8835786654206101</c:v>
                </c:pt>
                <c:pt idx="8">
                  <c:v>6.13315511366077</c:v>
                </c:pt>
                <c:pt idx="9">
                  <c:v>4.72105888459925</c:v>
                </c:pt>
                <c:pt idx="10">
                  <c:v>6.3415664373840901</c:v>
                </c:pt>
                <c:pt idx="11">
                  <c:v>6.2943090506246904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96-4B24-AE8A-73BC266993D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Robustezza'!$AJ$42:$AJ$53</c:f>
              <c:numCache>
                <c:formatCode>0.00</c:formatCode>
                <c:ptCount val="12"/>
                <c:pt idx="0">
                  <c:v>4.9347307625081003</c:v>
                </c:pt>
                <c:pt idx="1">
                  <c:v>3.7956470512916098</c:v>
                </c:pt>
                <c:pt idx="2">
                  <c:v>3.62698423247594</c:v>
                </c:pt>
                <c:pt idx="3">
                  <c:v>4.6835786294835504</c:v>
                </c:pt>
                <c:pt idx="4">
                  <c:v>3.9015582554242698</c:v>
                </c:pt>
                <c:pt idx="5">
                  <c:v>4.14305552177309</c:v>
                </c:pt>
                <c:pt idx="6">
                  <c:v>3.82744111400631</c:v>
                </c:pt>
                <c:pt idx="7">
                  <c:v>5.6774012040102297</c:v>
                </c:pt>
                <c:pt idx="8">
                  <c:v>5.5925931179415196</c:v>
                </c:pt>
                <c:pt idx="9">
                  <c:v>4.9809328129234496</c:v>
                </c:pt>
                <c:pt idx="10">
                  <c:v>6.4715122903694899</c:v>
                </c:pt>
                <c:pt idx="11">
                  <c:v>6.4255768263673501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96-4B24-AE8A-73BC26699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</a:t>
            </a:r>
            <a:r>
              <a:rPr lang="it-IT" baseline="0"/>
              <a:t> - P2O5</a:t>
            </a:r>
            <a:endParaRPr lang="it-IT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Robustezza'!$E$42:$E$53</c:f>
              <c:numCache>
                <c:formatCode>0.00</c:formatCode>
                <c:ptCount val="12"/>
                <c:pt idx="0">
                  <c:v>2.2659639520399</c:v>
                </c:pt>
                <c:pt idx="1">
                  <c:v>1.4931598474880401</c:v>
                </c:pt>
                <c:pt idx="2">
                  <c:v>1.44665663417054</c:v>
                </c:pt>
                <c:pt idx="3">
                  <c:v>1.6675031890631999</c:v>
                </c:pt>
                <c:pt idx="4">
                  <c:v>1.50238246875028</c:v>
                </c:pt>
                <c:pt idx="5">
                  <c:v>1.6294629888429</c:v>
                </c:pt>
                <c:pt idx="6">
                  <c:v>1.45489531380759</c:v>
                </c:pt>
                <c:pt idx="7">
                  <c:v>2.6115591347651002</c:v>
                </c:pt>
                <c:pt idx="8">
                  <c:v>2.59047516903646</c:v>
                </c:pt>
                <c:pt idx="9">
                  <c:v>2.3067419834558902</c:v>
                </c:pt>
                <c:pt idx="10">
                  <c:v>3.1530144483474101</c:v>
                </c:pt>
                <c:pt idx="11">
                  <c:v>3.3230124944575801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6-431C-B1D8-CCA7F8A8D2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Robustezza'!$M$42:$M$53</c:f>
              <c:numCache>
                <c:formatCode>0.00</c:formatCode>
                <c:ptCount val="12"/>
                <c:pt idx="0">
                  <c:v>2.2536580088853402</c:v>
                </c:pt>
                <c:pt idx="1">
                  <c:v>1.47189852396384</c:v>
                </c:pt>
                <c:pt idx="2">
                  <c:v>1.55667250290274</c:v>
                </c:pt>
                <c:pt idx="3">
                  <c:v>1.7817564000391</c:v>
                </c:pt>
                <c:pt idx="4">
                  <c:v>1.71647550519973</c:v>
                </c:pt>
                <c:pt idx="5">
                  <c:v>1.7108416984881101</c:v>
                </c:pt>
                <c:pt idx="6">
                  <c:v>1.6619099285751699</c:v>
                </c:pt>
                <c:pt idx="7">
                  <c:v>2.9749252342714199</c:v>
                </c:pt>
                <c:pt idx="8">
                  <c:v>3.03984588179121</c:v>
                </c:pt>
                <c:pt idx="9">
                  <c:v>2.53554827741497</c:v>
                </c:pt>
                <c:pt idx="10">
                  <c:v>3.4077388463356302</c:v>
                </c:pt>
                <c:pt idx="11">
                  <c:v>3.1853369745087798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6-431C-B1D8-CCA7F8A8D2A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Robustezza'!$U$42:$U$53</c:f>
              <c:numCache>
                <c:formatCode>0.00</c:formatCode>
                <c:ptCount val="12"/>
                <c:pt idx="0">
                  <c:v>2.2979621494624198</c:v>
                </c:pt>
                <c:pt idx="1">
                  <c:v>1.3359599157734501</c:v>
                </c:pt>
                <c:pt idx="2">
                  <c:v>1.0146987493505799</c:v>
                </c:pt>
                <c:pt idx="3">
                  <c:v>1.6615736888139601</c:v>
                </c:pt>
                <c:pt idx="4">
                  <c:v>1.7340005484904599</c:v>
                </c:pt>
                <c:pt idx="5">
                  <c:v>1.6309335736264201</c:v>
                </c:pt>
                <c:pt idx="6">
                  <c:v>1.6824920983931899</c:v>
                </c:pt>
                <c:pt idx="7">
                  <c:v>2.8148692350623201</c:v>
                </c:pt>
                <c:pt idx="8">
                  <c:v>2.7950787637156398</c:v>
                </c:pt>
                <c:pt idx="9">
                  <c:v>2.2920712113264599</c:v>
                </c:pt>
                <c:pt idx="10">
                  <c:v>3.1060995497950898</c:v>
                </c:pt>
                <c:pt idx="11">
                  <c:v>3.1771132002390101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16-431C-B1D8-CCA7F8A8D2A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Robustezza'!$AC$42:$AC$53</c:f>
              <c:numCache>
                <c:formatCode>0.00</c:formatCode>
                <c:ptCount val="12"/>
                <c:pt idx="0">
                  <c:v>2.3247825607860899</c:v>
                </c:pt>
                <c:pt idx="1">
                  <c:v>1.42316614807749</c:v>
                </c:pt>
                <c:pt idx="2">
                  <c:v>1.35728200080543</c:v>
                </c:pt>
                <c:pt idx="3">
                  <c:v>1.73000895702845</c:v>
                </c:pt>
                <c:pt idx="4">
                  <c:v>1.8120901669125999</c:v>
                </c:pt>
                <c:pt idx="5">
                  <c:v>1.6398555763520699</c:v>
                </c:pt>
                <c:pt idx="6">
                  <c:v>1.76622955444277</c:v>
                </c:pt>
                <c:pt idx="7">
                  <c:v>2.9366988376782599</c:v>
                </c:pt>
                <c:pt idx="8">
                  <c:v>3.0085921169288099</c:v>
                </c:pt>
                <c:pt idx="9">
                  <c:v>2.2467901016069902</c:v>
                </c:pt>
                <c:pt idx="10">
                  <c:v>3.2487501601601401</c:v>
                </c:pt>
                <c:pt idx="11">
                  <c:v>3.24760742010166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16-431C-B1D8-CCA7F8A8D2A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Robustezza'!$AK$42:$AK$53</c:f>
              <c:numCache>
                <c:formatCode>0.00</c:formatCode>
                <c:ptCount val="12"/>
                <c:pt idx="0">
                  <c:v>2.2054130879359302</c:v>
                </c:pt>
                <c:pt idx="1">
                  <c:v>1.2630576116596599</c:v>
                </c:pt>
                <c:pt idx="2">
                  <c:v>1.42368086828526</c:v>
                </c:pt>
                <c:pt idx="3">
                  <c:v>1.67276237737671</c:v>
                </c:pt>
                <c:pt idx="4">
                  <c:v>1.52739617341486</c:v>
                </c:pt>
                <c:pt idx="5">
                  <c:v>1.6006525788546</c:v>
                </c:pt>
                <c:pt idx="6">
                  <c:v>1.46006992466971</c:v>
                </c:pt>
                <c:pt idx="7">
                  <c:v>2.78772509991119</c:v>
                </c:pt>
                <c:pt idx="8">
                  <c:v>2.6289482304960798</c:v>
                </c:pt>
                <c:pt idx="9">
                  <c:v>2.4442155470933198</c:v>
                </c:pt>
                <c:pt idx="10">
                  <c:v>3.2370119168045899</c:v>
                </c:pt>
                <c:pt idx="11">
                  <c:v>3.16241704686349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16-431C-B1D8-CCA7F8A8D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921 - K2O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Robustezza'!$F$42:$F$53</c:f>
              <c:numCache>
                <c:formatCode>0.00</c:formatCode>
                <c:ptCount val="12"/>
                <c:pt idx="0">
                  <c:v>5.1246432256533501</c:v>
                </c:pt>
                <c:pt idx="1">
                  <c:v>5.2874078287708901</c:v>
                </c:pt>
                <c:pt idx="2">
                  <c:v>5.3226961682621603</c:v>
                </c:pt>
                <c:pt idx="3">
                  <c:v>5.3851198516246201</c:v>
                </c:pt>
                <c:pt idx="4">
                  <c:v>4.6999043892149404</c:v>
                </c:pt>
                <c:pt idx="5">
                  <c:v>4.8059846640661004</c:v>
                </c:pt>
                <c:pt idx="6">
                  <c:v>4.66865124700844</c:v>
                </c:pt>
                <c:pt idx="7">
                  <c:v>5.1587553784610103</c:v>
                </c:pt>
                <c:pt idx="8">
                  <c:v>5.4527341640259799</c:v>
                </c:pt>
                <c:pt idx="9">
                  <c:v>5.1662400419766401</c:v>
                </c:pt>
                <c:pt idx="10">
                  <c:v>6.4790267027557498</c:v>
                </c:pt>
                <c:pt idx="11">
                  <c:v>6.6874380235749102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3F-46A9-B784-49F06204468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Robustezza'!$N$42:$N$53</c:f>
              <c:numCache>
                <c:formatCode>0.00</c:formatCode>
                <c:ptCount val="12"/>
                <c:pt idx="0">
                  <c:v>5.1260716589986899</c:v>
                </c:pt>
                <c:pt idx="1">
                  <c:v>5.0111983405640004</c:v>
                </c:pt>
                <c:pt idx="2">
                  <c:v>5.3661970486432304</c:v>
                </c:pt>
                <c:pt idx="3">
                  <c:v>5.6709371483251401</c:v>
                </c:pt>
                <c:pt idx="4">
                  <c:v>4.7596931988794404</c:v>
                </c:pt>
                <c:pt idx="5">
                  <c:v>5.00097645236107</c:v>
                </c:pt>
                <c:pt idx="6">
                  <c:v>4.7811796968393203</c:v>
                </c:pt>
                <c:pt idx="7">
                  <c:v>5.6005876246807702</c:v>
                </c:pt>
                <c:pt idx="8">
                  <c:v>6.0428536616860704</c:v>
                </c:pt>
                <c:pt idx="9">
                  <c:v>5.65110601662471</c:v>
                </c:pt>
                <c:pt idx="10">
                  <c:v>6.5770322649808604</c:v>
                </c:pt>
                <c:pt idx="11">
                  <c:v>7.1825572637557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3F-46A9-B784-49F06204468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Robustezza'!$V$42:$V$53</c:f>
              <c:numCache>
                <c:formatCode>0.00</c:formatCode>
                <c:ptCount val="12"/>
                <c:pt idx="0">
                  <c:v>5.1190070065599498</c:v>
                </c:pt>
                <c:pt idx="1">
                  <c:v>4.8197268552994101</c:v>
                </c:pt>
                <c:pt idx="2">
                  <c:v>4.9044993328517004</c:v>
                </c:pt>
                <c:pt idx="3">
                  <c:v>5.2545712353975</c:v>
                </c:pt>
                <c:pt idx="4">
                  <c:v>4.6540606887210902</c:v>
                </c:pt>
                <c:pt idx="5">
                  <c:v>4.8290368563141097</c:v>
                </c:pt>
                <c:pt idx="6">
                  <c:v>4.5828243287305801</c:v>
                </c:pt>
                <c:pt idx="7">
                  <c:v>5.3615524282056199</c:v>
                </c:pt>
                <c:pt idx="8">
                  <c:v>5.6556365843231999</c:v>
                </c:pt>
                <c:pt idx="9">
                  <c:v>5.1997362155862898</c:v>
                </c:pt>
                <c:pt idx="10">
                  <c:v>6.7008839469347601</c:v>
                </c:pt>
                <c:pt idx="11">
                  <c:v>7.2906090552698402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3F-46A9-B784-49F06204468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Robustezza'!$AD$42:$AD$53</c:f>
              <c:numCache>
                <c:formatCode>0.00</c:formatCode>
                <c:ptCount val="12"/>
                <c:pt idx="0">
                  <c:v>5.20893473035715</c:v>
                </c:pt>
                <c:pt idx="1">
                  <c:v>4.9059142937638098</c:v>
                </c:pt>
                <c:pt idx="2">
                  <c:v>5.0899551655650397</c:v>
                </c:pt>
                <c:pt idx="3">
                  <c:v>5.1774780207546298</c:v>
                </c:pt>
                <c:pt idx="4">
                  <c:v>4.7825760001732904</c:v>
                </c:pt>
                <c:pt idx="5">
                  <c:v>4.8706961138769502</c:v>
                </c:pt>
                <c:pt idx="6">
                  <c:v>4.7021280366186904</c:v>
                </c:pt>
                <c:pt idx="7">
                  <c:v>5.7180467331389098</c:v>
                </c:pt>
                <c:pt idx="8">
                  <c:v>6.10053426005073</c:v>
                </c:pt>
                <c:pt idx="9">
                  <c:v>5.2419977536227798</c:v>
                </c:pt>
                <c:pt idx="10">
                  <c:v>7.4233881452228596</c:v>
                </c:pt>
                <c:pt idx="11">
                  <c:v>7.5777262204897502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3F-46A9-B784-49F06204468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Robustezza'!$AL$42:$AL$53</c:f>
              <c:numCache>
                <c:formatCode>0.00</c:formatCode>
                <c:ptCount val="12"/>
                <c:pt idx="0">
                  <c:v>5.0535716461479003</c:v>
                </c:pt>
                <c:pt idx="1">
                  <c:v>4.94495118626826</c:v>
                </c:pt>
                <c:pt idx="2">
                  <c:v>5.3009162843028799</c:v>
                </c:pt>
                <c:pt idx="3">
                  <c:v>5.4110954144294796</c:v>
                </c:pt>
                <c:pt idx="4">
                  <c:v>4.5741089144271303</c:v>
                </c:pt>
                <c:pt idx="5">
                  <c:v>4.7572225743618803</c:v>
                </c:pt>
                <c:pt idx="6">
                  <c:v>4.5733367605360096</c:v>
                </c:pt>
                <c:pt idx="7">
                  <c:v>5.05718758096386</c:v>
                </c:pt>
                <c:pt idx="8">
                  <c:v>5.4930129759119204</c:v>
                </c:pt>
                <c:pt idx="9">
                  <c:v>5.1227597123114696</c:v>
                </c:pt>
                <c:pt idx="10">
                  <c:v>6.3038298114971001</c:v>
                </c:pt>
                <c:pt idx="11">
                  <c:v>6.4867124948795798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3F-46A9-B784-49F062044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 921 - NH4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Robustezza'!$G$42:$G$53</c:f>
              <c:numCache>
                <c:formatCode>0.00</c:formatCode>
                <c:ptCount val="12"/>
                <c:pt idx="0">
                  <c:v>2.7110582512377102</c:v>
                </c:pt>
                <c:pt idx="1">
                  <c:v>2.53896014881748</c:v>
                </c:pt>
                <c:pt idx="2">
                  <c:v>2.0612890472796201</c:v>
                </c:pt>
                <c:pt idx="3">
                  <c:v>3.0078141684938302</c:v>
                </c:pt>
                <c:pt idx="4">
                  <c:v>2.2815588771415598</c:v>
                </c:pt>
                <c:pt idx="5">
                  <c:v>2.5734719363265199</c:v>
                </c:pt>
                <c:pt idx="6">
                  <c:v>2.2038211292686198</c:v>
                </c:pt>
                <c:pt idx="7">
                  <c:v>3.0311902456527902</c:v>
                </c:pt>
                <c:pt idx="8">
                  <c:v>2.9522091857920101</c:v>
                </c:pt>
                <c:pt idx="9">
                  <c:v>2.8502524991292701</c:v>
                </c:pt>
                <c:pt idx="10">
                  <c:v>3.77073744558417</c:v>
                </c:pt>
                <c:pt idx="11">
                  <c:v>3.7856032147660099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7-44F3-B0C8-BF0A85D07AA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Robustezza'!$O$42:$O$53</c:f>
              <c:numCache>
                <c:formatCode>0.00</c:formatCode>
                <c:ptCount val="12"/>
                <c:pt idx="0">
                  <c:v>2.7625805994459398</c:v>
                </c:pt>
                <c:pt idx="1">
                  <c:v>2.5307635082697599</c:v>
                </c:pt>
                <c:pt idx="2">
                  <c:v>2.1647831749769302</c:v>
                </c:pt>
                <c:pt idx="3">
                  <c:v>3.26741016048071</c:v>
                </c:pt>
                <c:pt idx="4">
                  <c:v>2.4586858116801702</c:v>
                </c:pt>
                <c:pt idx="5">
                  <c:v>2.71328884250633</c:v>
                </c:pt>
                <c:pt idx="6">
                  <c:v>2.3852980123955101</c:v>
                </c:pt>
                <c:pt idx="7">
                  <c:v>3.29299333822624</c:v>
                </c:pt>
                <c:pt idx="8">
                  <c:v>3.29518065090538</c:v>
                </c:pt>
                <c:pt idx="9">
                  <c:v>3.2964788201054298</c:v>
                </c:pt>
                <c:pt idx="10">
                  <c:v>4.1923062778936098</c:v>
                </c:pt>
                <c:pt idx="11">
                  <c:v>4.1402175953447102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17-44F3-B0C8-BF0A85D07AA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Robustezza'!$W$42:$W$53</c:f>
              <c:numCache>
                <c:formatCode>0.00</c:formatCode>
                <c:ptCount val="12"/>
                <c:pt idx="0">
                  <c:v>2.72979423704622</c:v>
                </c:pt>
                <c:pt idx="1">
                  <c:v>2.25017754942751</c:v>
                </c:pt>
                <c:pt idx="2">
                  <c:v>1.7790224787940301</c:v>
                </c:pt>
                <c:pt idx="3">
                  <c:v>2.85198522426019</c:v>
                </c:pt>
                <c:pt idx="4">
                  <c:v>2.5044677300534901</c:v>
                </c:pt>
                <c:pt idx="5">
                  <c:v>2.6304548099914502</c:v>
                </c:pt>
                <c:pt idx="6">
                  <c:v>2.37829711575456</c:v>
                </c:pt>
                <c:pt idx="7">
                  <c:v>3.1374471569458602</c:v>
                </c:pt>
                <c:pt idx="8">
                  <c:v>3.1096709704929899</c:v>
                </c:pt>
                <c:pt idx="9">
                  <c:v>2.8356762399233801</c:v>
                </c:pt>
                <c:pt idx="10">
                  <c:v>3.78543827462819</c:v>
                </c:pt>
                <c:pt idx="11">
                  <c:v>3.77750427333075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17-44F3-B0C8-BF0A85D07AA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Robustezza'!$AE$42:$AE$53</c:f>
              <c:numCache>
                <c:formatCode>0.00</c:formatCode>
                <c:ptCount val="12"/>
                <c:pt idx="0">
                  <c:v>2.5488906971022902</c:v>
                </c:pt>
                <c:pt idx="1">
                  <c:v>2.2536988149099701</c:v>
                </c:pt>
                <c:pt idx="2">
                  <c:v>1.9256141844663199</c:v>
                </c:pt>
                <c:pt idx="3">
                  <c:v>2.8191587548428299</c:v>
                </c:pt>
                <c:pt idx="4">
                  <c:v>2.6353813130049701</c:v>
                </c:pt>
                <c:pt idx="5">
                  <c:v>2.7604634225398099</c:v>
                </c:pt>
                <c:pt idx="6">
                  <c:v>2.5109879724342399</c:v>
                </c:pt>
                <c:pt idx="7">
                  <c:v>3.3041448443767401</c:v>
                </c:pt>
                <c:pt idx="8">
                  <c:v>3.2630343226168801</c:v>
                </c:pt>
                <c:pt idx="9">
                  <c:v>2.8534150471630602</c:v>
                </c:pt>
                <c:pt idx="10">
                  <c:v>3.90894876298578</c:v>
                </c:pt>
                <c:pt idx="11">
                  <c:v>3.7790124648883601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17-44F3-B0C8-BF0A85D07AA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'Test Robustezza'!$AM$42:$AM$53</c:f>
              <c:numCache>
                <c:formatCode>0.00</c:formatCode>
                <c:ptCount val="12"/>
                <c:pt idx="0">
                  <c:v>2.5563021000716102</c:v>
                </c:pt>
                <c:pt idx="1">
                  <c:v>2.2457889944852099</c:v>
                </c:pt>
                <c:pt idx="2">
                  <c:v>2.0488633211007299</c:v>
                </c:pt>
                <c:pt idx="3">
                  <c:v>2.9848197204314801</c:v>
                </c:pt>
                <c:pt idx="4">
                  <c:v>2.27762279032132</c:v>
                </c:pt>
                <c:pt idx="5">
                  <c:v>2.5440895667752099</c:v>
                </c:pt>
                <c:pt idx="6">
                  <c:v>2.20728605773161</c:v>
                </c:pt>
                <c:pt idx="7">
                  <c:v>3.2070789760798801</c:v>
                </c:pt>
                <c:pt idx="8">
                  <c:v>3.0875161636105499</c:v>
                </c:pt>
                <c:pt idx="9">
                  <c:v>3.0333788165092499</c:v>
                </c:pt>
                <c:pt idx="10">
                  <c:v>3.9263593298748201</c:v>
                </c:pt>
                <c:pt idx="11">
                  <c:v>3.9095017279420299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17-44F3-B0C8-BF0A85D07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988544"/>
        <c:axId val="1606986048"/>
      </c:lineChart>
      <c:catAx>
        <c:axId val="16069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6048"/>
        <c:crosses val="autoZero"/>
        <c:auto val="1"/>
        <c:lblAlgn val="ctr"/>
        <c:lblOffset val="100"/>
        <c:noMultiLvlLbl val="0"/>
      </c:catAx>
      <c:valAx>
        <c:axId val="1606986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069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64180</xdr:colOff>
      <xdr:row>0</xdr:row>
      <xdr:rowOff>35656</xdr:rowOff>
    </xdr:from>
    <xdr:to>
      <xdr:col>33</xdr:col>
      <xdr:colOff>259773</xdr:colOff>
      <xdr:row>15</xdr:row>
      <xdr:rowOff>69273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75385</xdr:colOff>
      <xdr:row>15</xdr:row>
      <xdr:rowOff>116133</xdr:rowOff>
    </xdr:from>
    <xdr:to>
      <xdr:col>33</xdr:col>
      <xdr:colOff>398318</xdr:colOff>
      <xdr:row>31</xdr:row>
      <xdr:rowOff>86591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34164</xdr:colOff>
      <xdr:row>32</xdr:row>
      <xdr:rowOff>2960</xdr:rowOff>
    </xdr:from>
    <xdr:to>
      <xdr:col>33</xdr:col>
      <xdr:colOff>484909</xdr:colOff>
      <xdr:row>46</xdr:row>
      <xdr:rowOff>155863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99836</xdr:colOff>
      <xdr:row>47</xdr:row>
      <xdr:rowOff>34637</xdr:rowOff>
    </xdr:from>
    <xdr:to>
      <xdr:col>33</xdr:col>
      <xdr:colOff>536863</xdr:colOff>
      <xdr:row>64</xdr:row>
      <xdr:rowOff>138545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143640</xdr:colOff>
      <xdr:row>65</xdr:row>
      <xdr:rowOff>78441</xdr:rowOff>
    </xdr:from>
    <xdr:to>
      <xdr:col>33</xdr:col>
      <xdr:colOff>502227</xdr:colOff>
      <xdr:row>79</xdr:row>
      <xdr:rowOff>154641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67830</xdr:colOff>
      <xdr:row>47</xdr:row>
      <xdr:rowOff>75662</xdr:rowOff>
    </xdr:from>
    <xdr:to>
      <xdr:col>93</xdr:col>
      <xdr:colOff>28409</xdr:colOff>
      <xdr:row>53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88</xdr:row>
      <xdr:rowOff>121228</xdr:rowOff>
    </xdr:from>
    <xdr:to>
      <xdr:col>8</xdr:col>
      <xdr:colOff>363680</xdr:colOff>
      <xdr:row>110</xdr:row>
      <xdr:rowOff>155864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502227</xdr:colOff>
      <xdr:row>88</xdr:row>
      <xdr:rowOff>190499</xdr:rowOff>
    </xdr:from>
    <xdr:to>
      <xdr:col>17</xdr:col>
      <xdr:colOff>34636</xdr:colOff>
      <xdr:row>111</xdr:row>
      <xdr:rowOff>69272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190500</xdr:colOff>
      <xdr:row>88</xdr:row>
      <xdr:rowOff>173180</xdr:rowOff>
    </xdr:from>
    <xdr:to>
      <xdr:col>26</xdr:col>
      <xdr:colOff>588818</xdr:colOff>
      <xdr:row>110</xdr:row>
      <xdr:rowOff>121225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111</xdr:row>
      <xdr:rowOff>190498</xdr:rowOff>
    </xdr:from>
    <xdr:to>
      <xdr:col>8</xdr:col>
      <xdr:colOff>294409</xdr:colOff>
      <xdr:row>133</xdr:row>
      <xdr:rowOff>173180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536863</xdr:colOff>
      <xdr:row>112</xdr:row>
      <xdr:rowOff>34635</xdr:rowOff>
    </xdr:from>
    <xdr:to>
      <xdr:col>16</xdr:col>
      <xdr:colOff>1402771</xdr:colOff>
      <xdr:row>134</xdr:row>
      <xdr:rowOff>173180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_ISO-Prodotti_New/NIRS/FP_02-04/07_Realizzazione_Prototipi/IRB/CALIBRAZIONI%20&amp;%20SENSORI/Calibrazioni_Sensori_NIR/Calibrazioni/NIR%20P.224/Modelli%20LSSVM/950-1800/REV_921%20(EN%204.0)/147_DIG/Regression/DB/241118_DIGESTATO_rev9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g_ISO-Prodotti_New/NIRS/FP_02-04/07_Realizzazione_Prototipi/IRB/CALIBRAZIONI%20&amp;%20SENSORI/Calibrazioni_Sensori_NIR/Calibrazioni/NIR%20P.224/Modelli%20LSSVM/950-1800/REV_921%20(EN%204.0)/100_COW/Regression/DB/241021_COW_REV_9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 (2)"/>
      <sheetName val="DATASET"/>
      <sheetName val="N vs NH4"/>
      <sheetName val="Foglio2"/>
      <sheetName val="VALID"/>
      <sheetName val="Foglio8"/>
      <sheetName val="STAT "/>
      <sheetName val="STAT VALID"/>
      <sheetName val="STAT VALID REV919"/>
      <sheetName val="Robustezza 921vs919"/>
      <sheetName val="Summary"/>
      <sheetName val="ISTOGRAMMI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B14" t="str">
            <v>Lab</v>
          </cell>
          <cell r="C14" t="str">
            <v>Pred</v>
          </cell>
          <cell r="H14" t="str">
            <v>Lab</v>
          </cell>
          <cell r="I14" t="str">
            <v>Pred</v>
          </cell>
          <cell r="N14" t="str">
            <v>Lab</v>
          </cell>
          <cell r="O14" t="str">
            <v>Pred</v>
          </cell>
          <cell r="T14" t="str">
            <v>Lab</v>
          </cell>
          <cell r="U14" t="str">
            <v>Pred</v>
          </cell>
          <cell r="Z14" t="str">
            <v>Lab</v>
          </cell>
          <cell r="AA14" t="str">
            <v>Pred</v>
          </cell>
        </row>
        <row r="15">
          <cell r="B15">
            <v>9.35</v>
          </cell>
          <cell r="C15">
            <v>9.7953315920377193</v>
          </cell>
          <cell r="H15">
            <v>5.0339793139999998</v>
          </cell>
          <cell r="I15">
            <v>5.3029754674035203</v>
          </cell>
          <cell r="N15">
            <v>2.68</v>
          </cell>
          <cell r="O15">
            <v>2.23370083306453</v>
          </cell>
          <cell r="T15">
            <v>5.97</v>
          </cell>
          <cell r="U15">
            <v>5.7263776644182398</v>
          </cell>
          <cell r="Z15">
            <v>3.05</v>
          </cell>
          <cell r="AA15">
            <v>2.9379878376220101</v>
          </cell>
        </row>
        <row r="16">
          <cell r="B16">
            <v>7.4</v>
          </cell>
          <cell r="C16">
            <v>8.8230026873336094</v>
          </cell>
          <cell r="H16">
            <v>5.43</v>
          </cell>
          <cell r="I16">
            <v>5.7232053435399397</v>
          </cell>
          <cell r="N16">
            <v>2.69</v>
          </cell>
          <cell r="O16">
            <v>2.5315474454051001</v>
          </cell>
          <cell r="T16">
            <v>5.03</v>
          </cell>
          <cell r="U16">
            <v>6.2486534575599402</v>
          </cell>
          <cell r="Z16">
            <v>3.36</v>
          </cell>
          <cell r="AA16">
            <v>3.3847635474705098</v>
          </cell>
        </row>
        <row r="17">
          <cell r="B17">
            <v>9.1999999999999993</v>
          </cell>
          <cell r="C17">
            <v>7.6607821284718796</v>
          </cell>
          <cell r="H17">
            <v>7.79</v>
          </cell>
          <cell r="I17">
            <v>6.2720419433673102</v>
          </cell>
          <cell r="N17">
            <v>0.51</v>
          </cell>
          <cell r="O17">
            <v>0.53900901600619799</v>
          </cell>
          <cell r="T17">
            <v>3.7</v>
          </cell>
          <cell r="U17">
            <v>4.51054375553207</v>
          </cell>
          <cell r="Z17">
            <v>2.08</v>
          </cell>
          <cell r="AA17">
            <v>3.5527962764116698</v>
          </cell>
        </row>
        <row r="18">
          <cell r="B18">
            <v>7</v>
          </cell>
          <cell r="C18">
            <v>8.6537448109438007</v>
          </cell>
          <cell r="H18">
            <v>2.3199999999999998</v>
          </cell>
          <cell r="I18">
            <v>2.5670161679071</v>
          </cell>
          <cell r="N18">
            <v>1.81</v>
          </cell>
          <cell r="O18">
            <v>1.8870812747294801</v>
          </cell>
          <cell r="T18">
            <v>5.33</v>
          </cell>
          <cell r="U18">
            <v>4.85370736266061</v>
          </cell>
          <cell r="Z18">
            <v>1.27</v>
          </cell>
          <cell r="AA18">
            <v>1.3805721714189401</v>
          </cell>
        </row>
        <row r="19">
          <cell r="B19">
            <v>2.9</v>
          </cell>
          <cell r="C19">
            <v>2.6835639110279801</v>
          </cell>
          <cell r="H19">
            <v>5.28</v>
          </cell>
          <cell r="I19">
            <v>5.3638721879515003</v>
          </cell>
          <cell r="N19">
            <v>0.95</v>
          </cell>
          <cell r="O19">
            <v>1.12778821276345</v>
          </cell>
          <cell r="T19">
            <v>5.48</v>
          </cell>
          <cell r="U19">
            <v>5.6898821720083399</v>
          </cell>
          <cell r="Z19">
            <v>2.58</v>
          </cell>
          <cell r="AA19">
            <v>2.4809420423132398</v>
          </cell>
        </row>
        <row r="20">
          <cell r="B20">
            <v>9.8000000000000007</v>
          </cell>
          <cell r="C20">
            <v>10.8017050667949</v>
          </cell>
          <cell r="H20">
            <v>7.68</v>
          </cell>
          <cell r="I20">
            <v>7.3956046858893103</v>
          </cell>
          <cell r="N20">
            <v>3.21</v>
          </cell>
          <cell r="O20">
            <v>3.2076788324899299</v>
          </cell>
          <cell r="T20">
            <v>3.74</v>
          </cell>
          <cell r="U20">
            <v>4.7136260011361903</v>
          </cell>
          <cell r="Z20">
            <v>3.92</v>
          </cell>
          <cell r="AA20">
            <v>3.8974292609139698</v>
          </cell>
        </row>
        <row r="21">
          <cell r="B21">
            <v>8.9</v>
          </cell>
          <cell r="C21">
            <v>8.3404288494251801</v>
          </cell>
          <cell r="H21">
            <v>5.91</v>
          </cell>
          <cell r="I21">
            <v>5.7111634763447903</v>
          </cell>
          <cell r="N21">
            <v>2.0699999999999998</v>
          </cell>
          <cell r="O21">
            <v>2.0136938546924799</v>
          </cell>
          <cell r="T21">
            <v>7.94</v>
          </cell>
          <cell r="U21">
            <v>7.5141506714509303</v>
          </cell>
          <cell r="Z21">
            <v>3.23</v>
          </cell>
          <cell r="AA21">
            <v>3.56935428849508</v>
          </cell>
        </row>
        <row r="22">
          <cell r="B22">
            <v>3.95</v>
          </cell>
          <cell r="C22">
            <v>4.7605623938059098</v>
          </cell>
          <cell r="H22">
            <v>3.13</v>
          </cell>
          <cell r="I22">
            <v>3.6076651665163499</v>
          </cell>
          <cell r="N22">
            <v>3.6</v>
          </cell>
          <cell r="O22">
            <v>3.6419332304557801</v>
          </cell>
          <cell r="T22">
            <v>5.29</v>
          </cell>
          <cell r="U22">
            <v>5.6452448872371797</v>
          </cell>
          <cell r="Z22">
            <v>1.35</v>
          </cell>
          <cell r="AA22">
            <v>1.90036212255256</v>
          </cell>
        </row>
        <row r="23">
          <cell r="B23">
            <v>14.6</v>
          </cell>
          <cell r="C23">
            <v>14.4653673598143</v>
          </cell>
          <cell r="H23">
            <v>7.68</v>
          </cell>
          <cell r="I23">
            <v>7.5472804924571699</v>
          </cell>
          <cell r="N23">
            <v>2.0699999999999998</v>
          </cell>
          <cell r="O23">
            <v>2.0661323763627402</v>
          </cell>
          <cell r="T23">
            <v>8.84</v>
          </cell>
          <cell r="U23">
            <v>7.6888978954106699</v>
          </cell>
          <cell r="Z23">
            <v>3.4</v>
          </cell>
          <cell r="AA23">
            <v>3.44099041257937</v>
          </cell>
        </row>
        <row r="24">
          <cell r="B24">
            <v>11.2</v>
          </cell>
          <cell r="C24">
            <v>10.7497934517879</v>
          </cell>
          <cell r="H24">
            <v>6.33</v>
          </cell>
          <cell r="I24">
            <v>5.6420187441921898</v>
          </cell>
          <cell r="N24">
            <v>2.31</v>
          </cell>
          <cell r="O24">
            <v>2.5983686306146501</v>
          </cell>
          <cell r="T24">
            <v>5.67</v>
          </cell>
          <cell r="U24">
            <v>5.7611590107619204</v>
          </cell>
          <cell r="Z24">
            <v>2.85</v>
          </cell>
          <cell r="AA24">
            <v>2.5701352015476702</v>
          </cell>
        </row>
        <row r="25">
          <cell r="B25">
            <v>15.5</v>
          </cell>
          <cell r="C25">
            <v>13.1339102663564</v>
          </cell>
          <cell r="H25">
            <v>8.5299999999999994</v>
          </cell>
          <cell r="I25">
            <v>7.8742487519214404</v>
          </cell>
          <cell r="N25">
            <v>0.93</v>
          </cell>
          <cell r="O25">
            <v>0.95949876298201597</v>
          </cell>
          <cell r="T25">
            <v>7.5</v>
          </cell>
          <cell r="U25">
            <v>7.3551955494154901</v>
          </cell>
          <cell r="Z25">
            <v>4.26</v>
          </cell>
          <cell r="AA25">
            <v>3.8435791745723602</v>
          </cell>
        </row>
        <row r="26">
          <cell r="B26">
            <v>10.1</v>
          </cell>
          <cell r="C26">
            <v>10.6775987860665</v>
          </cell>
          <cell r="H26">
            <v>6.04</v>
          </cell>
          <cell r="I26">
            <v>5.8586725808316604</v>
          </cell>
          <cell r="N26">
            <v>1.28</v>
          </cell>
          <cell r="O26">
            <v>1.4605974467529801</v>
          </cell>
          <cell r="T26">
            <v>5.56</v>
          </cell>
          <cell r="U26">
            <v>6.64422375137966</v>
          </cell>
          <cell r="Z26">
            <v>3.7</v>
          </cell>
          <cell r="AA26">
            <v>3.82892116016437</v>
          </cell>
        </row>
        <row r="27">
          <cell r="B27">
            <v>7.7</v>
          </cell>
          <cell r="C27">
            <v>8.3813690690426697</v>
          </cell>
          <cell r="H27">
            <v>6</v>
          </cell>
          <cell r="I27">
            <v>6.9049279811138202</v>
          </cell>
          <cell r="N27">
            <v>1.77</v>
          </cell>
          <cell r="O27">
            <v>1.90240465616878</v>
          </cell>
          <cell r="T27">
            <v>3.09</v>
          </cell>
          <cell r="U27">
            <v>4.1277391400261099</v>
          </cell>
          <cell r="Z27">
            <v>3.17</v>
          </cell>
          <cell r="AA27">
            <v>3.2199436646916499</v>
          </cell>
        </row>
        <row r="28">
          <cell r="B28">
            <v>4.3</v>
          </cell>
          <cell r="C28">
            <v>4.35394200510083</v>
          </cell>
          <cell r="H28">
            <v>5.1696802340000003</v>
          </cell>
          <cell r="I28">
            <v>5.1504778735032497</v>
          </cell>
          <cell r="N28">
            <v>1.52</v>
          </cell>
          <cell r="O28">
            <v>1.6631923594815901</v>
          </cell>
          <cell r="T28">
            <v>5.18</v>
          </cell>
          <cell r="U28">
            <v>5.0714837624976203</v>
          </cell>
          <cell r="Z28">
            <v>3.09</v>
          </cell>
          <cell r="AA28">
            <v>2.7001163494270601</v>
          </cell>
        </row>
        <row r="29">
          <cell r="B29">
            <v>5.6</v>
          </cell>
          <cell r="C29">
            <v>5.2306162456566501</v>
          </cell>
          <cell r="H29">
            <v>5.0792129539999999</v>
          </cell>
          <cell r="I29">
            <v>4.3405038500454598</v>
          </cell>
          <cell r="N29">
            <v>1.19</v>
          </cell>
          <cell r="O29">
            <v>1.10318916230816</v>
          </cell>
          <cell r="T29">
            <v>4.8600000000000003</v>
          </cell>
          <cell r="U29">
            <v>4.5509459423022696</v>
          </cell>
          <cell r="Z29">
            <v>1.83</v>
          </cell>
          <cell r="AA29">
            <v>1.9339145935368001</v>
          </cell>
        </row>
        <row r="30">
          <cell r="B30">
            <v>8.6999999999999993</v>
          </cell>
          <cell r="C30">
            <v>8.1473362910419596</v>
          </cell>
          <cell r="H30">
            <v>4.37</v>
          </cell>
          <cell r="I30">
            <v>4.3262090337993504</v>
          </cell>
          <cell r="N30">
            <v>1.67</v>
          </cell>
          <cell r="O30">
            <v>1.5851337953539799</v>
          </cell>
          <cell r="T30">
            <v>5.05</v>
          </cell>
          <cell r="U30">
            <v>5.1183533195761903</v>
          </cell>
          <cell r="Z30">
            <v>2.52</v>
          </cell>
          <cell r="AA30">
            <v>2.4978960386859099</v>
          </cell>
        </row>
        <row r="31">
          <cell r="B31">
            <v>6</v>
          </cell>
          <cell r="C31">
            <v>6.7505378815719803</v>
          </cell>
          <cell r="H31">
            <v>4.3099999999999996</v>
          </cell>
          <cell r="I31">
            <v>4.5307747117707997</v>
          </cell>
          <cell r="N31">
            <v>2.15</v>
          </cell>
          <cell r="O31">
            <v>2.2446785181100801</v>
          </cell>
          <cell r="T31">
            <v>4.8099999999999996</v>
          </cell>
          <cell r="U31">
            <v>5.0697523035929999</v>
          </cell>
          <cell r="Z31">
            <v>2.2599999999999998</v>
          </cell>
          <cell r="AA31">
            <v>2.38928783632762</v>
          </cell>
        </row>
        <row r="32">
          <cell r="B32">
            <v>4.5</v>
          </cell>
          <cell r="C32">
            <v>4.91496795400659</v>
          </cell>
          <cell r="H32">
            <v>4.1406149230000002</v>
          </cell>
          <cell r="I32">
            <v>4.1280376651113402</v>
          </cell>
          <cell r="N32">
            <v>2.35</v>
          </cell>
          <cell r="O32">
            <v>2.3302517993314402</v>
          </cell>
          <cell r="T32">
            <v>5.45</v>
          </cell>
          <cell r="U32">
            <v>5.38878025944478</v>
          </cell>
          <cell r="Z32">
            <v>2.48</v>
          </cell>
          <cell r="AA32">
            <v>2.6073132248817599</v>
          </cell>
        </row>
        <row r="33">
          <cell r="B33">
            <v>6.5</v>
          </cell>
          <cell r="C33">
            <v>7.3379614330990197</v>
          </cell>
          <cell r="H33">
            <v>4.9000000000000004</v>
          </cell>
          <cell r="I33">
            <v>4.8686572703951496</v>
          </cell>
          <cell r="N33">
            <v>0.46</v>
          </cell>
          <cell r="O33">
            <v>0.47020152522979802</v>
          </cell>
          <cell r="T33">
            <v>6.46</v>
          </cell>
          <cell r="U33">
            <v>5.8914771654315503</v>
          </cell>
          <cell r="Z33">
            <v>1.34</v>
          </cell>
          <cell r="AA33">
            <v>1.42503822245033</v>
          </cell>
        </row>
        <row r="34">
          <cell r="B34">
            <v>11.3</v>
          </cell>
          <cell r="C34">
            <v>11.376065817652799</v>
          </cell>
          <cell r="H34">
            <v>5.51</v>
          </cell>
          <cell r="I34">
            <v>5.79231903638677</v>
          </cell>
          <cell r="N34">
            <v>1.83</v>
          </cell>
          <cell r="O34">
            <v>2.1649248114078499</v>
          </cell>
          <cell r="T34">
            <v>6.4</v>
          </cell>
          <cell r="U34">
            <v>7.0350639068249299</v>
          </cell>
          <cell r="Z34">
            <v>2.68</v>
          </cell>
          <cell r="AA34">
            <v>3.9373251609389399</v>
          </cell>
        </row>
        <row r="35">
          <cell r="B35">
            <v>8.0500000000000007</v>
          </cell>
          <cell r="C35">
            <v>7.1884367137207503</v>
          </cell>
          <cell r="H35">
            <v>5.58</v>
          </cell>
          <cell r="I35">
            <v>6.6999750911120204</v>
          </cell>
          <cell r="N35">
            <v>1.91</v>
          </cell>
          <cell r="O35">
            <v>1.70085467689929</v>
          </cell>
          <cell r="T35">
            <v>3.4</v>
          </cell>
          <cell r="U35">
            <v>4.3580183893117104</v>
          </cell>
          <cell r="Z35">
            <v>2.17</v>
          </cell>
          <cell r="AA35">
            <v>2.94978464802481</v>
          </cell>
        </row>
        <row r="36">
          <cell r="B36">
            <v>13.4</v>
          </cell>
          <cell r="C36">
            <v>12.960480619855099</v>
          </cell>
          <cell r="H36">
            <v>2.0499999999999998</v>
          </cell>
          <cell r="I36">
            <v>2.4025787394748201</v>
          </cell>
          <cell r="N36">
            <v>1.46</v>
          </cell>
          <cell r="O36">
            <v>1.73468011828891</v>
          </cell>
          <cell r="T36">
            <v>5.74</v>
          </cell>
          <cell r="U36">
            <v>5.8919671895024797</v>
          </cell>
          <cell r="Z36">
            <v>2.65</v>
          </cell>
          <cell r="AA36">
            <v>2.5421154272814199</v>
          </cell>
        </row>
        <row r="37">
          <cell r="B37">
            <v>2.4</v>
          </cell>
          <cell r="C37">
            <v>2.5339671660994099</v>
          </cell>
          <cell r="H37">
            <v>5.44</v>
          </cell>
          <cell r="I37">
            <v>6.4695037076012696</v>
          </cell>
          <cell r="N37">
            <v>1.67</v>
          </cell>
          <cell r="O37">
            <v>1.6011221719388899</v>
          </cell>
          <cell r="T37">
            <v>4.9000000000000004</v>
          </cell>
          <cell r="U37">
            <v>4.9343983752213703</v>
          </cell>
          <cell r="Z37">
            <v>2.02</v>
          </cell>
          <cell r="AA37">
            <v>2.1258590076230699</v>
          </cell>
        </row>
        <row r="38">
          <cell r="B38">
            <v>9.5</v>
          </cell>
          <cell r="C38">
            <v>9.0414018494805095</v>
          </cell>
          <cell r="H38">
            <v>4.26</v>
          </cell>
          <cell r="I38">
            <v>4.9187971512950499</v>
          </cell>
          <cell r="N38">
            <v>1.19</v>
          </cell>
          <cell r="O38">
            <v>1.1339254537641099</v>
          </cell>
          <cell r="T38">
            <v>5.26</v>
          </cell>
          <cell r="U38">
            <v>5.3614336813778296</v>
          </cell>
          <cell r="Z38">
            <v>1.68</v>
          </cell>
          <cell r="AA38">
            <v>1.8938937186170499</v>
          </cell>
        </row>
        <row r="39">
          <cell r="B39">
            <v>7.1</v>
          </cell>
          <cell r="C39">
            <v>6.7244874821927603</v>
          </cell>
          <cell r="H39">
            <v>4.3</v>
          </cell>
          <cell r="I39">
            <v>4.3651259291142397</v>
          </cell>
          <cell r="N39">
            <v>1.95</v>
          </cell>
          <cell r="O39">
            <v>1.9368516205652699</v>
          </cell>
          <cell r="T39">
            <v>4.7300000000000004</v>
          </cell>
          <cell r="U39">
            <v>5.1987246070383897</v>
          </cell>
          <cell r="Z39">
            <v>3.01</v>
          </cell>
          <cell r="AA39">
            <v>2.93198104278017</v>
          </cell>
        </row>
        <row r="40">
          <cell r="B40">
            <v>8.1999999999999993</v>
          </cell>
          <cell r="C40">
            <v>8.7314529542815205</v>
          </cell>
          <cell r="H40">
            <v>4.7</v>
          </cell>
          <cell r="I40">
            <v>4.94685445838084</v>
          </cell>
          <cell r="N40">
            <v>1.96</v>
          </cell>
          <cell r="O40">
            <v>1.8494977972564599</v>
          </cell>
          <cell r="T40">
            <v>5.24</v>
          </cell>
          <cell r="U40">
            <v>5.1192788489238596</v>
          </cell>
          <cell r="Z40">
            <v>2.2999999999999998</v>
          </cell>
          <cell r="AA40">
            <v>2.3340422540882799</v>
          </cell>
        </row>
        <row r="41">
          <cell r="B41">
            <v>6.6</v>
          </cell>
          <cell r="C41">
            <v>7.0762466688225798</v>
          </cell>
          <cell r="H41">
            <v>4.47</v>
          </cell>
          <cell r="I41">
            <v>4.4475689062506802</v>
          </cell>
          <cell r="N41">
            <v>2.11</v>
          </cell>
          <cell r="O41">
            <v>2.3375194045921899</v>
          </cell>
          <cell r="T41">
            <v>4.7300000000000004</v>
          </cell>
          <cell r="U41">
            <v>4.8624508866411302</v>
          </cell>
          <cell r="Z41">
            <v>2.27</v>
          </cell>
          <cell r="AA41">
            <v>2.39177539522173</v>
          </cell>
        </row>
        <row r="42">
          <cell r="B42">
            <v>5.4</v>
          </cell>
          <cell r="C42">
            <v>5.9655988941783802</v>
          </cell>
          <cell r="H42">
            <v>5.81</v>
          </cell>
          <cell r="I42">
            <v>5.6521264512293401</v>
          </cell>
          <cell r="N42">
            <v>1.1499999999999999</v>
          </cell>
          <cell r="O42">
            <v>1.32956627266936</v>
          </cell>
          <cell r="T42">
            <v>5.54</v>
          </cell>
          <cell r="U42">
            <v>5.8744382827913899</v>
          </cell>
          <cell r="Z42">
            <v>2.16</v>
          </cell>
          <cell r="AA42">
            <v>2.6431427860303498</v>
          </cell>
        </row>
        <row r="43">
          <cell r="B43">
            <v>9.1</v>
          </cell>
          <cell r="C43">
            <v>9.8842915562633795</v>
          </cell>
          <cell r="H43">
            <v>4.22</v>
          </cell>
          <cell r="I43">
            <v>4.1466211839353999</v>
          </cell>
          <cell r="N43">
            <v>1.75</v>
          </cell>
          <cell r="O43">
            <v>1.5380399429446501</v>
          </cell>
          <cell r="T43">
            <v>3.71</v>
          </cell>
          <cell r="U43">
            <v>5.0300101281424903</v>
          </cell>
          <cell r="Z43">
            <v>3.4</v>
          </cell>
          <cell r="AA43">
            <v>3.31354693497974</v>
          </cell>
        </row>
        <row r="44">
          <cell r="B44">
            <v>8.5</v>
          </cell>
          <cell r="C44">
            <v>8.8948858177695609</v>
          </cell>
          <cell r="H44">
            <v>4.29</v>
          </cell>
          <cell r="I44">
            <v>4.5352422178956999</v>
          </cell>
          <cell r="N44">
            <v>1.43</v>
          </cell>
          <cell r="O44">
            <v>1.8859290011089</v>
          </cell>
          <cell r="T44">
            <v>5.0199999999999996</v>
          </cell>
          <cell r="U44">
            <v>4.9427262977326603</v>
          </cell>
          <cell r="Z44">
            <v>1.69</v>
          </cell>
          <cell r="AA44">
            <v>1.68713484205596</v>
          </cell>
        </row>
        <row r="45">
          <cell r="B45">
            <v>11.1</v>
          </cell>
          <cell r="C45">
            <v>10.6721700140764</v>
          </cell>
          <cell r="H45">
            <v>4.51</v>
          </cell>
          <cell r="I45">
            <v>5.2076921189051797</v>
          </cell>
          <cell r="N45">
            <v>1.28</v>
          </cell>
          <cell r="O45">
            <v>1.3522671044840999</v>
          </cell>
          <cell r="T45">
            <v>4.75</v>
          </cell>
          <cell r="U45">
            <v>5.0421063559581896</v>
          </cell>
          <cell r="Z45">
            <v>2.42</v>
          </cell>
          <cell r="AA45">
            <v>2.5435791237639398</v>
          </cell>
        </row>
        <row r="46">
          <cell r="B46">
            <v>5.0999999999999996</v>
          </cell>
          <cell r="C46">
            <v>5.9518942207092804</v>
          </cell>
          <cell r="H46">
            <v>5.14</v>
          </cell>
          <cell r="I46">
            <v>4.8292133810043403</v>
          </cell>
          <cell r="N46">
            <v>0.49</v>
          </cell>
          <cell r="O46">
            <v>0.50725163661225903</v>
          </cell>
          <cell r="T46">
            <v>5.62</v>
          </cell>
          <cell r="U46">
            <v>4.4925441101543599</v>
          </cell>
          <cell r="Z46">
            <v>3.04</v>
          </cell>
          <cell r="AA46">
            <v>2.8713011233643599</v>
          </cell>
        </row>
        <row r="47">
          <cell r="B47">
            <v>6</v>
          </cell>
          <cell r="C47">
            <v>6.2663347948816801</v>
          </cell>
          <cell r="H47">
            <v>2.96</v>
          </cell>
          <cell r="I47">
            <v>2.8900540040055902</v>
          </cell>
          <cell r="N47">
            <v>2.0099999999999998</v>
          </cell>
          <cell r="O47">
            <v>2.01835525710875</v>
          </cell>
          <cell r="T47">
            <v>5.61</v>
          </cell>
          <cell r="U47">
            <v>5.2403837995032898</v>
          </cell>
          <cell r="Z47">
            <v>4.04</v>
          </cell>
          <cell r="AA47">
            <v>3.60844891969899</v>
          </cell>
        </row>
        <row r="48">
          <cell r="B48">
            <v>7.1</v>
          </cell>
          <cell r="C48">
            <v>7.9464928649642301</v>
          </cell>
          <cell r="H48">
            <v>5.77</v>
          </cell>
          <cell r="I48">
            <v>5.7388010324526499</v>
          </cell>
          <cell r="N48">
            <v>2.4</v>
          </cell>
          <cell r="O48">
            <v>2.2185032767071098</v>
          </cell>
          <cell r="T48">
            <v>6.14</v>
          </cell>
          <cell r="U48">
            <v>6.4028883628650499</v>
          </cell>
          <cell r="Z48">
            <v>1.95</v>
          </cell>
          <cell r="AA48">
            <v>2.1787913167299702</v>
          </cell>
        </row>
        <row r="49">
          <cell r="B49">
            <v>4</v>
          </cell>
          <cell r="C49">
            <v>3.2908844531273602</v>
          </cell>
          <cell r="H49">
            <v>5.0999999999999996</v>
          </cell>
          <cell r="I49">
            <v>4.8318958881051897</v>
          </cell>
          <cell r="N49">
            <v>1.1100000000000001</v>
          </cell>
          <cell r="O49">
            <v>1.4576882016133199</v>
          </cell>
          <cell r="T49">
            <v>5.81</v>
          </cell>
          <cell r="U49">
            <v>5.4234437287485902</v>
          </cell>
          <cell r="Z49">
            <v>4.2300000000000004</v>
          </cell>
          <cell r="AA49">
            <v>3.8653311191246602</v>
          </cell>
        </row>
        <row r="50">
          <cell r="B50">
            <v>1.7</v>
          </cell>
          <cell r="C50">
            <v>2.6305606287371002</v>
          </cell>
          <cell r="H50">
            <v>7.42</v>
          </cell>
          <cell r="I50">
            <v>6.1565677493720097</v>
          </cell>
          <cell r="N50">
            <v>1.75</v>
          </cell>
          <cell r="O50">
            <v>1.92428955370112</v>
          </cell>
          <cell r="T50">
            <v>5.2</v>
          </cell>
          <cell r="U50">
            <v>4.5403679684505702</v>
          </cell>
          <cell r="Z50">
            <v>2.2400000000000002</v>
          </cell>
          <cell r="AA50">
            <v>2.3825585207328301</v>
          </cell>
        </row>
        <row r="51">
          <cell r="B51">
            <v>11.5</v>
          </cell>
          <cell r="C51">
            <v>11.2766524133809</v>
          </cell>
          <cell r="H51">
            <v>3.7900542119999998</v>
          </cell>
          <cell r="I51">
            <v>4.6362493457096798</v>
          </cell>
          <cell r="N51">
            <v>2.37</v>
          </cell>
          <cell r="O51">
            <v>2.3061096580503202</v>
          </cell>
          <cell r="T51">
            <v>6.44</v>
          </cell>
          <cell r="U51">
            <v>5.1017878089130004</v>
          </cell>
          <cell r="Z51">
            <v>2.14</v>
          </cell>
          <cell r="AA51">
            <v>2.0886803148022501</v>
          </cell>
        </row>
        <row r="52">
          <cell r="B52">
            <v>7</v>
          </cell>
          <cell r="C52">
            <v>6.7978252091295204</v>
          </cell>
          <cell r="H52">
            <v>7.05</v>
          </cell>
          <cell r="I52">
            <v>6.0519327023030396</v>
          </cell>
          <cell r="N52">
            <v>1.56</v>
          </cell>
          <cell r="O52">
            <v>1.9232562969054801</v>
          </cell>
          <cell r="T52">
            <v>5.46</v>
          </cell>
          <cell r="U52">
            <v>5.62099042983363</v>
          </cell>
          <cell r="Z52">
            <v>2.74</v>
          </cell>
          <cell r="AA52">
            <v>2.4854429876153898</v>
          </cell>
        </row>
        <row r="53">
          <cell r="B53">
            <v>7.6</v>
          </cell>
          <cell r="C53">
            <v>8.3009485919663106</v>
          </cell>
          <cell r="H53">
            <v>4.03</v>
          </cell>
          <cell r="I53">
            <v>4.48046373477173</v>
          </cell>
          <cell r="N53">
            <v>1.1599999999999999</v>
          </cell>
          <cell r="O53">
            <v>1.11793122689744</v>
          </cell>
          <cell r="T53">
            <v>5.57</v>
          </cell>
          <cell r="U53">
            <v>5.0084494622427398</v>
          </cell>
          <cell r="Z53">
            <v>3.45</v>
          </cell>
          <cell r="AA53">
            <v>3.0902502971522501</v>
          </cell>
        </row>
        <row r="54">
          <cell r="B54">
            <v>8.9</v>
          </cell>
          <cell r="C54">
            <v>8.8179121147028603</v>
          </cell>
          <cell r="H54">
            <v>4.0049140019999996</v>
          </cell>
          <cell r="I54">
            <v>3.8818320287674299</v>
          </cell>
          <cell r="N54">
            <v>1.9</v>
          </cell>
          <cell r="O54">
            <v>1.7457267038955999</v>
          </cell>
          <cell r="T54">
            <v>6.21</v>
          </cell>
          <cell r="U54">
            <v>6.3498128966268501</v>
          </cell>
          <cell r="Z54">
            <v>2.75</v>
          </cell>
          <cell r="AA54">
            <v>2.8801880504300099</v>
          </cell>
        </row>
        <row r="55">
          <cell r="B55">
            <v>8.8000000000000007</v>
          </cell>
          <cell r="C55">
            <v>8.6005364875850603</v>
          </cell>
          <cell r="H55">
            <v>4.5199999999999996</v>
          </cell>
          <cell r="I55">
            <v>4.1144038408555401</v>
          </cell>
          <cell r="N55">
            <v>2.68</v>
          </cell>
          <cell r="O55">
            <v>2.1737398723492301</v>
          </cell>
          <cell r="T55">
            <v>6.2</v>
          </cell>
          <cell r="U55">
            <v>5.52540751540604</v>
          </cell>
          <cell r="Z55">
            <v>2.4700000000000002</v>
          </cell>
          <cell r="AA55">
            <v>2.2800166933902499</v>
          </cell>
        </row>
        <row r="56">
          <cell r="B56">
            <v>7.51</v>
          </cell>
          <cell r="C56">
            <v>8.5600142693069703</v>
          </cell>
          <cell r="H56">
            <v>5.31</v>
          </cell>
          <cell r="I56">
            <v>5.02090397724296</v>
          </cell>
          <cell r="N56">
            <v>2.52</v>
          </cell>
          <cell r="O56">
            <v>2.4775025381411702</v>
          </cell>
          <cell r="T56">
            <v>5.36</v>
          </cell>
          <cell r="U56">
            <v>6.2184192600206201</v>
          </cell>
          <cell r="Z56">
            <v>2.35</v>
          </cell>
          <cell r="AA56">
            <v>2.3290315901952998</v>
          </cell>
        </row>
        <row r="57">
          <cell r="B57">
            <v>4.05</v>
          </cell>
          <cell r="C57">
            <v>4.4163141942759703</v>
          </cell>
          <cell r="H57">
            <v>5.01</v>
          </cell>
          <cell r="I57">
            <v>5.1008103858106697</v>
          </cell>
          <cell r="N57">
            <v>2.11</v>
          </cell>
          <cell r="O57">
            <v>1.6263807062811999</v>
          </cell>
          <cell r="T57">
            <v>8.7899999999999991</v>
          </cell>
          <cell r="U57">
            <v>8.1813534270645505</v>
          </cell>
          <cell r="Z57">
            <v>2.86</v>
          </cell>
          <cell r="AA57">
            <v>3.6419946001499799</v>
          </cell>
        </row>
        <row r="58">
          <cell r="B58">
            <v>5.65</v>
          </cell>
          <cell r="C58">
            <v>6.01234064005404</v>
          </cell>
          <cell r="H58">
            <v>4.58</v>
          </cell>
          <cell r="I58">
            <v>4.1143786451616799</v>
          </cell>
          <cell r="N58">
            <v>2.2999999999999998</v>
          </cell>
          <cell r="O58">
            <v>2.3567243069641299</v>
          </cell>
          <cell r="T58">
            <v>4.3899999999999997</v>
          </cell>
          <cell r="U58">
            <v>4.8342248958446596</v>
          </cell>
          <cell r="Z58">
            <v>2.67</v>
          </cell>
          <cell r="AA58">
            <v>3.2485875935970299</v>
          </cell>
        </row>
        <row r="59">
          <cell r="B59">
            <v>7.42</v>
          </cell>
          <cell r="C59">
            <v>7.4810512876651503</v>
          </cell>
          <cell r="H59">
            <v>3.73</v>
          </cell>
          <cell r="I59">
            <v>4.1740275379416998</v>
          </cell>
          <cell r="N59">
            <v>1.51</v>
          </cell>
          <cell r="O59">
            <v>1.7180289141810401</v>
          </cell>
          <cell r="T59">
            <v>5.57</v>
          </cell>
          <cell r="U59">
            <v>5.6447066048677499</v>
          </cell>
          <cell r="Z59">
            <v>5.39</v>
          </cell>
          <cell r="AA59">
            <v>5.0539951584362104</v>
          </cell>
        </row>
        <row r="60">
          <cell r="B60">
            <v>8.02</v>
          </cell>
          <cell r="C60">
            <v>9.01743866903543</v>
          </cell>
          <cell r="H60">
            <v>4.8191195240000004</v>
          </cell>
          <cell r="I60">
            <v>6.5554006828840796</v>
          </cell>
          <cell r="N60">
            <v>1.84</v>
          </cell>
          <cell r="O60">
            <v>2.14381625434768</v>
          </cell>
          <cell r="T60">
            <v>6.79</v>
          </cell>
          <cell r="U60">
            <v>6.2216150090625</v>
          </cell>
          <cell r="Z60">
            <v>2.73</v>
          </cell>
          <cell r="AA60">
            <v>2.7166375938988101</v>
          </cell>
        </row>
        <row r="61">
          <cell r="B61">
            <v>7.3</v>
          </cell>
          <cell r="C61">
            <v>6.2726024458211196</v>
          </cell>
          <cell r="H61">
            <v>4.8899999999999997</v>
          </cell>
          <cell r="I61">
            <v>4.9946299419694196</v>
          </cell>
          <cell r="N61">
            <v>1.57</v>
          </cell>
          <cell r="O61">
            <v>1.51681042291602</v>
          </cell>
          <cell r="T61">
            <v>3.92</v>
          </cell>
          <cell r="U61">
            <v>4.9958067831491597</v>
          </cell>
          <cell r="Z61">
            <v>2.52</v>
          </cell>
          <cell r="AA61">
            <v>3.2627137143036702</v>
          </cell>
        </row>
        <row r="62">
          <cell r="B62">
            <v>7.5</v>
          </cell>
          <cell r="C62">
            <v>6.3861411606036302</v>
          </cell>
          <cell r="H62">
            <v>4.6500000000000004</v>
          </cell>
          <cell r="I62">
            <v>6.2936680013423603</v>
          </cell>
          <cell r="N62">
            <v>1.7</v>
          </cell>
          <cell r="O62">
            <v>1.8677673989430601</v>
          </cell>
          <cell r="T62">
            <v>6.58</v>
          </cell>
          <cell r="U62">
            <v>5.7617219156153299</v>
          </cell>
          <cell r="Z62">
            <v>3.11</v>
          </cell>
          <cell r="AA62">
            <v>3.1105472575729198</v>
          </cell>
        </row>
        <row r="63">
          <cell r="B63">
            <v>8.8000000000000007</v>
          </cell>
          <cell r="C63">
            <v>10.099799875074799</v>
          </cell>
          <cell r="H63">
            <v>8.66</v>
          </cell>
          <cell r="I63">
            <v>7.9312406764283896</v>
          </cell>
          <cell r="N63">
            <v>2.81</v>
          </cell>
          <cell r="O63">
            <v>2.6400839707816899</v>
          </cell>
          <cell r="T63">
            <v>5.64</v>
          </cell>
          <cell r="U63">
            <v>6.5252982104998196</v>
          </cell>
          <cell r="Z63">
            <v>2.84</v>
          </cell>
          <cell r="AA63">
            <v>2.7930444144105002</v>
          </cell>
        </row>
        <row r="64">
          <cell r="B64">
            <v>6.9</v>
          </cell>
          <cell r="C64">
            <v>7.4612208730480498</v>
          </cell>
          <cell r="H64">
            <v>3.41</v>
          </cell>
          <cell r="I64">
            <v>3.48553499665746</v>
          </cell>
          <cell r="N64">
            <v>1.35</v>
          </cell>
          <cell r="O64">
            <v>1.32423050412249</v>
          </cell>
          <cell r="T64">
            <v>6.26</v>
          </cell>
          <cell r="U64">
            <v>5.3235496024574296</v>
          </cell>
          <cell r="Z64">
            <v>2.68</v>
          </cell>
          <cell r="AA64">
            <v>2.7648763877454399</v>
          </cell>
        </row>
        <row r="65">
          <cell r="B65">
            <v>9.6</v>
          </cell>
          <cell r="C65">
            <v>9.6555539708063591</v>
          </cell>
          <cell r="H65">
            <v>4.07</v>
          </cell>
          <cell r="I65">
            <v>5.2365565150005899</v>
          </cell>
          <cell r="N65">
            <v>1.55</v>
          </cell>
          <cell r="O65">
            <v>1.8724249086033</v>
          </cell>
          <cell r="T65">
            <v>6.89</v>
          </cell>
          <cell r="U65">
            <v>6.7563395828620001</v>
          </cell>
          <cell r="Z65">
            <v>3.56</v>
          </cell>
          <cell r="AA65">
            <v>3.54243276351708</v>
          </cell>
        </row>
        <row r="66">
          <cell r="B66">
            <v>13</v>
          </cell>
          <cell r="C66">
            <v>11.117146899533299</v>
          </cell>
          <cell r="H66">
            <v>6.26</v>
          </cell>
          <cell r="I66">
            <v>5.8707720505498697</v>
          </cell>
          <cell r="N66">
            <v>2.41</v>
          </cell>
          <cell r="O66">
            <v>2.5064161719780498</v>
          </cell>
          <cell r="T66">
            <v>4</v>
          </cell>
          <cell r="U66">
            <v>4.7245510741822203</v>
          </cell>
          <cell r="Z66">
            <v>2.16</v>
          </cell>
          <cell r="AA66">
            <v>1.9907227380769299</v>
          </cell>
        </row>
        <row r="67">
          <cell r="B67">
            <v>3.5</v>
          </cell>
          <cell r="C67">
            <v>3.13549231279457</v>
          </cell>
          <cell r="H67">
            <v>3.82</v>
          </cell>
          <cell r="I67">
            <v>3.7844696067251999</v>
          </cell>
          <cell r="N67">
            <v>1.68</v>
          </cell>
          <cell r="O67">
            <v>1.5974939553774301</v>
          </cell>
          <cell r="T67">
            <v>4.6100000000000003</v>
          </cell>
          <cell r="U67">
            <v>5.13231759342559</v>
          </cell>
          <cell r="Z67">
            <v>3.38</v>
          </cell>
          <cell r="AA67">
            <v>3.50080940529201</v>
          </cell>
        </row>
        <row r="68">
          <cell r="B68">
            <v>7.8</v>
          </cell>
          <cell r="C68">
            <v>8.1387735605804998</v>
          </cell>
          <cell r="H68">
            <v>5.17</v>
          </cell>
          <cell r="I68">
            <v>4.9311268723708697</v>
          </cell>
          <cell r="N68">
            <v>2.14</v>
          </cell>
          <cell r="O68">
            <v>2.2359677545187502</v>
          </cell>
          <cell r="T68">
            <v>6.35</v>
          </cell>
          <cell r="U68">
            <v>5.4872670642538397</v>
          </cell>
          <cell r="Z68">
            <v>2.79</v>
          </cell>
          <cell r="AA68">
            <v>2.4111941109414201</v>
          </cell>
        </row>
        <row r="69">
          <cell r="B69">
            <v>8.9</v>
          </cell>
          <cell r="C69">
            <v>8.0804357614812705</v>
          </cell>
          <cell r="H69">
            <v>6.96</v>
          </cell>
          <cell r="I69">
            <v>5.7242255534458399</v>
          </cell>
          <cell r="N69">
            <v>1.34</v>
          </cell>
          <cell r="O69">
            <v>1.1449164727577801</v>
          </cell>
          <cell r="T69">
            <v>6.62</v>
          </cell>
          <cell r="U69">
            <v>6.5459370294175097</v>
          </cell>
          <cell r="Z69">
            <v>1.91</v>
          </cell>
          <cell r="AA69">
            <v>2.2032691988141799</v>
          </cell>
        </row>
        <row r="70">
          <cell r="B70">
            <v>4.0999999999999996</v>
          </cell>
          <cell r="C70">
            <v>4.2996763421755899</v>
          </cell>
          <cell r="H70">
            <v>3.93</v>
          </cell>
          <cell r="I70">
            <v>4.0689544579270898</v>
          </cell>
          <cell r="N70">
            <v>1.27</v>
          </cell>
          <cell r="O70">
            <v>1.5705881728311599</v>
          </cell>
          <cell r="T70">
            <v>6.44</v>
          </cell>
          <cell r="U70">
            <v>6.1843435148603501</v>
          </cell>
          <cell r="Z70">
            <v>2.5099999999999998</v>
          </cell>
          <cell r="AA70">
            <v>2.8204617942560199</v>
          </cell>
        </row>
        <row r="71">
          <cell r="B71">
            <v>7.8</v>
          </cell>
          <cell r="C71">
            <v>6.4669462091655401</v>
          </cell>
          <cell r="H71">
            <v>5.36</v>
          </cell>
          <cell r="I71">
            <v>5.3938066618317704</v>
          </cell>
          <cell r="N71">
            <v>2.2400000000000002</v>
          </cell>
          <cell r="O71">
            <v>2.2342069076314202</v>
          </cell>
          <cell r="T71">
            <v>5.98</v>
          </cell>
          <cell r="U71">
            <v>6.7639674631910296</v>
          </cell>
          <cell r="Z71">
            <v>4.83</v>
          </cell>
          <cell r="AA71">
            <v>4.48400127651741</v>
          </cell>
        </row>
        <row r="72">
          <cell r="B72">
            <v>9.1</v>
          </cell>
          <cell r="C72">
            <v>8.3535622080840604</v>
          </cell>
          <cell r="H72">
            <v>4.28</v>
          </cell>
          <cell r="I72">
            <v>3.9877387101183901</v>
          </cell>
          <cell r="N72">
            <v>3.03</v>
          </cell>
          <cell r="O72">
            <v>2.91715230341278</v>
          </cell>
          <cell r="T72">
            <v>7.17</v>
          </cell>
          <cell r="U72">
            <v>6.0086008179906001</v>
          </cell>
          <cell r="Z72">
            <v>2.81</v>
          </cell>
          <cell r="AA72">
            <v>2.4771182706320301</v>
          </cell>
        </row>
        <row r="73">
          <cell r="B73">
            <v>6.2</v>
          </cell>
          <cell r="C73">
            <v>6.1311467607963603</v>
          </cell>
          <cell r="H73">
            <v>3.7448205720000001</v>
          </cell>
          <cell r="I73">
            <v>3.8917339248009002</v>
          </cell>
          <cell r="N73">
            <v>2.78</v>
          </cell>
          <cell r="O73">
            <v>2.30232529248517</v>
          </cell>
          <cell r="T73">
            <v>5.53</v>
          </cell>
          <cell r="U73">
            <v>6.4486871814710502</v>
          </cell>
          <cell r="Z73">
            <v>3.7</v>
          </cell>
          <cell r="AA73">
            <v>2.9129405910052402</v>
          </cell>
        </row>
        <row r="74">
          <cell r="B74">
            <v>6.3</v>
          </cell>
          <cell r="C74">
            <v>6.3056605459580002</v>
          </cell>
          <cell r="H74">
            <v>4.95</v>
          </cell>
          <cell r="I74">
            <v>5.5123619330005802</v>
          </cell>
          <cell r="N74">
            <v>2.13</v>
          </cell>
          <cell r="O74">
            <v>1.9151623051045801</v>
          </cell>
          <cell r="T74">
            <v>5.27</v>
          </cell>
          <cell r="U74">
            <v>6.0072841954448704</v>
          </cell>
          <cell r="Z74">
            <v>3.71</v>
          </cell>
          <cell r="AA74">
            <v>3.5253450994088702</v>
          </cell>
        </row>
        <row r="75">
          <cell r="B75">
            <v>5.7</v>
          </cell>
          <cell r="C75">
            <v>5.5011258230092803</v>
          </cell>
          <cell r="H75">
            <v>6.92</v>
          </cell>
          <cell r="I75">
            <v>6.5235519452023301</v>
          </cell>
          <cell r="N75">
            <v>1.93</v>
          </cell>
          <cell r="O75">
            <v>2.1727429421278801</v>
          </cell>
          <cell r="T75">
            <v>3.3</v>
          </cell>
          <cell r="U75">
            <v>3.8753673416025798</v>
          </cell>
          <cell r="Z75">
            <v>4.09</v>
          </cell>
          <cell r="AA75">
            <v>3.2452304723737302</v>
          </cell>
        </row>
        <row r="76">
          <cell r="B76">
            <v>6.9</v>
          </cell>
          <cell r="C76">
            <v>6.4413339972104096</v>
          </cell>
          <cell r="H76">
            <v>5.22</v>
          </cell>
          <cell r="I76">
            <v>4.82289218858776</v>
          </cell>
          <cell r="N76">
            <v>2.27</v>
          </cell>
          <cell r="O76">
            <v>2.0542546663606398</v>
          </cell>
          <cell r="T76">
            <v>6.41</v>
          </cell>
          <cell r="U76">
            <v>5.9634748640633202</v>
          </cell>
          <cell r="Z76">
            <v>5.66</v>
          </cell>
          <cell r="AA76">
            <v>4.8287129102840796</v>
          </cell>
        </row>
        <row r="77">
          <cell r="B77">
            <v>8.4</v>
          </cell>
          <cell r="C77">
            <v>7.17674081152414</v>
          </cell>
          <cell r="H77">
            <v>4.9800000000000004</v>
          </cell>
          <cell r="I77">
            <v>4.9488137467731299</v>
          </cell>
          <cell r="N77">
            <v>1.54</v>
          </cell>
          <cell r="O77">
            <v>1.66382405269213</v>
          </cell>
          <cell r="T77">
            <v>7.91</v>
          </cell>
          <cell r="U77">
            <v>7.1715728892447599</v>
          </cell>
          <cell r="Z77">
            <v>4.0199999999999996</v>
          </cell>
          <cell r="AA77">
            <v>3.3727764840790102</v>
          </cell>
        </row>
        <row r="78">
          <cell r="B78">
            <v>8.5</v>
          </cell>
          <cell r="C78">
            <v>7.4290901503011497</v>
          </cell>
          <cell r="H78">
            <v>5.51</v>
          </cell>
          <cell r="I78">
            <v>5.3338024450527204</v>
          </cell>
          <cell r="N78">
            <v>2.02</v>
          </cell>
          <cell r="O78">
            <v>2.1159351434268201</v>
          </cell>
          <cell r="T78">
            <v>5.65</v>
          </cell>
          <cell r="U78">
            <v>6.5286793690750597</v>
          </cell>
          <cell r="Z78">
            <v>2.4</v>
          </cell>
          <cell r="AA78">
            <v>2.4017553921995498</v>
          </cell>
        </row>
        <row r="79">
          <cell r="B79">
            <v>9.3000000000000007</v>
          </cell>
          <cell r="C79">
            <v>8.9047827520554392</v>
          </cell>
          <cell r="H79">
            <v>5.68</v>
          </cell>
          <cell r="I79">
            <v>4.9918372684012304</v>
          </cell>
          <cell r="N79">
            <v>1.81</v>
          </cell>
          <cell r="O79">
            <v>1.8720441343738199</v>
          </cell>
          <cell r="T79">
            <v>8.73</v>
          </cell>
          <cell r="U79">
            <v>7.3195886780489801</v>
          </cell>
          <cell r="Z79">
            <v>2.6</v>
          </cell>
          <cell r="AA79">
            <v>2.9462778055252898</v>
          </cell>
        </row>
        <row r="80">
          <cell r="B80">
            <v>6.6</v>
          </cell>
          <cell r="C80">
            <v>7.12879296022298</v>
          </cell>
          <cell r="H80">
            <v>6.87</v>
          </cell>
          <cell r="I80">
            <v>6.5185158451228098</v>
          </cell>
          <cell r="N80">
            <v>2.04</v>
          </cell>
          <cell r="O80">
            <v>2.05181483352162</v>
          </cell>
          <cell r="T80">
            <v>6.53</v>
          </cell>
          <cell r="U80">
            <v>6.5987910987023799</v>
          </cell>
          <cell r="Z80">
            <v>4.72</v>
          </cell>
          <cell r="AA80">
            <v>3.6429317082666</v>
          </cell>
        </row>
        <row r="81">
          <cell r="B81">
            <v>6.4</v>
          </cell>
          <cell r="C81">
            <v>6.3091292303626796</v>
          </cell>
          <cell r="H81">
            <v>5.37</v>
          </cell>
          <cell r="I81">
            <v>4.7246575683027903</v>
          </cell>
          <cell r="N81">
            <v>3.06</v>
          </cell>
          <cell r="O81">
            <v>2.6753932538190401</v>
          </cell>
          <cell r="T81">
            <v>3.85</v>
          </cell>
          <cell r="U81">
            <v>5.9381730036200198</v>
          </cell>
          <cell r="Z81">
            <v>3.42</v>
          </cell>
          <cell r="AA81">
            <v>3.2759553243142099</v>
          </cell>
        </row>
        <row r="82">
          <cell r="B82">
            <v>7.7</v>
          </cell>
          <cell r="C82">
            <v>7.5126082236254099</v>
          </cell>
          <cell r="H82">
            <v>4.5599999999999996</v>
          </cell>
          <cell r="I82">
            <v>5.1050043944769303</v>
          </cell>
          <cell r="N82">
            <v>1.48</v>
          </cell>
          <cell r="O82">
            <v>2.1891849631340601</v>
          </cell>
          <cell r="T82">
            <v>4.5599999999999996</v>
          </cell>
          <cell r="U82">
            <v>4.9975241066798102</v>
          </cell>
          <cell r="Z82">
            <v>3.54</v>
          </cell>
          <cell r="AA82">
            <v>3.2828538068905901</v>
          </cell>
        </row>
        <row r="83">
          <cell r="B83">
            <v>9.1999999999999993</v>
          </cell>
          <cell r="C83">
            <v>7.6646336642181101</v>
          </cell>
          <cell r="H83">
            <v>4.3499999999999996</v>
          </cell>
          <cell r="I83">
            <v>4.4297592266047197</v>
          </cell>
          <cell r="N83">
            <v>2.41</v>
          </cell>
          <cell r="O83">
            <v>2.1992370333763098</v>
          </cell>
          <cell r="T83">
            <v>7.11</v>
          </cell>
          <cell r="U83">
            <v>6.7121690229394098</v>
          </cell>
          <cell r="Z83">
            <v>4.2</v>
          </cell>
          <cell r="AA83">
            <v>4.0678508055769402</v>
          </cell>
        </row>
        <row r="84">
          <cell r="B84">
            <v>11</v>
          </cell>
          <cell r="C84">
            <v>11.2983498736083</v>
          </cell>
          <cell r="H84">
            <v>7.01</v>
          </cell>
          <cell r="I84">
            <v>5.8575729750135102</v>
          </cell>
          <cell r="N84">
            <v>3.78</v>
          </cell>
          <cell r="O84">
            <v>3.7324056883252701</v>
          </cell>
          <cell r="T84">
            <v>8.01</v>
          </cell>
          <cell r="U84">
            <v>7.42180577074196</v>
          </cell>
          <cell r="Z84">
            <v>3.5</v>
          </cell>
          <cell r="AA84">
            <v>3.90743998803078</v>
          </cell>
        </row>
        <row r="85">
          <cell r="B85">
            <v>6</v>
          </cell>
          <cell r="C85">
            <v>5.2832681515083602</v>
          </cell>
          <cell r="H85">
            <v>6.01</v>
          </cell>
          <cell r="I85">
            <v>6.0048191170886698</v>
          </cell>
          <cell r="N85">
            <v>3.79</v>
          </cell>
          <cell r="O85">
            <v>3.5684317111341901</v>
          </cell>
          <cell r="T85">
            <v>6.87</v>
          </cell>
          <cell r="U85">
            <v>5.8735864057351197</v>
          </cell>
          <cell r="Z85">
            <v>4.04</v>
          </cell>
          <cell r="AA85">
            <v>4.1594123141713002</v>
          </cell>
        </row>
        <row r="86">
          <cell r="B86">
            <v>8.1</v>
          </cell>
          <cell r="C86">
            <v>9.7135256295628505</v>
          </cell>
          <cell r="H86">
            <v>6.34</v>
          </cell>
          <cell r="I86">
            <v>5.5561101428867099</v>
          </cell>
          <cell r="N86">
            <v>2.79</v>
          </cell>
          <cell r="O86">
            <v>2.4758046316222999</v>
          </cell>
          <cell r="T86">
            <v>5.49</v>
          </cell>
          <cell r="U86">
            <v>5.44074618514143</v>
          </cell>
          <cell r="Z86">
            <v>4.18</v>
          </cell>
          <cell r="AA86">
            <v>4.1645626406538696</v>
          </cell>
        </row>
        <row r="87">
          <cell r="B87">
            <v>6</v>
          </cell>
          <cell r="C87">
            <v>5.6966867071890803</v>
          </cell>
          <cell r="H87">
            <v>7.66</v>
          </cell>
          <cell r="I87">
            <v>7.1501955833207296</v>
          </cell>
          <cell r="N87">
            <v>1.39</v>
          </cell>
          <cell r="O87">
            <v>1.6930941255268399</v>
          </cell>
          <cell r="T87">
            <v>6.01</v>
          </cell>
          <cell r="U87">
            <v>6.6976572962081402</v>
          </cell>
          <cell r="Z87">
            <v>2.0699999999999998</v>
          </cell>
          <cell r="AA87">
            <v>2.6045603522794298</v>
          </cell>
        </row>
        <row r="88">
          <cell r="B88">
            <v>8.9</v>
          </cell>
          <cell r="C88">
            <v>8.5068634480824095</v>
          </cell>
          <cell r="H88">
            <v>4.83</v>
          </cell>
          <cell r="I88">
            <v>6.0193475160054097</v>
          </cell>
          <cell r="N88">
            <v>3.03</v>
          </cell>
          <cell r="O88">
            <v>2.8235902478544399</v>
          </cell>
          <cell r="T88">
            <v>4.93</v>
          </cell>
          <cell r="U88">
            <v>4.9999527641292003</v>
          </cell>
          <cell r="Z88">
            <v>5.0199999999999996</v>
          </cell>
          <cell r="AA88">
            <v>3.86175132793807</v>
          </cell>
        </row>
        <row r="89">
          <cell r="B89">
            <v>8.5</v>
          </cell>
          <cell r="C89">
            <v>8.1976408510151408</v>
          </cell>
          <cell r="H89">
            <v>6.52</v>
          </cell>
          <cell r="I89">
            <v>5.8233372640183099</v>
          </cell>
          <cell r="N89">
            <v>2.4300000000000002</v>
          </cell>
          <cell r="O89">
            <v>2.5559779162768601</v>
          </cell>
          <cell r="T89">
            <v>4.79</v>
          </cell>
          <cell r="U89">
            <v>4.8589458091975297</v>
          </cell>
          <cell r="Z89">
            <v>2.5099999999999998</v>
          </cell>
          <cell r="AA89">
            <v>2.94568100496027</v>
          </cell>
        </row>
        <row r="90">
          <cell r="B90">
            <v>8</v>
          </cell>
          <cell r="C90">
            <v>6.6489326937353797</v>
          </cell>
          <cell r="H90">
            <v>7.31</v>
          </cell>
          <cell r="I90">
            <v>6.6445673166651602</v>
          </cell>
          <cell r="N90">
            <v>3.36</v>
          </cell>
          <cell r="O90">
            <v>3.2995433793906899</v>
          </cell>
          <cell r="T90">
            <v>5.35</v>
          </cell>
          <cell r="U90">
            <v>4.8584030509524503</v>
          </cell>
          <cell r="Z90">
            <v>4.1399999999999997</v>
          </cell>
          <cell r="AA90">
            <v>3.9788330296331802</v>
          </cell>
        </row>
        <row r="91">
          <cell r="B91">
            <v>14</v>
          </cell>
          <cell r="C91">
            <v>12.6095944815959</v>
          </cell>
          <cell r="H91">
            <v>3.61</v>
          </cell>
          <cell r="I91">
            <v>4.5027333169893202</v>
          </cell>
          <cell r="N91">
            <v>2.02</v>
          </cell>
          <cell r="O91">
            <v>2.0228514426786099</v>
          </cell>
          <cell r="T91">
            <v>4.37</v>
          </cell>
          <cell r="U91">
            <v>4.3612303197506899</v>
          </cell>
          <cell r="Z91">
            <v>3.63</v>
          </cell>
          <cell r="AA91">
            <v>3.21030373776397</v>
          </cell>
        </row>
        <row r="92">
          <cell r="B92">
            <v>7.4</v>
          </cell>
          <cell r="C92">
            <v>7.0119879888534298</v>
          </cell>
          <cell r="H92">
            <v>7.54</v>
          </cell>
          <cell r="I92">
            <v>6.2907927305875901</v>
          </cell>
          <cell r="N92">
            <v>3.55</v>
          </cell>
          <cell r="O92">
            <v>3.2219136560778598</v>
          </cell>
          <cell r="T92">
            <v>7.29</v>
          </cell>
          <cell r="U92">
            <v>6.5482357995107696</v>
          </cell>
          <cell r="Z92">
            <v>2.61</v>
          </cell>
          <cell r="AA92">
            <v>2.3584006541518798</v>
          </cell>
        </row>
        <row r="93">
          <cell r="B93">
            <v>11</v>
          </cell>
          <cell r="C93">
            <v>10.073154443776</v>
          </cell>
          <cell r="H93">
            <v>5.3</v>
          </cell>
          <cell r="I93">
            <v>5.7191190350670498</v>
          </cell>
          <cell r="N93">
            <v>1.24</v>
          </cell>
          <cell r="O93">
            <v>1.6855029134589901</v>
          </cell>
          <cell r="T93">
            <v>4.78</v>
          </cell>
          <cell r="U93">
            <v>4.4616999924031404</v>
          </cell>
          <cell r="Z93">
            <v>3.02</v>
          </cell>
          <cell r="AA93">
            <v>3.6560697944682001</v>
          </cell>
        </row>
        <row r="94">
          <cell r="B94">
            <v>7.3</v>
          </cell>
          <cell r="C94">
            <v>6.7952959208226096</v>
          </cell>
          <cell r="H94">
            <v>6.7</v>
          </cell>
          <cell r="I94">
            <v>6.6037266557822996</v>
          </cell>
          <cell r="N94">
            <v>1.25</v>
          </cell>
          <cell r="O94">
            <v>1.3703414419025599</v>
          </cell>
          <cell r="T94">
            <v>5.98</v>
          </cell>
          <cell r="U94">
            <v>4.7940456869588202</v>
          </cell>
          <cell r="Z94">
            <v>1.86</v>
          </cell>
          <cell r="AA94">
            <v>1.9630755768691299</v>
          </cell>
        </row>
        <row r="95">
          <cell r="B95">
            <v>8.6</v>
          </cell>
          <cell r="C95">
            <v>7.5129061523365701</v>
          </cell>
          <cell r="H95">
            <v>5.0199999999999996</v>
          </cell>
          <cell r="I95">
            <v>4.9801432758480004</v>
          </cell>
          <cell r="N95">
            <v>1.04</v>
          </cell>
          <cell r="O95">
            <v>0.93601408119727703</v>
          </cell>
          <cell r="T95">
            <v>6.09</v>
          </cell>
          <cell r="U95">
            <v>4.42937330456013</v>
          </cell>
          <cell r="Z95">
            <v>2.0499999999999998</v>
          </cell>
          <cell r="AA95">
            <v>2.0448143429305601</v>
          </cell>
        </row>
        <row r="96">
          <cell r="B96">
            <v>11</v>
          </cell>
          <cell r="C96">
            <v>11.152518252097501</v>
          </cell>
          <cell r="H96">
            <v>4.76</v>
          </cell>
          <cell r="I96">
            <v>4.6332246504271497</v>
          </cell>
          <cell r="N96">
            <v>2.4</v>
          </cell>
          <cell r="O96">
            <v>2.7852503952997498</v>
          </cell>
          <cell r="T96">
            <v>7.45</v>
          </cell>
          <cell r="U96">
            <v>7.0124912553718604</v>
          </cell>
          <cell r="Z96">
            <v>2.31</v>
          </cell>
          <cell r="AA96">
            <v>2.3859972141077499</v>
          </cell>
        </row>
        <row r="97">
          <cell r="B97">
            <v>15</v>
          </cell>
          <cell r="C97">
            <v>13.389979516208699</v>
          </cell>
          <cell r="H97">
            <v>3.48</v>
          </cell>
          <cell r="I97">
            <v>3.8509517466923899</v>
          </cell>
          <cell r="N97">
            <v>1.1299999999999999</v>
          </cell>
          <cell r="O97">
            <v>1.1357339338790999</v>
          </cell>
          <cell r="T97">
            <v>7.32</v>
          </cell>
          <cell r="U97">
            <v>7.2254912983958901</v>
          </cell>
          <cell r="Z97">
            <v>3.47</v>
          </cell>
          <cell r="AA97">
            <v>4.0293164472067398</v>
          </cell>
        </row>
        <row r="98">
          <cell r="B98">
            <v>7.5</v>
          </cell>
          <cell r="C98">
            <v>7.8924056706734698</v>
          </cell>
          <cell r="H98">
            <v>3.96</v>
          </cell>
          <cell r="I98">
            <v>3.7667087932735202</v>
          </cell>
          <cell r="N98">
            <v>1.06</v>
          </cell>
          <cell r="O98">
            <v>1.05935100669758</v>
          </cell>
          <cell r="T98">
            <v>7.32</v>
          </cell>
          <cell r="U98">
            <v>7.2254912983958901</v>
          </cell>
          <cell r="Z98">
            <v>2.0499999999999998</v>
          </cell>
          <cell r="AA98">
            <v>2.0040822624894301</v>
          </cell>
        </row>
        <row r="99">
          <cell r="B99">
            <v>9.3000000000000007</v>
          </cell>
          <cell r="C99">
            <v>8.2725314353650905</v>
          </cell>
          <cell r="H99">
            <v>3.67</v>
          </cell>
          <cell r="I99">
            <v>4.02883181590318</v>
          </cell>
          <cell r="N99">
            <v>1.7</v>
          </cell>
          <cell r="O99">
            <v>1.7499832026145099</v>
          </cell>
          <cell r="T99">
            <v>4.82</v>
          </cell>
          <cell r="U99">
            <v>5.2633568619438096</v>
          </cell>
          <cell r="Z99">
            <v>2.29</v>
          </cell>
          <cell r="AA99">
            <v>2.15210625214901</v>
          </cell>
        </row>
        <row r="100">
          <cell r="B100">
            <v>9.5</v>
          </cell>
          <cell r="C100">
            <v>10.3396744964394</v>
          </cell>
          <cell r="H100">
            <v>5.64</v>
          </cell>
          <cell r="I100">
            <v>6.2392551475145703</v>
          </cell>
          <cell r="N100">
            <v>0.93</v>
          </cell>
          <cell r="O100">
            <v>0.93380829500602103</v>
          </cell>
          <cell r="T100">
            <v>5.86</v>
          </cell>
          <cell r="U100">
            <v>5.1290226409605202</v>
          </cell>
          <cell r="Z100">
            <v>2.85</v>
          </cell>
          <cell r="AA100">
            <v>3.3368936537631302</v>
          </cell>
        </row>
        <row r="101">
          <cell r="B101">
            <v>6</v>
          </cell>
          <cell r="C101">
            <v>6.9410604172202097</v>
          </cell>
          <cell r="H101">
            <v>3.98</v>
          </cell>
          <cell r="I101">
            <v>3.7926469244931398</v>
          </cell>
          <cell r="N101">
            <v>0.9</v>
          </cell>
          <cell r="O101">
            <v>0.90428786265279604</v>
          </cell>
          <cell r="T101">
            <v>4.8</v>
          </cell>
          <cell r="U101">
            <v>5.0779356117191599</v>
          </cell>
          <cell r="Z101">
            <v>2.9</v>
          </cell>
          <cell r="AA101">
            <v>2.8129254457330299</v>
          </cell>
        </row>
        <row r="102">
          <cell r="B102">
            <v>5.8</v>
          </cell>
          <cell r="C102">
            <v>6.5610211459442196</v>
          </cell>
          <cell r="H102">
            <v>3.53</v>
          </cell>
          <cell r="I102">
            <v>3.4120102393714702</v>
          </cell>
          <cell r="N102">
            <v>1.67</v>
          </cell>
          <cell r="O102">
            <v>1.7749906611059201</v>
          </cell>
          <cell r="T102">
            <v>5.13</v>
          </cell>
          <cell r="U102">
            <v>5.1684956818441599</v>
          </cell>
          <cell r="Z102">
            <v>2.9</v>
          </cell>
          <cell r="AA102">
            <v>2.8129254457330299</v>
          </cell>
        </row>
        <row r="103">
          <cell r="B103">
            <v>4.5999999999999996</v>
          </cell>
          <cell r="C103">
            <v>4.9915955006687396</v>
          </cell>
          <cell r="H103">
            <v>4.16</v>
          </cell>
          <cell r="I103">
            <v>4.9635840449647901</v>
          </cell>
          <cell r="N103">
            <v>2.04</v>
          </cell>
          <cell r="O103">
            <v>1.74710552295702</v>
          </cell>
          <cell r="T103">
            <v>6.5</v>
          </cell>
          <cell r="U103">
            <v>6.2973469235267903</v>
          </cell>
          <cell r="Z103">
            <v>2.0099999999999998</v>
          </cell>
          <cell r="AA103">
            <v>3.1219919700582102</v>
          </cell>
        </row>
        <row r="104">
          <cell r="B104">
            <v>6.7</v>
          </cell>
          <cell r="C104">
            <v>7.2659994768247298</v>
          </cell>
          <cell r="H104">
            <v>4.1500000000000004</v>
          </cell>
          <cell r="I104">
            <v>4.1629328656713902</v>
          </cell>
          <cell r="N104">
            <v>2.04</v>
          </cell>
          <cell r="O104">
            <v>1.74710552295702</v>
          </cell>
          <cell r="T104">
            <v>7.45</v>
          </cell>
          <cell r="U104">
            <v>7.0124912553718604</v>
          </cell>
          <cell r="Z104">
            <v>2.31</v>
          </cell>
          <cell r="AA104">
            <v>2.18530562623716</v>
          </cell>
        </row>
        <row r="105">
          <cell r="B105">
            <v>5.5</v>
          </cell>
          <cell r="C105">
            <v>5.0748892988833196</v>
          </cell>
          <cell r="H105">
            <v>4.1500000000000004</v>
          </cell>
          <cell r="I105">
            <v>4.1629328656713902</v>
          </cell>
          <cell r="N105">
            <v>1.57</v>
          </cell>
          <cell r="O105">
            <v>1.8037144925085</v>
          </cell>
          <cell r="T105">
            <v>7.45</v>
          </cell>
          <cell r="U105">
            <v>6.5692473847554496</v>
          </cell>
          <cell r="Z105">
            <v>2.09</v>
          </cell>
          <cell r="AA105">
            <v>2.1172586119486998</v>
          </cell>
        </row>
        <row r="106">
          <cell r="B106">
            <v>4.5999999999999996</v>
          </cell>
          <cell r="C106">
            <v>4.7720243929580102</v>
          </cell>
          <cell r="H106">
            <v>3.65</v>
          </cell>
          <cell r="I106">
            <v>4.9944451838298196</v>
          </cell>
          <cell r="N106">
            <v>1.52</v>
          </cell>
          <cell r="O106">
            <v>1.41007380341144</v>
          </cell>
          <cell r="T106">
            <v>6.01</v>
          </cell>
          <cell r="U106">
            <v>5.2817993182623901</v>
          </cell>
          <cell r="Z106">
            <v>2.2000000000000002</v>
          </cell>
          <cell r="AA106">
            <v>2.9586422734410101</v>
          </cell>
        </row>
        <row r="107">
          <cell r="B107">
            <v>5.0999999999999996</v>
          </cell>
          <cell r="C107">
            <v>4.2416591001475998</v>
          </cell>
          <cell r="H107">
            <v>3.88</v>
          </cell>
          <cell r="I107">
            <v>4.0602545777624899</v>
          </cell>
          <cell r="N107">
            <v>1.35</v>
          </cell>
          <cell r="O107">
            <v>1.3507832134778699</v>
          </cell>
          <cell r="T107">
            <v>7.31</v>
          </cell>
          <cell r="U107">
            <v>6.5030155244156704</v>
          </cell>
          <cell r="Z107">
            <v>3.15</v>
          </cell>
          <cell r="AA107">
            <v>3.21814930684226</v>
          </cell>
        </row>
        <row r="108">
          <cell r="B108">
            <v>3.6</v>
          </cell>
          <cell r="C108">
            <v>3.8796526865819301</v>
          </cell>
          <cell r="H108">
            <v>3.62</v>
          </cell>
          <cell r="I108">
            <v>3.6710540638357001</v>
          </cell>
          <cell r="N108">
            <v>1.68</v>
          </cell>
          <cell r="O108">
            <v>2.0879713048060502</v>
          </cell>
          <cell r="T108">
            <v>5.81</v>
          </cell>
          <cell r="U108">
            <v>4.7546814272123301</v>
          </cell>
          <cell r="Z108">
            <v>2.85</v>
          </cell>
          <cell r="AA108">
            <v>3.3368936537631302</v>
          </cell>
        </row>
        <row r="109">
          <cell r="B109">
            <v>3.5</v>
          </cell>
          <cell r="C109">
            <v>3.6916076791568599</v>
          </cell>
          <cell r="H109">
            <v>3.96</v>
          </cell>
          <cell r="I109">
            <v>4.9315927782106401</v>
          </cell>
          <cell r="N109">
            <v>2.67</v>
          </cell>
          <cell r="O109">
            <v>2.7287625905363102</v>
          </cell>
          <cell r="T109">
            <v>6.14</v>
          </cell>
          <cell r="U109">
            <v>7.3155957911493701</v>
          </cell>
          <cell r="Z109">
            <v>2.85</v>
          </cell>
          <cell r="AA109">
            <v>2.9870687186654301</v>
          </cell>
        </row>
        <row r="110">
          <cell r="B110">
            <v>4.5</v>
          </cell>
          <cell r="C110">
            <v>6.0262424364870704</v>
          </cell>
          <cell r="H110">
            <v>5.23</v>
          </cell>
          <cell r="I110">
            <v>5.2848240720274804</v>
          </cell>
          <cell r="N110">
            <v>1.67</v>
          </cell>
          <cell r="O110">
            <v>1.7749906611059201</v>
          </cell>
          <cell r="T110">
            <v>4.1399999999999997</v>
          </cell>
          <cell r="U110">
            <v>4.5121927697818096</v>
          </cell>
          <cell r="Z110">
            <v>4.55</v>
          </cell>
          <cell r="AA110">
            <v>3.7034791343950202</v>
          </cell>
        </row>
        <row r="111">
          <cell r="B111">
            <v>5.5</v>
          </cell>
          <cell r="C111">
            <v>5.3038116131794304</v>
          </cell>
          <cell r="H111">
            <v>4.16</v>
          </cell>
          <cell r="I111">
            <v>4.9635840449647901</v>
          </cell>
          <cell r="N111">
            <v>1.45</v>
          </cell>
          <cell r="O111">
            <v>1.49577558932918</v>
          </cell>
          <cell r="T111">
            <v>7.76</v>
          </cell>
          <cell r="U111">
            <v>6.8619515254160399</v>
          </cell>
          <cell r="Z111">
            <v>3.74</v>
          </cell>
          <cell r="AA111">
            <v>3.7834547264400298</v>
          </cell>
        </row>
        <row r="112">
          <cell r="B112">
            <v>5.5</v>
          </cell>
          <cell r="C112">
            <v>5.3038116131794304</v>
          </cell>
          <cell r="H112">
            <v>4.2300000000000004</v>
          </cell>
          <cell r="I112">
            <v>4.3383541004822099</v>
          </cell>
          <cell r="N112">
            <v>3.01</v>
          </cell>
          <cell r="O112">
            <v>2.5633048519260502</v>
          </cell>
          <cell r="T112">
            <v>7.28</v>
          </cell>
          <cell r="U112">
            <v>7.3506450356343196</v>
          </cell>
          <cell r="Z112">
            <v>2.85</v>
          </cell>
          <cell r="AA112">
            <v>3.3115565530322302</v>
          </cell>
        </row>
        <row r="113">
          <cell r="B113">
            <v>5.19</v>
          </cell>
          <cell r="C113">
            <v>5.8534392028484996</v>
          </cell>
          <cell r="H113">
            <v>5.93</v>
          </cell>
          <cell r="I113">
            <v>5.5742835322949604</v>
          </cell>
          <cell r="N113">
            <v>2.95</v>
          </cell>
          <cell r="O113">
            <v>3.0069152849193301</v>
          </cell>
          <cell r="T113">
            <v>6.64</v>
          </cell>
          <cell r="U113">
            <v>5.8342083857746401</v>
          </cell>
          <cell r="Z113">
            <v>4.3499999999999996</v>
          </cell>
          <cell r="AA113">
            <v>4.1354611331226199</v>
          </cell>
        </row>
        <row r="114">
          <cell r="B114">
            <v>5.38</v>
          </cell>
          <cell r="C114">
            <v>5.5578615788541397</v>
          </cell>
          <cell r="H114">
            <v>6.57</v>
          </cell>
          <cell r="I114">
            <v>7.01366387781722</v>
          </cell>
          <cell r="N114">
            <v>1.99</v>
          </cell>
          <cell r="O114">
            <v>2.3363144171990902</v>
          </cell>
          <cell r="T114">
            <v>3.96</v>
          </cell>
          <cell r="U114">
            <v>4.9366834595284397</v>
          </cell>
          <cell r="Z114">
            <v>1.43</v>
          </cell>
          <cell r="AA114">
            <v>1.80156278917651</v>
          </cell>
        </row>
        <row r="115">
          <cell r="B115">
            <v>4.71</v>
          </cell>
          <cell r="C115">
            <v>5.1160932024487602</v>
          </cell>
          <cell r="H115">
            <v>4.63</v>
          </cell>
          <cell r="I115">
            <v>4.9248721452345503</v>
          </cell>
          <cell r="N115">
            <v>4.04</v>
          </cell>
          <cell r="O115">
            <v>3.5017774750189199</v>
          </cell>
          <cell r="T115">
            <v>4.87</v>
          </cell>
          <cell r="U115">
            <v>4.5779876978099603</v>
          </cell>
          <cell r="Z115">
            <v>3.99</v>
          </cell>
          <cell r="AA115">
            <v>4.00007474349262</v>
          </cell>
        </row>
        <row r="116">
          <cell r="B116">
            <v>6.22</v>
          </cell>
          <cell r="C116">
            <v>6.6272203091393402</v>
          </cell>
          <cell r="H116">
            <v>6.32</v>
          </cell>
          <cell r="I116">
            <v>6.29996122425817</v>
          </cell>
          <cell r="N116">
            <v>1.34</v>
          </cell>
          <cell r="O116">
            <v>1.29081149037145</v>
          </cell>
          <cell r="T116">
            <v>7.45</v>
          </cell>
          <cell r="U116">
            <v>6.5692473847554496</v>
          </cell>
          <cell r="Z116">
            <v>4.9800000000000004</v>
          </cell>
          <cell r="AA116">
            <v>4.3965631968907699</v>
          </cell>
        </row>
        <row r="117">
          <cell r="B117">
            <v>9.4499999999999993</v>
          </cell>
          <cell r="C117">
            <v>10.1186452229454</v>
          </cell>
          <cell r="H117">
            <v>2.84</v>
          </cell>
          <cell r="I117">
            <v>3.3897016513181502</v>
          </cell>
          <cell r="N117">
            <v>2.9</v>
          </cell>
          <cell r="O117">
            <v>2.8569504618328501</v>
          </cell>
          <cell r="T117">
            <v>3.62</v>
          </cell>
          <cell r="U117">
            <v>4.9363823561846703</v>
          </cell>
          <cell r="Z117">
            <v>3.71</v>
          </cell>
          <cell r="AA117">
            <v>3.6111966355662202</v>
          </cell>
        </row>
        <row r="118">
          <cell r="B118">
            <v>4.5</v>
          </cell>
          <cell r="C118">
            <v>6.0262424364870704</v>
          </cell>
          <cell r="H118">
            <v>7.87</v>
          </cell>
          <cell r="I118">
            <v>7.5730876411651904</v>
          </cell>
          <cell r="N118">
            <v>4.47</v>
          </cell>
          <cell r="O118">
            <v>3.4889022427466201</v>
          </cell>
          <cell r="T118">
            <v>4.71</v>
          </cell>
          <cell r="U118">
            <v>5.2353917581929501</v>
          </cell>
          <cell r="Z118">
            <v>2.52</v>
          </cell>
          <cell r="AA118">
            <v>2.28116978101699</v>
          </cell>
        </row>
        <row r="119">
          <cell r="B119">
            <v>4.2</v>
          </cell>
          <cell r="C119">
            <v>5.3461476808962001</v>
          </cell>
          <cell r="H119">
            <v>8.4600000000000009</v>
          </cell>
          <cell r="I119">
            <v>6.4827343604870702</v>
          </cell>
          <cell r="N119">
            <v>3.11</v>
          </cell>
          <cell r="O119">
            <v>2.6063121524234201</v>
          </cell>
          <cell r="T119">
            <v>7.04</v>
          </cell>
          <cell r="U119">
            <v>5.9526953984545701</v>
          </cell>
          <cell r="Z119">
            <v>2.85</v>
          </cell>
          <cell r="AA119">
            <v>2.9870687186654301</v>
          </cell>
        </row>
        <row r="120">
          <cell r="B120">
            <v>9.5</v>
          </cell>
          <cell r="C120">
            <v>8.1841532366689709</v>
          </cell>
          <cell r="H120">
            <v>5.54</v>
          </cell>
          <cell r="I120">
            <v>6.4505623162740102</v>
          </cell>
          <cell r="N120">
            <v>2.06</v>
          </cell>
          <cell r="O120">
            <v>1.9297054108578799</v>
          </cell>
          <cell r="T120">
            <v>6.88</v>
          </cell>
          <cell r="U120">
            <v>6.22822825632419</v>
          </cell>
          <cell r="Z120">
            <v>2.84</v>
          </cell>
          <cell r="AA120">
            <v>3.0364811944875498</v>
          </cell>
        </row>
        <row r="121">
          <cell r="B121">
            <v>9.1</v>
          </cell>
          <cell r="C121">
            <v>9.6897662937534506</v>
          </cell>
          <cell r="H121">
            <v>4.26</v>
          </cell>
          <cell r="I121">
            <v>3.86125954765444</v>
          </cell>
          <cell r="N121">
            <v>1.45</v>
          </cell>
          <cell r="O121">
            <v>1.49577558932918</v>
          </cell>
          <cell r="T121">
            <v>6.41</v>
          </cell>
          <cell r="U121">
            <v>5.4248830770650898</v>
          </cell>
          <cell r="Z121">
            <v>2.34</v>
          </cell>
          <cell r="AA121">
            <v>2.5299025095738301</v>
          </cell>
        </row>
        <row r="122">
          <cell r="B122">
            <v>7.3</v>
          </cell>
          <cell r="C122">
            <v>7.4672786734575798</v>
          </cell>
          <cell r="H122">
            <v>4.2300000000000004</v>
          </cell>
          <cell r="I122">
            <v>4.3383541004822099</v>
          </cell>
          <cell r="N122">
            <v>1.8</v>
          </cell>
          <cell r="O122">
            <v>2.0618275556870098</v>
          </cell>
          <cell r="T122">
            <v>9.89</v>
          </cell>
          <cell r="U122">
            <v>9.2122525403979605</v>
          </cell>
          <cell r="Z122">
            <v>3.63</v>
          </cell>
          <cell r="AA122">
            <v>3.1102165386570402</v>
          </cell>
        </row>
        <row r="123">
          <cell r="B123">
            <v>8.5</v>
          </cell>
          <cell r="C123">
            <v>7.8342158665572104</v>
          </cell>
          <cell r="H123">
            <v>4.7965027039999999</v>
          </cell>
          <cell r="I123">
            <v>4.8979694485051102</v>
          </cell>
          <cell r="N123">
            <v>1.53</v>
          </cell>
          <cell r="O123">
            <v>1.57058182506618</v>
          </cell>
          <cell r="T123">
            <v>5.77</v>
          </cell>
          <cell r="U123">
            <v>5.7362955927061696</v>
          </cell>
          <cell r="Z123">
            <v>3.91</v>
          </cell>
          <cell r="AA123">
            <v>3.8333692079896799</v>
          </cell>
        </row>
        <row r="124">
          <cell r="B124">
            <v>5.6</v>
          </cell>
          <cell r="C124">
            <v>4.7981059147196197</v>
          </cell>
          <cell r="H124">
            <v>4.2310822029999997</v>
          </cell>
          <cell r="I124">
            <v>4.4111911109889297</v>
          </cell>
          <cell r="N124">
            <v>1.88</v>
          </cell>
          <cell r="O124">
            <v>1.85920356063017</v>
          </cell>
          <cell r="T124">
            <v>5.81</v>
          </cell>
          <cell r="U124">
            <v>5.4170741414785901</v>
          </cell>
          <cell r="Z124">
            <v>2.4</v>
          </cell>
          <cell r="AA124">
            <v>2.2447994498571502</v>
          </cell>
        </row>
        <row r="125">
          <cell r="B125">
            <v>12</v>
          </cell>
          <cell r="C125">
            <v>11.1064230915526</v>
          </cell>
          <cell r="H125">
            <v>4.9000000000000004</v>
          </cell>
          <cell r="I125">
            <v>4.2972511684125498</v>
          </cell>
          <cell r="N125">
            <v>3.29</v>
          </cell>
          <cell r="O125">
            <v>3.20952238376058</v>
          </cell>
          <cell r="T125">
            <v>4.3</v>
          </cell>
          <cell r="U125">
            <v>5.0595785744826101</v>
          </cell>
          <cell r="Z125">
            <v>3.78</v>
          </cell>
          <cell r="AA125">
            <v>3.7978381048218299</v>
          </cell>
        </row>
        <row r="126">
          <cell r="B126">
            <v>10</v>
          </cell>
          <cell r="C126">
            <v>8.2961671398372694</v>
          </cell>
          <cell r="H126">
            <v>6.51</v>
          </cell>
          <cell r="I126">
            <v>6.6332190383716698</v>
          </cell>
          <cell r="N126">
            <v>2.79</v>
          </cell>
          <cell r="O126">
            <v>2.6503825646714101</v>
          </cell>
          <cell r="Z126">
            <v>2.1800000000000002</v>
          </cell>
          <cell r="AA126">
            <v>2.6612124409267</v>
          </cell>
        </row>
        <row r="127">
          <cell r="B127">
            <v>9.5</v>
          </cell>
          <cell r="C127">
            <v>8.7039195637327396</v>
          </cell>
          <cell r="H127">
            <v>4.88</v>
          </cell>
          <cell r="I127">
            <v>4.76699256664548</v>
          </cell>
          <cell r="N127">
            <v>2.91</v>
          </cell>
          <cell r="O127">
            <v>2.9179069579888202</v>
          </cell>
          <cell r="Z127">
            <v>3.11</v>
          </cell>
          <cell r="AA127">
            <v>2.8974077109030798</v>
          </cell>
        </row>
        <row r="128">
          <cell r="B128">
            <v>2</v>
          </cell>
          <cell r="C128">
            <v>3.0513669470111702</v>
          </cell>
          <cell r="H128">
            <v>10.23</v>
          </cell>
          <cell r="I128">
            <v>9.8986701665197501</v>
          </cell>
          <cell r="N128">
            <v>1.67</v>
          </cell>
          <cell r="O128">
            <v>1.70422804885815</v>
          </cell>
          <cell r="Z128">
            <v>2.59</v>
          </cell>
          <cell r="AA128">
            <v>2.4969465978554899</v>
          </cell>
        </row>
        <row r="129">
          <cell r="B129">
            <v>5.6</v>
          </cell>
          <cell r="C129">
            <v>4.8247351719539298</v>
          </cell>
          <cell r="H129">
            <v>3.7</v>
          </cell>
          <cell r="I129">
            <v>4.68189003274101</v>
          </cell>
          <cell r="N129">
            <v>1.65</v>
          </cell>
          <cell r="O129">
            <v>1.6829170300637499</v>
          </cell>
          <cell r="Z129">
            <v>5.76</v>
          </cell>
          <cell r="AA129">
            <v>4.8365566646892004</v>
          </cell>
        </row>
        <row r="130">
          <cell r="B130">
            <v>4.2</v>
          </cell>
          <cell r="C130">
            <v>5.3461476808962001</v>
          </cell>
          <cell r="H130">
            <v>6.07</v>
          </cell>
          <cell r="I130">
            <v>5.1485075740429496</v>
          </cell>
          <cell r="N130">
            <v>1.89</v>
          </cell>
          <cell r="O130">
            <v>1.7799692763666499</v>
          </cell>
          <cell r="Z130">
            <v>5.2</v>
          </cell>
          <cell r="AA130">
            <v>4.82245391947757</v>
          </cell>
        </row>
        <row r="131">
          <cell r="B131">
            <v>5.9</v>
          </cell>
          <cell r="C131">
            <v>6.8466517817134003</v>
          </cell>
          <cell r="H131">
            <v>4.17</v>
          </cell>
          <cell r="I131">
            <v>4.0739565278446204</v>
          </cell>
          <cell r="N131">
            <v>3.03</v>
          </cell>
          <cell r="O131">
            <v>2.8117391434158798</v>
          </cell>
          <cell r="Z131">
            <v>5.73</v>
          </cell>
          <cell r="AA131">
            <v>5.1139645397925202</v>
          </cell>
        </row>
        <row r="132">
          <cell r="B132">
            <v>5.5</v>
          </cell>
          <cell r="C132">
            <v>5.7810257990742198</v>
          </cell>
          <cell r="H132">
            <v>7.68</v>
          </cell>
          <cell r="I132">
            <v>6.6510057321075404</v>
          </cell>
          <cell r="N132">
            <v>2.68</v>
          </cell>
          <cell r="O132">
            <v>2.5907280694847299</v>
          </cell>
          <cell r="Z132">
            <v>5.79</v>
          </cell>
          <cell r="AA132">
            <v>5.0773511127448296</v>
          </cell>
        </row>
        <row r="133">
          <cell r="B133">
            <v>5.3</v>
          </cell>
          <cell r="C133">
            <v>4.9753779762762704</v>
          </cell>
          <cell r="H133">
            <v>7.39</v>
          </cell>
          <cell r="I133">
            <v>6.1994753306391797</v>
          </cell>
          <cell r="N133">
            <v>3.03</v>
          </cell>
          <cell r="O133">
            <v>2.69916625193963</v>
          </cell>
          <cell r="Z133">
            <v>2.0499999999999998</v>
          </cell>
          <cell r="AA133">
            <v>2.1598381996634899</v>
          </cell>
        </row>
        <row r="134">
          <cell r="B134">
            <v>11</v>
          </cell>
          <cell r="C134">
            <v>11.0340241025655</v>
          </cell>
          <cell r="H134">
            <v>7.69</v>
          </cell>
          <cell r="I134">
            <v>6.4291368816932399</v>
          </cell>
          <cell r="N134">
            <v>0.85</v>
          </cell>
          <cell r="O134">
            <v>0.87937160028924399</v>
          </cell>
          <cell r="Z134">
            <v>3.18</v>
          </cell>
          <cell r="AA134">
            <v>4.2624713646872898</v>
          </cell>
        </row>
        <row r="135">
          <cell r="B135">
            <v>9.6</v>
          </cell>
          <cell r="C135">
            <v>9.6075495107214692</v>
          </cell>
          <cell r="H135">
            <v>7.93</v>
          </cell>
          <cell r="I135">
            <v>6.8271069496507399</v>
          </cell>
          <cell r="N135">
            <v>2.91</v>
          </cell>
          <cell r="O135">
            <v>3.80483689779801</v>
          </cell>
          <cell r="Z135">
            <v>3.22</v>
          </cell>
          <cell r="AA135">
            <v>3.1981191045280801</v>
          </cell>
        </row>
        <row r="136">
          <cell r="B136">
            <v>17</v>
          </cell>
          <cell r="C136">
            <v>16.329338803928</v>
          </cell>
          <cell r="H136">
            <v>3.32</v>
          </cell>
          <cell r="I136">
            <v>3.5780384347754102</v>
          </cell>
          <cell r="N136">
            <v>2.61</v>
          </cell>
          <cell r="O136">
            <v>2.3188685937827</v>
          </cell>
          <cell r="Z136">
            <v>4.04</v>
          </cell>
          <cell r="AA136">
            <v>4.2451494366185702</v>
          </cell>
        </row>
        <row r="137">
          <cell r="B137">
            <v>5.0999999999999996</v>
          </cell>
          <cell r="C137">
            <v>6.0389241901192898</v>
          </cell>
          <cell r="H137">
            <v>4.9400000000000004</v>
          </cell>
          <cell r="I137">
            <v>6.5588175976220402</v>
          </cell>
          <cell r="N137">
            <v>7.18</v>
          </cell>
          <cell r="O137">
            <v>7.0870572965274201</v>
          </cell>
          <cell r="Z137">
            <v>4.57</v>
          </cell>
          <cell r="AA137">
            <v>4.3343522694822303</v>
          </cell>
        </row>
        <row r="138">
          <cell r="B138">
            <v>7.9</v>
          </cell>
          <cell r="C138">
            <v>8.0872184646238896</v>
          </cell>
          <cell r="H138">
            <v>4.4400000000000004</v>
          </cell>
          <cell r="I138">
            <v>4.5588563842582399</v>
          </cell>
          <cell r="N138">
            <v>1.59</v>
          </cell>
          <cell r="O138">
            <v>2.5429234685372801</v>
          </cell>
          <cell r="Z138">
            <v>2.63</v>
          </cell>
          <cell r="AA138">
            <v>2.2893289579952998</v>
          </cell>
        </row>
        <row r="139">
          <cell r="B139">
            <v>6.2</v>
          </cell>
          <cell r="C139">
            <v>5.5906461074521898</v>
          </cell>
          <cell r="H139">
            <v>7.07</v>
          </cell>
          <cell r="I139">
            <v>7.4048720470026597</v>
          </cell>
          <cell r="N139">
            <v>1.26</v>
          </cell>
          <cell r="O139">
            <v>1.2991491546068401</v>
          </cell>
          <cell r="Z139">
            <v>5.37</v>
          </cell>
          <cell r="AA139">
            <v>4.4198608327688804</v>
          </cell>
        </row>
        <row r="140">
          <cell r="B140">
            <v>7.2</v>
          </cell>
          <cell r="C140">
            <v>8.8937017917527204</v>
          </cell>
          <cell r="H140">
            <v>5.64</v>
          </cell>
          <cell r="I140">
            <v>6.1153298710386403</v>
          </cell>
          <cell r="N140">
            <v>3.35</v>
          </cell>
          <cell r="O140">
            <v>2.3206774977904598</v>
          </cell>
          <cell r="Z140">
            <v>4.83</v>
          </cell>
          <cell r="AA140">
            <v>5.0487942392096796</v>
          </cell>
        </row>
        <row r="141">
          <cell r="B141">
            <v>6</v>
          </cell>
          <cell r="C141">
            <v>6.7220693716799396</v>
          </cell>
          <cell r="H141">
            <v>3.73</v>
          </cell>
          <cell r="I141">
            <v>3.3375164337344998</v>
          </cell>
          <cell r="N141">
            <v>5.46</v>
          </cell>
          <cell r="O141">
            <v>4.7537174031168004</v>
          </cell>
          <cell r="Z141">
            <v>2.59</v>
          </cell>
          <cell r="AA141">
            <v>2.5698396998675301</v>
          </cell>
        </row>
        <row r="142">
          <cell r="B142">
            <v>7.3</v>
          </cell>
          <cell r="C142">
            <v>6.7891980861767802</v>
          </cell>
          <cell r="H142">
            <v>6.79</v>
          </cell>
          <cell r="I142">
            <v>5.9595246825124502</v>
          </cell>
          <cell r="N142">
            <v>1.52</v>
          </cell>
          <cell r="O142">
            <v>1.3573037801538199</v>
          </cell>
          <cell r="Z142">
            <v>3.84</v>
          </cell>
          <cell r="AA142">
            <v>3.3624410513204199</v>
          </cell>
        </row>
        <row r="143">
          <cell r="B143">
            <v>8</v>
          </cell>
          <cell r="C143">
            <v>7.6561504655345498</v>
          </cell>
          <cell r="H143">
            <v>7.39</v>
          </cell>
          <cell r="I143">
            <v>7.2299416890257602</v>
          </cell>
          <cell r="N143">
            <v>0.8</v>
          </cell>
          <cell r="O143">
            <v>1.12885577402314</v>
          </cell>
          <cell r="Z143">
            <v>5.79</v>
          </cell>
          <cell r="AA143">
            <v>5.5699254984768496</v>
          </cell>
        </row>
        <row r="144">
          <cell r="B144">
            <v>4.0999999999999996</v>
          </cell>
          <cell r="C144">
            <v>4.6004835144092198</v>
          </cell>
          <cell r="H144">
            <v>3.25</v>
          </cell>
          <cell r="I144">
            <v>3.2826955959970698</v>
          </cell>
          <cell r="N144">
            <v>6.07</v>
          </cell>
          <cell r="O144">
            <v>5.3907762225153304</v>
          </cell>
          <cell r="Z144">
            <v>3.81</v>
          </cell>
          <cell r="AA144">
            <v>4.5373000825959204</v>
          </cell>
        </row>
        <row r="145">
          <cell r="B145">
            <v>9.5</v>
          </cell>
          <cell r="C145">
            <v>8.5321632753107401</v>
          </cell>
          <cell r="H145">
            <v>5.16</v>
          </cell>
          <cell r="I145">
            <v>4.7341582208803699</v>
          </cell>
          <cell r="N145">
            <v>2.04</v>
          </cell>
          <cell r="O145">
            <v>2.3285408003548702</v>
          </cell>
          <cell r="Z145">
            <v>3.07</v>
          </cell>
          <cell r="AA145">
            <v>3.0715714661598899</v>
          </cell>
        </row>
        <row r="146">
          <cell r="B146">
            <v>6.1</v>
          </cell>
          <cell r="C146">
            <v>6.3837590490336602</v>
          </cell>
          <cell r="H146">
            <v>7.34</v>
          </cell>
          <cell r="I146">
            <v>7.3080054143309603</v>
          </cell>
          <cell r="N146">
            <v>2.68</v>
          </cell>
          <cell r="O146">
            <v>2.4873195468742</v>
          </cell>
          <cell r="Z146">
            <v>2.35</v>
          </cell>
          <cell r="AA146">
            <v>2.58923930952685</v>
          </cell>
        </row>
        <row r="147">
          <cell r="B147">
            <v>15</v>
          </cell>
          <cell r="C147">
            <v>13.4492403718498</v>
          </cell>
          <cell r="H147">
            <v>5.8</v>
          </cell>
          <cell r="I147">
            <v>6.0805543942135296</v>
          </cell>
          <cell r="N147">
            <v>1.39</v>
          </cell>
          <cell r="O147">
            <v>1.4143491521334599</v>
          </cell>
          <cell r="Z147">
            <v>4.2</v>
          </cell>
          <cell r="AA147">
            <v>4.43727439434522</v>
          </cell>
        </row>
        <row r="148">
          <cell r="B148">
            <v>5.3</v>
          </cell>
          <cell r="C148">
            <v>7.3098345044345896</v>
          </cell>
          <cell r="H148">
            <v>4.3099999999999996</v>
          </cell>
          <cell r="I148">
            <v>4.7798691282378201</v>
          </cell>
          <cell r="N148">
            <v>3.46</v>
          </cell>
          <cell r="O148">
            <v>3.17518965527228</v>
          </cell>
          <cell r="Z148">
            <v>4.32</v>
          </cell>
          <cell r="AA148">
            <v>4.4674713897686802</v>
          </cell>
        </row>
        <row r="149">
          <cell r="B149">
            <v>3.8</v>
          </cell>
          <cell r="C149">
            <v>4.1768195156669599</v>
          </cell>
          <cell r="H149">
            <v>3.55</v>
          </cell>
          <cell r="I149">
            <v>4.1433310493558704</v>
          </cell>
          <cell r="N149">
            <v>2.2000000000000002</v>
          </cell>
          <cell r="O149">
            <v>2.2653612255876299</v>
          </cell>
          <cell r="Z149">
            <v>1.81</v>
          </cell>
          <cell r="AA149">
            <v>2.1640133079332999</v>
          </cell>
        </row>
        <row r="150">
          <cell r="B150">
            <v>7.1</v>
          </cell>
          <cell r="C150">
            <v>7.3225278724958001</v>
          </cell>
          <cell r="N150">
            <v>1.1599999999999999</v>
          </cell>
          <cell r="O150">
            <v>1.1904471886466801</v>
          </cell>
          <cell r="Z150">
            <v>5.86</v>
          </cell>
          <cell r="AA150">
            <v>5.5603557858522104</v>
          </cell>
        </row>
        <row r="151">
          <cell r="B151">
            <v>13</v>
          </cell>
          <cell r="C151">
            <v>9.0112385169528597</v>
          </cell>
          <cell r="N151">
            <v>5.85</v>
          </cell>
          <cell r="O151">
            <v>5.3412248889344696</v>
          </cell>
          <cell r="Z151">
            <v>5.66</v>
          </cell>
          <cell r="AA151">
            <v>5.6682847988141498</v>
          </cell>
        </row>
        <row r="152">
          <cell r="B152">
            <v>3.5</v>
          </cell>
          <cell r="C152">
            <v>2.9604336630362602</v>
          </cell>
          <cell r="N152">
            <v>2.27</v>
          </cell>
          <cell r="O152">
            <v>2.5650558970586501</v>
          </cell>
          <cell r="Z152">
            <v>5.33</v>
          </cell>
          <cell r="AA152">
            <v>5.1773258917712601</v>
          </cell>
        </row>
        <row r="153">
          <cell r="B153">
            <v>4.9000000000000004</v>
          </cell>
          <cell r="C153">
            <v>6.2271805446103601</v>
          </cell>
          <cell r="N153">
            <v>2.04</v>
          </cell>
          <cell r="O153">
            <v>2.6006306692363199</v>
          </cell>
          <cell r="Z153">
            <v>3.78</v>
          </cell>
          <cell r="AA153">
            <v>4.0685793224635596</v>
          </cell>
        </row>
        <row r="154">
          <cell r="B154">
            <v>9.1</v>
          </cell>
          <cell r="C154">
            <v>9.2420727797279092</v>
          </cell>
          <cell r="N154">
            <v>1.71</v>
          </cell>
          <cell r="O154">
            <v>1.960732510805</v>
          </cell>
          <cell r="Z154">
            <v>4.08</v>
          </cell>
          <cell r="AA154">
            <v>3.9487854783358198</v>
          </cell>
        </row>
        <row r="155">
          <cell r="B155">
            <v>7.9</v>
          </cell>
          <cell r="C155">
            <v>7.5156041227305597</v>
          </cell>
          <cell r="N155">
            <v>1.22</v>
          </cell>
          <cell r="O155">
            <v>1.0542849506893199</v>
          </cell>
          <cell r="Z155">
            <v>2.83</v>
          </cell>
          <cell r="AA155">
            <v>2.5235232963880101</v>
          </cell>
        </row>
        <row r="156">
          <cell r="B156">
            <v>5.8</v>
          </cell>
          <cell r="C156">
            <v>7.0771828399327799</v>
          </cell>
          <cell r="N156">
            <v>1.98</v>
          </cell>
          <cell r="O156">
            <v>2.0348268785746102</v>
          </cell>
          <cell r="Z156">
            <v>2.39</v>
          </cell>
          <cell r="AA156">
            <v>3.3963989946039899</v>
          </cell>
        </row>
        <row r="157">
          <cell r="B157">
            <v>6</v>
          </cell>
          <cell r="C157">
            <v>5.5279176187177903</v>
          </cell>
          <cell r="N157">
            <v>1.46</v>
          </cell>
          <cell r="O157">
            <v>1.5146161309485899</v>
          </cell>
          <cell r="Z157">
            <v>0.4</v>
          </cell>
          <cell r="AA157">
            <v>0.47946745277719799</v>
          </cell>
        </row>
        <row r="158">
          <cell r="B158">
            <v>9.1999999999999993</v>
          </cell>
          <cell r="C158">
            <v>8.3967465258714906</v>
          </cell>
          <cell r="N158">
            <v>1.49</v>
          </cell>
          <cell r="O158">
            <v>1.70936696972637</v>
          </cell>
          <cell r="Z158">
            <v>0.7</v>
          </cell>
          <cell r="AA158">
            <v>0.84760695428739896</v>
          </cell>
        </row>
        <row r="159">
          <cell r="B159">
            <v>7.1</v>
          </cell>
          <cell r="C159">
            <v>8.19927004215001</v>
          </cell>
          <cell r="N159">
            <v>0.18</v>
          </cell>
          <cell r="O159">
            <v>0.174797502888277</v>
          </cell>
          <cell r="Z159">
            <v>0.9</v>
          </cell>
          <cell r="AA159">
            <v>0.84529336082631801</v>
          </cell>
        </row>
        <row r="160">
          <cell r="B160">
            <v>3.9</v>
          </cell>
          <cell r="C160">
            <v>4.22012279947677</v>
          </cell>
          <cell r="N160">
            <v>0.36</v>
          </cell>
          <cell r="O160">
            <v>0.46799531502688901</v>
          </cell>
          <cell r="Z160">
            <v>0.8</v>
          </cell>
          <cell r="AA160">
            <v>0.92276141886325902</v>
          </cell>
        </row>
        <row r="161">
          <cell r="B161">
            <v>8.9</v>
          </cell>
          <cell r="C161">
            <v>9.1924307677219197</v>
          </cell>
          <cell r="N161">
            <v>0.35</v>
          </cell>
          <cell r="O161">
            <v>0.32982302774264199</v>
          </cell>
          <cell r="Z161">
            <v>2.87</v>
          </cell>
          <cell r="AA161">
            <v>3.2083520956637201</v>
          </cell>
        </row>
        <row r="162">
          <cell r="B162">
            <v>4.7</v>
          </cell>
          <cell r="C162">
            <v>4.4516754685353996</v>
          </cell>
          <cell r="N162">
            <v>0.15</v>
          </cell>
          <cell r="O162">
            <v>0.17681301691891199</v>
          </cell>
          <cell r="Z162">
            <v>6.59</v>
          </cell>
          <cell r="AA162">
            <v>5.8373569259867102</v>
          </cell>
        </row>
        <row r="163">
          <cell r="B163">
            <v>9</v>
          </cell>
          <cell r="C163">
            <v>8.7899113213195594</v>
          </cell>
          <cell r="N163">
            <v>2.25</v>
          </cell>
          <cell r="O163">
            <v>2.48657850320477</v>
          </cell>
        </row>
        <row r="164">
          <cell r="B164">
            <v>8.5</v>
          </cell>
          <cell r="C164">
            <v>8.4008917290456306</v>
          </cell>
          <cell r="N164">
            <v>3.2</v>
          </cell>
          <cell r="O164">
            <v>3.2108775343186999</v>
          </cell>
        </row>
        <row r="165">
          <cell r="B165">
            <v>6.1</v>
          </cell>
          <cell r="C165">
            <v>6.9833425645557998</v>
          </cell>
          <cell r="N165">
            <v>4.3600000000000003</v>
          </cell>
          <cell r="O165">
            <v>5.45791251638774</v>
          </cell>
        </row>
        <row r="166">
          <cell r="B166">
            <v>4.3</v>
          </cell>
          <cell r="C166">
            <v>5.2911416926113004</v>
          </cell>
          <cell r="N166">
            <v>3</v>
          </cell>
          <cell r="O166">
            <v>2.9754098441094801</v>
          </cell>
        </row>
        <row r="167">
          <cell r="B167">
            <v>3.5</v>
          </cell>
          <cell r="C167">
            <v>4.6310066332732802</v>
          </cell>
          <cell r="N167">
            <v>4.63</v>
          </cell>
          <cell r="O167">
            <v>4.6095971293427498</v>
          </cell>
        </row>
        <row r="168">
          <cell r="B168">
            <v>5.6</v>
          </cell>
          <cell r="C168">
            <v>6.2890968013740496</v>
          </cell>
        </row>
        <row r="169">
          <cell r="B169">
            <v>1.2</v>
          </cell>
          <cell r="C169">
            <v>1.55945617154052</v>
          </cell>
        </row>
        <row r="170">
          <cell r="B170">
            <v>1.6</v>
          </cell>
          <cell r="C170">
            <v>1.7129420272759399</v>
          </cell>
        </row>
        <row r="171">
          <cell r="B171">
            <v>1.8</v>
          </cell>
          <cell r="C171">
            <v>1.7139751770948399</v>
          </cell>
        </row>
        <row r="172">
          <cell r="B172">
            <v>1</v>
          </cell>
          <cell r="C172">
            <v>2.6745290992875601</v>
          </cell>
        </row>
        <row r="173">
          <cell r="B173">
            <v>6.61</v>
          </cell>
          <cell r="C173">
            <v>6.3468261584516803</v>
          </cell>
        </row>
        <row r="174">
          <cell r="B174">
            <v>6.8</v>
          </cell>
          <cell r="C174">
            <v>9.3480478176944306</v>
          </cell>
        </row>
        <row r="175">
          <cell r="B175">
            <v>9.0500000000000007</v>
          </cell>
          <cell r="C175">
            <v>9.4458561664848695</v>
          </cell>
        </row>
        <row r="176">
          <cell r="B176">
            <v>6.78</v>
          </cell>
          <cell r="C176">
            <v>7.0132835786473899</v>
          </cell>
        </row>
        <row r="177">
          <cell r="B177">
            <v>8.59</v>
          </cell>
          <cell r="C177">
            <v>10.4295986551941</v>
          </cell>
        </row>
      </sheetData>
      <sheetData sheetId="7">
        <row r="12">
          <cell r="C12" t="str">
            <v>Lab</v>
          </cell>
          <cell r="D12" t="str">
            <v>Pred921</v>
          </cell>
          <cell r="F12" t="str">
            <v>Pred+Bias</v>
          </cell>
          <cell r="J12" t="str">
            <v>Lab</v>
          </cell>
          <cell r="K12" t="str">
            <v>Pred921</v>
          </cell>
          <cell r="M12" t="str">
            <v>Pred+Bias</v>
          </cell>
          <cell r="Q12" t="str">
            <v>Lab</v>
          </cell>
          <cell r="R12" t="str">
            <v>Pred921</v>
          </cell>
          <cell r="T12" t="str">
            <v>Pred+Bias</v>
          </cell>
          <cell r="X12" t="str">
            <v>Lab</v>
          </cell>
          <cell r="Y12" t="str">
            <v>Pred921</v>
          </cell>
          <cell r="AA12" t="str">
            <v>Pred+Bias</v>
          </cell>
          <cell r="AE12" t="str">
            <v>Lab</v>
          </cell>
          <cell r="AF12" t="str">
            <v>Pred921</v>
          </cell>
          <cell r="AH12" t="str">
            <v>Pred+Bias</v>
          </cell>
        </row>
        <row r="13">
          <cell r="C13">
            <v>8</v>
          </cell>
          <cell r="D13">
            <v>8.1488486426837508</v>
          </cell>
          <cell r="F13">
            <v>8.1269369893887067</v>
          </cell>
          <cell r="J13">
            <v>4.72</v>
          </cell>
          <cell r="K13">
            <v>4.5326368778970298</v>
          </cell>
          <cell r="M13">
            <v>4.4388171373119967</v>
          </cell>
          <cell r="Q13">
            <v>1.69</v>
          </cell>
          <cell r="R13">
            <v>1.8587931958992601</v>
          </cell>
          <cell r="T13">
            <v>1.8021500813060776</v>
          </cell>
          <cell r="X13">
            <v>5.79</v>
          </cell>
          <cell r="Y13">
            <v>4.8786331002896803</v>
          </cell>
          <cell r="AA13">
            <v>5.0971868356419172</v>
          </cell>
          <cell r="AE13">
            <v>2.2400000000000002</v>
          </cell>
          <cell r="AF13">
            <v>2.21094273026578</v>
          </cell>
          <cell r="AH13">
            <v>2.1785163924335387</v>
          </cell>
        </row>
        <row r="14">
          <cell r="C14">
            <v>6.4</v>
          </cell>
          <cell r="D14">
            <v>6.8438677031463602</v>
          </cell>
          <cell r="F14">
            <v>6.8219560498513161</v>
          </cell>
          <cell r="J14">
            <v>5.09</v>
          </cell>
          <cell r="K14">
            <v>5.6382925518278304</v>
          </cell>
          <cell r="M14">
            <v>5.5444728112427972</v>
          </cell>
          <cell r="Q14">
            <v>1.57</v>
          </cell>
          <cell r="R14">
            <v>1.85437938391863</v>
          </cell>
          <cell r="T14">
            <v>1.7977362693254475</v>
          </cell>
          <cell r="X14">
            <v>5.57</v>
          </cell>
          <cell r="Y14">
            <v>5.3189385098245001</v>
          </cell>
          <cell r="AA14">
            <v>5.537492245176737</v>
          </cell>
          <cell r="AE14">
            <v>3.1</v>
          </cell>
          <cell r="AF14">
            <v>3.4020019641156201</v>
          </cell>
          <cell r="AH14">
            <v>3.3695756262833787</v>
          </cell>
        </row>
        <row r="15">
          <cell r="C15">
            <v>4.5</v>
          </cell>
          <cell r="D15">
            <v>4.94808516814114</v>
          </cell>
          <cell r="F15">
            <v>4.9261735148460959</v>
          </cell>
          <cell r="J15">
            <v>3.98</v>
          </cell>
          <cell r="K15">
            <v>4.1498278337598098</v>
          </cell>
          <cell r="M15">
            <v>4.0560080931747766</v>
          </cell>
          <cell r="Q15">
            <v>1.19</v>
          </cell>
          <cell r="R15">
            <v>1.14649634388781</v>
          </cell>
          <cell r="T15">
            <v>1.0898532292946275</v>
          </cell>
          <cell r="X15">
            <v>4.8</v>
          </cell>
          <cell r="Y15">
            <v>5.1777522203994799</v>
          </cell>
          <cell r="AA15">
            <v>5.3963059557517168</v>
          </cell>
          <cell r="AE15">
            <v>2.2999999999999998</v>
          </cell>
          <cell r="AF15">
            <v>2.39362491761612</v>
          </cell>
          <cell r="AH15">
            <v>2.3611985797838786</v>
          </cell>
        </row>
        <row r="16">
          <cell r="C16">
            <v>8.3000000000000007</v>
          </cell>
          <cell r="D16">
            <v>7.2274875649826704</v>
          </cell>
          <cell r="F16">
            <v>7.2055759116876263</v>
          </cell>
          <cell r="J16">
            <v>4.3099999999999996</v>
          </cell>
          <cell r="K16">
            <v>4.3659500948646199</v>
          </cell>
          <cell r="M16">
            <v>4.2721303542795868</v>
          </cell>
          <cell r="Q16">
            <v>1.56</v>
          </cell>
          <cell r="R16">
            <v>1.6256408856447599</v>
          </cell>
          <cell r="T16">
            <v>1.5689977710515775</v>
          </cell>
          <cell r="X16">
            <v>4.34</v>
          </cell>
          <cell r="Y16">
            <v>4.8398651292241297</v>
          </cell>
          <cell r="AA16">
            <v>5.0584188645763666</v>
          </cell>
          <cell r="AE16">
            <v>2.0099999999999998</v>
          </cell>
          <cell r="AF16">
            <v>2.2066709481885498</v>
          </cell>
          <cell r="AH16">
            <v>2.1742446103563084</v>
          </cell>
        </row>
        <row r="17">
          <cell r="C17">
            <v>7.1</v>
          </cell>
          <cell r="D17">
            <v>6.6411986013781803</v>
          </cell>
          <cell r="F17">
            <v>6.6192869480831362</v>
          </cell>
          <cell r="J17">
            <v>4.42</v>
          </cell>
          <cell r="K17">
            <v>4.3574206705544603</v>
          </cell>
          <cell r="M17">
            <v>4.2636009299694271</v>
          </cell>
          <cell r="Q17">
            <v>1.28</v>
          </cell>
          <cell r="R17">
            <v>1.7559308057091001</v>
          </cell>
          <cell r="T17">
            <v>1.6992876911159176</v>
          </cell>
          <cell r="X17">
            <v>5.13</v>
          </cell>
          <cell r="Y17">
            <v>5.0236183786723796</v>
          </cell>
          <cell r="AA17">
            <v>5.2421721140246165</v>
          </cell>
          <cell r="AE17">
            <v>2.42</v>
          </cell>
          <cell r="AF17">
            <v>2.8058361203788702</v>
          </cell>
          <cell r="AH17">
            <v>2.7734097825466288</v>
          </cell>
        </row>
        <row r="18">
          <cell r="C18">
            <v>5.5</v>
          </cell>
          <cell r="D18">
            <v>5.6991245319090904</v>
          </cell>
          <cell r="F18">
            <v>5.6772128786140463</v>
          </cell>
          <cell r="J18">
            <v>3.14</v>
          </cell>
          <cell r="K18">
            <v>3.6105093422048999</v>
          </cell>
          <cell r="M18">
            <v>3.5166896016198663</v>
          </cell>
          <cell r="Q18">
            <v>1.34</v>
          </cell>
          <cell r="R18">
            <v>1.3557729541909</v>
          </cell>
          <cell r="T18">
            <v>1.2991298395977176</v>
          </cell>
          <cell r="X18">
            <v>3.98</v>
          </cell>
          <cell r="Y18">
            <v>4.84642702352025</v>
          </cell>
          <cell r="AA18">
            <v>5.0649807588724869</v>
          </cell>
          <cell r="AE18">
            <v>1.64</v>
          </cell>
          <cell r="AF18">
            <v>1.89696635269808</v>
          </cell>
          <cell r="AH18">
            <v>1.8645400148658386</v>
          </cell>
        </row>
        <row r="19">
          <cell r="C19">
            <v>7.3</v>
          </cell>
          <cell r="D19">
            <v>8.4625200762877402</v>
          </cell>
          <cell r="F19">
            <v>8.4406084229926961</v>
          </cell>
          <cell r="J19">
            <v>3.98</v>
          </cell>
          <cell r="K19">
            <v>5.1616656725617203</v>
          </cell>
          <cell r="M19">
            <v>5.0678459319766871</v>
          </cell>
          <cell r="Q19">
            <v>1.76</v>
          </cell>
          <cell r="R19">
            <v>2.2376968789061098</v>
          </cell>
          <cell r="T19">
            <v>2.1810537643129275</v>
          </cell>
          <cell r="X19">
            <v>5.98</v>
          </cell>
          <cell r="Y19">
            <v>5.5781680458930802</v>
          </cell>
          <cell r="AA19">
            <v>5.7967217812453171</v>
          </cell>
          <cell r="AE19">
            <v>2.08</v>
          </cell>
          <cell r="AF19">
            <v>2.66581070647986</v>
          </cell>
          <cell r="AH19">
            <v>2.6333843686476186</v>
          </cell>
        </row>
        <row r="20">
          <cell r="C20">
            <v>8.4</v>
          </cell>
          <cell r="D20">
            <v>8.4417227085663793</v>
          </cell>
          <cell r="F20">
            <v>8.4198110552713352</v>
          </cell>
          <cell r="J20">
            <v>6.53</v>
          </cell>
          <cell r="K20">
            <v>6.5356374031435402</v>
          </cell>
          <cell r="M20">
            <v>6.4418176625585071</v>
          </cell>
          <cell r="Q20">
            <v>2.44</v>
          </cell>
          <cell r="R20">
            <v>2.8799946751655101</v>
          </cell>
          <cell r="T20">
            <v>2.8233515605723278</v>
          </cell>
          <cell r="X20">
            <v>6.71</v>
          </cell>
          <cell r="Y20">
            <v>6.4539641832844303</v>
          </cell>
          <cell r="AA20">
            <v>6.6725179186366672</v>
          </cell>
          <cell r="AE20">
            <v>4.4400000000000004</v>
          </cell>
          <cell r="AF20">
            <v>3.87832450480319</v>
          </cell>
          <cell r="AH20">
            <v>3.8458981669709487</v>
          </cell>
        </row>
        <row r="21">
          <cell r="C21">
            <v>9.4</v>
          </cell>
          <cell r="D21">
            <v>10.147341696053299</v>
          </cell>
          <cell r="F21">
            <v>10.125430042758255</v>
          </cell>
          <cell r="J21">
            <v>5.09</v>
          </cell>
          <cell r="K21">
            <v>3.86722575847595</v>
          </cell>
          <cell r="M21">
            <v>3.7734060178909163</v>
          </cell>
          <cell r="Q21">
            <v>2.0299999999999998</v>
          </cell>
          <cell r="R21">
            <v>2.1312146291602101</v>
          </cell>
          <cell r="T21">
            <v>2.0745715145670278</v>
          </cell>
          <cell r="X21">
            <v>5.49</v>
          </cell>
          <cell r="Y21">
            <v>5.0547170370643597</v>
          </cell>
          <cell r="AA21">
            <v>5.2732707724165966</v>
          </cell>
          <cell r="AE21">
            <v>2.62</v>
          </cell>
          <cell r="AF21">
            <v>1.95254990257076</v>
          </cell>
          <cell r="AH21">
            <v>1.9201235647385186</v>
          </cell>
        </row>
        <row r="22">
          <cell r="C22">
            <v>5.8</v>
          </cell>
          <cell r="D22">
            <v>6.0595488997334703</v>
          </cell>
          <cell r="F22">
            <v>6.0376372464384263</v>
          </cell>
          <cell r="J22">
            <v>5.71</v>
          </cell>
          <cell r="K22">
            <v>5.2602331532730799</v>
          </cell>
          <cell r="M22">
            <v>5.1664134126880468</v>
          </cell>
          <cell r="Q22">
            <v>1.81</v>
          </cell>
          <cell r="R22">
            <v>1.5977985683825999</v>
          </cell>
          <cell r="T22">
            <v>1.5411554537894174</v>
          </cell>
          <cell r="X22">
            <v>6.33</v>
          </cell>
          <cell r="Y22">
            <v>5.9351290278624598</v>
          </cell>
          <cell r="AA22">
            <v>6.1536827632146966</v>
          </cell>
          <cell r="AE22">
            <v>3.72</v>
          </cell>
          <cell r="AF22">
            <v>3.0688578035951499</v>
          </cell>
          <cell r="AH22">
            <v>3.0364314657629086</v>
          </cell>
        </row>
        <row r="23">
          <cell r="C23">
            <v>6.5</v>
          </cell>
          <cell r="D23">
            <v>6.1307071870283698</v>
          </cell>
          <cell r="F23">
            <v>6.1087955337333257</v>
          </cell>
          <cell r="J23">
            <v>3.81</v>
          </cell>
          <cell r="K23">
            <v>3.8316337598441002</v>
          </cell>
          <cell r="M23">
            <v>3.7378140192590665</v>
          </cell>
          <cell r="Q23">
            <v>2.5</v>
          </cell>
          <cell r="R23">
            <v>1.96600537753569</v>
          </cell>
          <cell r="T23">
            <v>1.9093622629425075</v>
          </cell>
          <cell r="X23">
            <v>4.9000000000000004</v>
          </cell>
          <cell r="Y23">
            <v>4.6534913649935001</v>
          </cell>
          <cell r="AA23">
            <v>4.872045100345737</v>
          </cell>
          <cell r="AE23">
            <v>2.54</v>
          </cell>
          <cell r="AF23">
            <v>2.3333264579263102</v>
          </cell>
          <cell r="AH23">
            <v>2.3009001200940689</v>
          </cell>
        </row>
        <row r="24">
          <cell r="C24">
            <v>5.7</v>
          </cell>
          <cell r="D24">
            <v>5.1895366153374196</v>
          </cell>
          <cell r="F24">
            <v>5.1676249620423755</v>
          </cell>
          <cell r="J24">
            <v>5.0999999999999996</v>
          </cell>
          <cell r="K24">
            <v>4.60816057929389</v>
          </cell>
          <cell r="M24">
            <v>4.5143408387088568</v>
          </cell>
          <cell r="Q24">
            <v>2.2200000000000002</v>
          </cell>
          <cell r="R24">
            <v>1.8621145427154999</v>
          </cell>
          <cell r="T24">
            <v>1.8054714281223174</v>
          </cell>
          <cell r="X24">
            <v>5.55</v>
          </cell>
          <cell r="Y24">
            <v>5.2392524970718002</v>
          </cell>
          <cell r="AA24">
            <v>5.4578062324240371</v>
          </cell>
          <cell r="AE24">
            <v>2.08</v>
          </cell>
          <cell r="AF24">
            <v>2.3158953160994402</v>
          </cell>
          <cell r="AH24">
            <v>2.2834689782671989</v>
          </cell>
        </row>
        <row r="25">
          <cell r="C25">
            <v>5</v>
          </cell>
          <cell r="D25">
            <v>5.5320773026683101</v>
          </cell>
          <cell r="F25">
            <v>5.510165649373266</v>
          </cell>
          <cell r="J25">
            <v>4.2699999999999996</v>
          </cell>
          <cell r="K25">
            <v>4.7857767024915097</v>
          </cell>
          <cell r="M25">
            <v>4.6919569619064765</v>
          </cell>
          <cell r="Q25">
            <v>1.1499999999999999</v>
          </cell>
          <cell r="R25">
            <v>1.33443387157636</v>
          </cell>
          <cell r="T25">
            <v>1.2777907569831775</v>
          </cell>
          <cell r="X25">
            <v>5.63</v>
          </cell>
          <cell r="Y25">
            <v>5.4338799358374699</v>
          </cell>
          <cell r="AA25">
            <v>5.6524336711897067</v>
          </cell>
          <cell r="AE25">
            <v>2.2999999999999998</v>
          </cell>
          <cell r="AF25">
            <v>2.09670025601431</v>
          </cell>
          <cell r="AH25">
            <v>2.0642739181820686</v>
          </cell>
        </row>
        <row r="26">
          <cell r="C26">
            <v>8.8000000000000007</v>
          </cell>
          <cell r="D26">
            <v>8.0178972187140491</v>
          </cell>
          <cell r="F26">
            <v>7.9959855654190051</v>
          </cell>
          <cell r="J26">
            <v>4.84</v>
          </cell>
          <cell r="K26">
            <v>5.3698044885551104</v>
          </cell>
          <cell r="M26">
            <v>5.2759847479700772</v>
          </cell>
          <cell r="Q26">
            <v>1.56</v>
          </cell>
          <cell r="R26">
            <v>1.8440492191761</v>
          </cell>
          <cell r="T26">
            <v>1.7874061045829175</v>
          </cell>
          <cell r="X26">
            <v>5.22</v>
          </cell>
          <cell r="Y26">
            <v>5.09860716986746</v>
          </cell>
          <cell r="AA26">
            <v>5.3171609052196969</v>
          </cell>
          <cell r="AE26">
            <v>2.15</v>
          </cell>
          <cell r="AF26">
            <v>2.49966962973452</v>
          </cell>
          <cell r="AH26">
            <v>2.4672432919022786</v>
          </cell>
        </row>
        <row r="27">
          <cell r="C27">
            <v>9.6</v>
          </cell>
          <cell r="D27">
            <v>9.3244853263237708</v>
          </cell>
          <cell r="F27">
            <v>9.3025736730287267</v>
          </cell>
          <cell r="J27">
            <v>3.85</v>
          </cell>
          <cell r="K27">
            <v>4.2352185619111804</v>
          </cell>
          <cell r="M27">
            <v>4.1413988213261472</v>
          </cell>
          <cell r="Q27">
            <v>2.31</v>
          </cell>
          <cell r="R27">
            <v>2.7092977430385599</v>
          </cell>
          <cell r="T27">
            <v>2.6526546284453776</v>
          </cell>
          <cell r="X27">
            <v>6</v>
          </cell>
          <cell r="Y27">
            <v>6.6425509447294901</v>
          </cell>
          <cell r="AA27">
            <v>6.861104680081727</v>
          </cell>
          <cell r="AE27">
            <v>3</v>
          </cell>
          <cell r="AF27">
            <v>3.79751526926445</v>
          </cell>
          <cell r="AH27">
            <v>3.7650889314322087</v>
          </cell>
        </row>
        <row r="28">
          <cell r="C28">
            <v>7</v>
          </cell>
          <cell r="D28">
            <v>6.7384244117477996</v>
          </cell>
          <cell r="F28">
            <v>6.7165127584527555</v>
          </cell>
          <cell r="J28">
            <v>3.47</v>
          </cell>
          <cell r="K28">
            <v>3.6432280643945401</v>
          </cell>
          <cell r="M28">
            <v>3.5494083238095064</v>
          </cell>
          <cell r="Q28">
            <v>2.21</v>
          </cell>
          <cell r="R28">
            <v>1.5523809540490201</v>
          </cell>
          <cell r="T28">
            <v>1.4957378394558376</v>
          </cell>
          <cell r="X28">
            <v>5.54</v>
          </cell>
          <cell r="Y28">
            <v>5.7039471172088403</v>
          </cell>
          <cell r="AA28">
            <v>5.9225008525610772</v>
          </cell>
          <cell r="AE28">
            <v>2.4700000000000002</v>
          </cell>
          <cell r="AF28">
            <v>3.20533404182195</v>
          </cell>
          <cell r="AH28">
            <v>3.1729077039897087</v>
          </cell>
        </row>
        <row r="29">
          <cell r="C29">
            <v>9.1999999999999993</v>
          </cell>
          <cell r="D29">
            <v>10.322255256676</v>
          </cell>
          <cell r="F29">
            <v>10.300343603380956</v>
          </cell>
          <cell r="J29">
            <v>4.59</v>
          </cell>
          <cell r="K29">
            <v>5.3398007431486301</v>
          </cell>
          <cell r="M29">
            <v>5.2459810025635969</v>
          </cell>
          <cell r="Q29">
            <v>1.26</v>
          </cell>
          <cell r="R29">
            <v>1.3230815048726701</v>
          </cell>
          <cell r="T29">
            <v>1.2664383902794876</v>
          </cell>
          <cell r="X29">
            <v>4.99</v>
          </cell>
          <cell r="Y29">
            <v>5.0213277164913102</v>
          </cell>
          <cell r="AA29">
            <v>5.239881451843547</v>
          </cell>
          <cell r="AE29">
            <v>2.0099999999999998</v>
          </cell>
          <cell r="AF29">
            <v>2.29887609560677</v>
          </cell>
          <cell r="AH29">
            <v>2.2664497577745286</v>
          </cell>
        </row>
        <row r="30">
          <cell r="C30">
            <v>9.1999999999999993</v>
          </cell>
          <cell r="D30">
            <v>7.7983244059696197</v>
          </cell>
          <cell r="F30">
            <v>7.7764127526745757</v>
          </cell>
          <cell r="J30">
            <v>5.42</v>
          </cell>
          <cell r="K30">
            <v>4.7356732087412396</v>
          </cell>
          <cell r="M30">
            <v>4.6418534681562065</v>
          </cell>
          <cell r="Q30">
            <v>1.27</v>
          </cell>
          <cell r="R30">
            <v>1.2142637000119501</v>
          </cell>
          <cell r="T30">
            <v>1.1576205854187676</v>
          </cell>
          <cell r="X30">
            <v>4.8099999999999996</v>
          </cell>
          <cell r="Y30">
            <v>4.8157504711899399</v>
          </cell>
          <cell r="AA30">
            <v>5.0343042065421768</v>
          </cell>
          <cell r="AE30">
            <v>1.91</v>
          </cell>
          <cell r="AF30">
            <v>1.9062840562694501</v>
          </cell>
          <cell r="AH30">
            <v>1.8738577184372087</v>
          </cell>
        </row>
        <row r="31">
          <cell r="C31">
            <v>6</v>
          </cell>
          <cell r="D31">
            <v>6.7136312714509101</v>
          </cell>
          <cell r="F31">
            <v>6.691719618155866</v>
          </cell>
          <cell r="J31">
            <v>4.41</v>
          </cell>
          <cell r="K31">
            <v>4.9935649009663301</v>
          </cell>
          <cell r="M31">
            <v>4.8997451603812969</v>
          </cell>
          <cell r="Q31">
            <v>1.83</v>
          </cell>
          <cell r="R31">
            <v>2.05651847064633</v>
          </cell>
          <cell r="T31">
            <v>1.9998753560531475</v>
          </cell>
          <cell r="X31">
            <v>5.72</v>
          </cell>
          <cell r="Y31">
            <v>5.3634732260810498</v>
          </cell>
          <cell r="AA31">
            <v>5.5820269614332867</v>
          </cell>
          <cell r="AE31">
            <v>2.29</v>
          </cell>
          <cell r="AF31">
            <v>2.7522148898706802</v>
          </cell>
          <cell r="AH31">
            <v>2.7197885520384388</v>
          </cell>
        </row>
        <row r="32">
          <cell r="C32">
            <v>5.7</v>
          </cell>
          <cell r="D32">
            <v>6.5664319693056798</v>
          </cell>
          <cell r="F32">
            <v>6.5445203160106358</v>
          </cell>
          <cell r="J32">
            <v>4.1399999999999997</v>
          </cell>
          <cell r="K32">
            <v>4.4928161479261002</v>
          </cell>
          <cell r="M32">
            <v>4.398996407341067</v>
          </cell>
          <cell r="Q32">
            <v>1.79</v>
          </cell>
          <cell r="R32">
            <v>1.88287199839158</v>
          </cell>
          <cell r="T32">
            <v>1.8262288837983975</v>
          </cell>
          <cell r="X32">
            <v>5.09</v>
          </cell>
          <cell r="Y32">
            <v>4.9837474078563204</v>
          </cell>
          <cell r="AA32">
            <v>5.2023011432085573</v>
          </cell>
          <cell r="AE32">
            <v>3.13</v>
          </cell>
          <cell r="AF32">
            <v>2.9236433216902098</v>
          </cell>
          <cell r="AH32">
            <v>2.8912169838579684</v>
          </cell>
        </row>
        <row r="33">
          <cell r="C33">
            <v>9.1</v>
          </cell>
          <cell r="D33">
            <v>9.1050368645282802</v>
          </cell>
          <cell r="F33">
            <v>9.0831252112332361</v>
          </cell>
          <cell r="J33">
            <v>6.0969698560000003</v>
          </cell>
          <cell r="K33">
            <v>6.20718826220644</v>
          </cell>
          <cell r="M33">
            <v>6.1133685216214069</v>
          </cell>
          <cell r="Q33">
            <v>1.3</v>
          </cell>
          <cell r="R33">
            <v>1.62342874994197</v>
          </cell>
          <cell r="T33">
            <v>1.5667856353487875</v>
          </cell>
          <cell r="X33">
            <v>5.76</v>
          </cell>
          <cell r="Y33">
            <v>4.88231189754657</v>
          </cell>
          <cell r="AA33">
            <v>5.1008656328988069</v>
          </cell>
          <cell r="AE33">
            <v>2.5</v>
          </cell>
          <cell r="AF33">
            <v>2.7051075780941498</v>
          </cell>
          <cell r="AH33">
            <v>2.6726812402619085</v>
          </cell>
        </row>
        <row r="34">
          <cell r="C34">
            <v>7.5</v>
          </cell>
          <cell r="D34">
            <v>7.9000992425546297</v>
          </cell>
          <cell r="F34">
            <v>7.8781875892595856</v>
          </cell>
          <cell r="J34">
            <v>6.33</v>
          </cell>
          <cell r="K34">
            <v>6.0163098233258197</v>
          </cell>
          <cell r="M34">
            <v>5.9224900827407865</v>
          </cell>
          <cell r="Q34">
            <v>1.25</v>
          </cell>
          <cell r="R34">
            <v>2.1563285868675499</v>
          </cell>
          <cell r="T34">
            <v>2.0996854722743676</v>
          </cell>
          <cell r="X34">
            <v>5.33</v>
          </cell>
          <cell r="Y34">
            <v>5.7275208800122703</v>
          </cell>
          <cell r="AA34">
            <v>5.9460746153645072</v>
          </cell>
          <cell r="AE34">
            <v>2.2000000000000002</v>
          </cell>
          <cell r="AF34">
            <v>2.6285071074219402</v>
          </cell>
          <cell r="AH34">
            <v>2.5960807695896988</v>
          </cell>
        </row>
        <row r="35">
          <cell r="C35">
            <v>6.3</v>
          </cell>
          <cell r="D35">
            <v>7.0651715463610101</v>
          </cell>
          <cell r="F35">
            <v>7.043259893065966</v>
          </cell>
          <cell r="J35">
            <v>4.3600000000000003</v>
          </cell>
          <cell r="K35">
            <v>3.8407267264619702</v>
          </cell>
          <cell r="M35">
            <v>3.7469069858769366</v>
          </cell>
          <cell r="Q35">
            <v>2.54</v>
          </cell>
          <cell r="R35">
            <v>2.9656987653449498</v>
          </cell>
          <cell r="T35">
            <v>2.9090556507517675</v>
          </cell>
          <cell r="X35">
            <v>5.04</v>
          </cell>
          <cell r="Y35">
            <v>4.5143864420462396</v>
          </cell>
          <cell r="AA35">
            <v>4.7329401773984765</v>
          </cell>
          <cell r="AE35">
            <v>3.99</v>
          </cell>
          <cell r="AF35">
            <v>3.6018085600404799</v>
          </cell>
          <cell r="AH35">
            <v>3.5693822222082385</v>
          </cell>
        </row>
        <row r="36">
          <cell r="C36">
            <v>5.2</v>
          </cell>
          <cell r="D36">
            <v>5.3299966072871596</v>
          </cell>
          <cell r="F36">
            <v>5.3080849539921156</v>
          </cell>
          <cell r="J36">
            <v>6.1</v>
          </cell>
          <cell r="K36">
            <v>6.36058827553512</v>
          </cell>
          <cell r="M36">
            <v>6.2667685349500868</v>
          </cell>
          <cell r="Q36">
            <v>2.44</v>
          </cell>
          <cell r="R36">
            <v>2.1357259858613502</v>
          </cell>
          <cell r="T36">
            <v>2.0790828712681679</v>
          </cell>
          <cell r="X36">
            <v>6.72</v>
          </cell>
          <cell r="Y36">
            <v>6.2646913108229603</v>
          </cell>
          <cell r="AA36">
            <v>6.4832450461751971</v>
          </cell>
          <cell r="AE36">
            <v>4.4000000000000004</v>
          </cell>
          <cell r="AF36">
            <v>3.2719850340849401</v>
          </cell>
          <cell r="AH36">
            <v>3.2395586962526988</v>
          </cell>
        </row>
        <row r="37">
          <cell r="C37">
            <v>7.3</v>
          </cell>
          <cell r="D37">
            <v>8.0436994468010994</v>
          </cell>
          <cell r="F37">
            <v>8.0217877935060553</v>
          </cell>
          <cell r="J37">
            <v>4.8</v>
          </cell>
          <cell r="K37">
            <v>4.4988658796345504</v>
          </cell>
          <cell r="M37">
            <v>4.4050461390495173</v>
          </cell>
          <cell r="Q37">
            <v>1.32</v>
          </cell>
          <cell r="R37">
            <v>1.09618213924167</v>
          </cell>
          <cell r="T37">
            <v>1.0395390246484875</v>
          </cell>
          <cell r="X37">
            <v>5.21</v>
          </cell>
          <cell r="Y37">
            <v>5.4972131600218601</v>
          </cell>
          <cell r="AA37">
            <v>5.715766895374097</v>
          </cell>
          <cell r="AE37">
            <v>2.11</v>
          </cell>
          <cell r="AF37">
            <v>2.09819363968675</v>
          </cell>
          <cell r="AH37">
            <v>2.0657673018545086</v>
          </cell>
        </row>
        <row r="38">
          <cell r="C38">
            <v>7.5</v>
          </cell>
          <cell r="D38">
            <v>6.97251353323262</v>
          </cell>
          <cell r="F38">
            <v>6.9506018799375759</v>
          </cell>
          <cell r="J38">
            <v>5.12</v>
          </cell>
          <cell r="K38">
            <v>4.3582412024136996</v>
          </cell>
          <cell r="M38">
            <v>4.2644214618286664</v>
          </cell>
          <cell r="Q38">
            <v>1.9</v>
          </cell>
          <cell r="R38">
            <v>2.5743857725975201</v>
          </cell>
          <cell r="T38">
            <v>2.5177426580043378</v>
          </cell>
          <cell r="X38">
            <v>5.46</v>
          </cell>
          <cell r="Y38">
            <v>5.5647529388933599</v>
          </cell>
          <cell r="AA38">
            <v>5.7833066742455967</v>
          </cell>
          <cell r="AE38">
            <v>4.55</v>
          </cell>
          <cell r="AF38">
            <v>4.4501630806124899</v>
          </cell>
          <cell r="AH38">
            <v>4.4177367427802485</v>
          </cell>
        </row>
        <row r="39">
          <cell r="C39">
            <v>5</v>
          </cell>
          <cell r="D39">
            <v>4.4995170908626099</v>
          </cell>
          <cell r="F39">
            <v>4.4776054375675658</v>
          </cell>
          <cell r="J39">
            <v>3.19</v>
          </cell>
          <cell r="K39">
            <v>3.19083838258046</v>
          </cell>
          <cell r="M39">
            <v>3.0970186419954264</v>
          </cell>
          <cell r="Q39">
            <v>1.63</v>
          </cell>
          <cell r="R39">
            <v>1.75113007080943</v>
          </cell>
          <cell r="T39">
            <v>1.6944869562162475</v>
          </cell>
          <cell r="X39">
            <v>4.62</v>
          </cell>
          <cell r="Y39">
            <v>4.4755133640083997</v>
          </cell>
          <cell r="AA39">
            <v>4.6940670993606366</v>
          </cell>
          <cell r="AE39">
            <v>3.26</v>
          </cell>
          <cell r="AF39">
            <v>2.7289409603969501</v>
          </cell>
          <cell r="AH39">
            <v>2.6965146225647088</v>
          </cell>
        </row>
        <row r="40">
          <cell r="C40">
            <v>8.5</v>
          </cell>
          <cell r="D40">
            <v>8.3809396407107197</v>
          </cell>
          <cell r="F40">
            <v>8.3590279874156757</v>
          </cell>
          <cell r="J40">
            <v>4.57</v>
          </cell>
          <cell r="K40">
            <v>5.5544602721805196</v>
          </cell>
          <cell r="M40">
            <v>5.4606405315954865</v>
          </cell>
          <cell r="Q40">
            <v>1.79</v>
          </cell>
          <cell r="R40">
            <v>2.80380608264274</v>
          </cell>
          <cell r="T40">
            <v>2.7471629680495577</v>
          </cell>
          <cell r="X40">
            <v>6.45</v>
          </cell>
          <cell r="Y40">
            <v>4.7272128758895802</v>
          </cell>
          <cell r="AA40">
            <v>4.945766611241817</v>
          </cell>
          <cell r="AE40">
            <v>3.92</v>
          </cell>
          <cell r="AF40">
            <v>2.84949404393282</v>
          </cell>
          <cell r="AH40">
            <v>2.8170677061005787</v>
          </cell>
        </row>
        <row r="41">
          <cell r="C41">
            <v>5.8</v>
          </cell>
          <cell r="D41">
            <v>5.7659367397552597</v>
          </cell>
          <cell r="F41">
            <v>5.7440250864602156</v>
          </cell>
          <cell r="J41">
            <v>5.71</v>
          </cell>
          <cell r="K41">
            <v>5.9167895939225703</v>
          </cell>
          <cell r="M41">
            <v>5.8229698533375371</v>
          </cell>
          <cell r="Q41">
            <v>1.64</v>
          </cell>
          <cell r="R41">
            <v>1.8092325491443899</v>
          </cell>
          <cell r="T41">
            <v>1.7525894345512074</v>
          </cell>
          <cell r="X41">
            <v>6.74</v>
          </cell>
          <cell r="Y41">
            <v>7.7045256543722704</v>
          </cell>
          <cell r="AA41">
            <v>7.9230793897245073</v>
          </cell>
          <cell r="AE41">
            <v>2.1800000000000002</v>
          </cell>
          <cell r="AF41">
            <v>2.0426857432988301</v>
          </cell>
          <cell r="AH41">
            <v>2.0102594054665888</v>
          </cell>
        </row>
        <row r="42">
          <cell r="C42">
            <v>5.5</v>
          </cell>
          <cell r="D42">
            <v>7.07507272342544</v>
          </cell>
          <cell r="F42">
            <v>7.0531610701303959</v>
          </cell>
          <cell r="J42">
            <v>6.94</v>
          </cell>
          <cell r="K42">
            <v>7.2230635602876703</v>
          </cell>
          <cell r="M42">
            <v>7.1292438197026371</v>
          </cell>
          <cell r="Q42">
            <v>1.92</v>
          </cell>
          <cell r="R42">
            <v>2.2969907964167802</v>
          </cell>
          <cell r="T42">
            <v>2.2403476818235979</v>
          </cell>
          <cell r="X42">
            <v>8.31</v>
          </cell>
          <cell r="Y42">
            <v>8.7194905305068193</v>
          </cell>
          <cell r="AA42">
            <v>8.9380442658590571</v>
          </cell>
          <cell r="AE42">
            <v>3.1</v>
          </cell>
          <cell r="AF42">
            <v>3.2500070698246502</v>
          </cell>
          <cell r="AH42">
            <v>3.2175807319924088</v>
          </cell>
        </row>
        <row r="43">
          <cell r="C43">
            <v>6.6</v>
          </cell>
          <cell r="D43">
            <v>5.9702592752105303</v>
          </cell>
          <cell r="F43">
            <v>5.9483476219154863</v>
          </cell>
          <cell r="J43">
            <v>2.6</v>
          </cell>
          <cell r="K43">
            <v>3.6015004784804598</v>
          </cell>
          <cell r="M43">
            <v>3.5076807378954262</v>
          </cell>
          <cell r="Q43">
            <v>1.29</v>
          </cell>
          <cell r="R43">
            <v>1.1278202991483</v>
          </cell>
          <cell r="T43">
            <v>1.0711771845551175</v>
          </cell>
          <cell r="X43">
            <v>3.3</v>
          </cell>
          <cell r="Y43">
            <v>4.41508217897373</v>
          </cell>
          <cell r="AA43">
            <v>4.6336359143259669</v>
          </cell>
          <cell r="AE43">
            <v>3.68</v>
          </cell>
          <cell r="AF43">
            <v>4.5300330381733502</v>
          </cell>
          <cell r="AH43">
            <v>4.4976067003411089</v>
          </cell>
        </row>
        <row r="44">
          <cell r="C44">
            <v>7.2</v>
          </cell>
          <cell r="D44">
            <v>5.9125738419268501</v>
          </cell>
          <cell r="F44">
            <v>5.890662188631806</v>
          </cell>
          <cell r="J44">
            <v>5.32</v>
          </cell>
          <cell r="K44">
            <v>4.5878350902820504</v>
          </cell>
          <cell r="M44">
            <v>4.4940153496970172</v>
          </cell>
          <cell r="Q44">
            <v>1.73</v>
          </cell>
          <cell r="R44">
            <v>2.1812591800668399</v>
          </cell>
          <cell r="T44">
            <v>2.1246160654736577</v>
          </cell>
          <cell r="X44">
            <v>6.88</v>
          </cell>
          <cell r="Y44">
            <v>5.1982688293314103</v>
          </cell>
          <cell r="AA44">
            <v>5.4168225646836472</v>
          </cell>
          <cell r="AE44">
            <v>5.76</v>
          </cell>
          <cell r="AF44">
            <v>5.4836762847656004</v>
          </cell>
          <cell r="AH44">
            <v>5.4512499469333591</v>
          </cell>
        </row>
        <row r="45">
          <cell r="C45">
            <v>3.9</v>
          </cell>
          <cell r="D45">
            <v>3.3364305023558898</v>
          </cell>
          <cell r="F45">
            <v>3.3145188490608457</v>
          </cell>
          <cell r="J45">
            <v>4.2300000000000004</v>
          </cell>
          <cell r="K45">
            <v>4.3639355305054703</v>
          </cell>
          <cell r="M45">
            <v>4.2701157899204372</v>
          </cell>
          <cell r="Q45">
            <v>3.93</v>
          </cell>
          <cell r="R45">
            <v>2.0756342008602702</v>
          </cell>
          <cell r="T45">
            <v>2.0189910862670879</v>
          </cell>
          <cell r="X45">
            <v>7.45</v>
          </cell>
          <cell r="Y45">
            <v>6.3694515867002997</v>
          </cell>
          <cell r="AA45">
            <v>6.5880053220525365</v>
          </cell>
          <cell r="AE45">
            <v>1.83</v>
          </cell>
          <cell r="AF45">
            <v>2.4529957411525101</v>
          </cell>
          <cell r="AH45">
            <v>2.4205694033202687</v>
          </cell>
        </row>
        <row r="46">
          <cell r="C46">
            <v>7.3</v>
          </cell>
          <cell r="D46">
            <v>6.2146450559892701</v>
          </cell>
          <cell r="F46">
            <v>6.192733402694226</v>
          </cell>
          <cell r="J46">
            <v>4.2300000000000004</v>
          </cell>
          <cell r="K46">
            <v>4.4305751015280901</v>
          </cell>
          <cell r="M46">
            <v>4.3367553609430569</v>
          </cell>
          <cell r="Q46">
            <v>6.5</v>
          </cell>
          <cell r="R46">
            <v>5.09255747320928</v>
          </cell>
          <cell r="T46">
            <v>5.0359143586160977</v>
          </cell>
          <cell r="X46">
            <v>7.45</v>
          </cell>
          <cell r="Y46">
            <v>6.5467463376060397</v>
          </cell>
          <cell r="AA46">
            <v>6.7653000729582766</v>
          </cell>
          <cell r="AE46">
            <v>4.2</v>
          </cell>
          <cell r="AF46">
            <v>3.5326395177042098</v>
          </cell>
          <cell r="AH46">
            <v>3.5002131798719684</v>
          </cell>
        </row>
        <row r="47">
          <cell r="C47">
            <v>8.3000000000000007</v>
          </cell>
          <cell r="D47">
            <v>7.6705880675381097</v>
          </cell>
          <cell r="F47">
            <v>7.6486764142430657</v>
          </cell>
          <cell r="J47">
            <v>4.2300000000000004</v>
          </cell>
          <cell r="K47">
            <v>4.3691433534059403</v>
          </cell>
          <cell r="M47">
            <v>4.2753236128209071</v>
          </cell>
          <cell r="Q47">
            <v>1.35</v>
          </cell>
          <cell r="R47">
            <v>1.08767274288681</v>
          </cell>
          <cell r="T47">
            <v>1.0310296282936275</v>
          </cell>
          <cell r="X47">
            <v>7.45</v>
          </cell>
          <cell r="Y47">
            <v>6.84245108983409</v>
          </cell>
          <cell r="AA47">
            <v>7.0610048251863269</v>
          </cell>
          <cell r="AE47">
            <v>2.85</v>
          </cell>
          <cell r="AF47">
            <v>3.08039295627071</v>
          </cell>
          <cell r="AH47">
            <v>3.0479666184384686</v>
          </cell>
        </row>
        <row r="48">
          <cell r="C48">
            <v>9.4</v>
          </cell>
          <cell r="D48">
            <v>9.10396537841814</v>
          </cell>
          <cell r="F48">
            <v>9.0820537251230959</v>
          </cell>
          <cell r="J48">
            <v>4.2300000000000004</v>
          </cell>
          <cell r="K48">
            <v>4.4839921708307102</v>
          </cell>
          <cell r="M48">
            <v>4.390172430245677</v>
          </cell>
          <cell r="Q48">
            <v>1.74</v>
          </cell>
          <cell r="R48">
            <v>1.60789534280532</v>
          </cell>
          <cell r="T48">
            <v>1.5512522282121375</v>
          </cell>
          <cell r="X48">
            <v>7.45</v>
          </cell>
          <cell r="Y48">
            <v>6.4044195970737299</v>
          </cell>
          <cell r="AA48">
            <v>6.6229733324259668</v>
          </cell>
          <cell r="AE48">
            <v>2.85</v>
          </cell>
          <cell r="AF48">
            <v>3.1671481930746501</v>
          </cell>
          <cell r="AH48">
            <v>3.1347218552424088</v>
          </cell>
        </row>
        <row r="49">
          <cell r="C49">
            <v>5.17</v>
          </cell>
          <cell r="D49">
            <v>4.5497915056685398</v>
          </cell>
          <cell r="F49">
            <v>4.5278798523734958</v>
          </cell>
          <cell r="J49">
            <v>4.2300000000000004</v>
          </cell>
          <cell r="K49">
            <v>4.1091700382291299</v>
          </cell>
          <cell r="M49">
            <v>4.0153502976440967</v>
          </cell>
          <cell r="Q49">
            <v>1.45</v>
          </cell>
          <cell r="R49">
            <v>1.7673789176105399</v>
          </cell>
          <cell r="T49">
            <v>1.7107358030173574</v>
          </cell>
          <cell r="X49">
            <v>7.45</v>
          </cell>
          <cell r="Y49">
            <v>6.6362326109656697</v>
          </cell>
          <cell r="AA49">
            <v>6.8547863463179066</v>
          </cell>
          <cell r="AE49">
            <v>2.85</v>
          </cell>
          <cell r="AF49">
            <v>3.11584376408479</v>
          </cell>
          <cell r="AH49">
            <v>3.0834174262525487</v>
          </cell>
        </row>
        <row r="50">
          <cell r="C50">
            <v>4.62</v>
          </cell>
          <cell r="D50">
            <v>4.2617506210804601</v>
          </cell>
          <cell r="F50">
            <v>4.239838967785416</v>
          </cell>
          <cell r="Q50">
            <v>1.45</v>
          </cell>
          <cell r="R50">
            <v>1.6794657318745601</v>
          </cell>
          <cell r="T50">
            <v>1.6228226172813776</v>
          </cell>
          <cell r="AE50">
            <v>2.85</v>
          </cell>
          <cell r="AF50">
            <v>3.1038573369746598</v>
          </cell>
          <cell r="AH50">
            <v>3.0714309991424185</v>
          </cell>
        </row>
        <row r="51">
          <cell r="C51">
            <v>4.2</v>
          </cell>
          <cell r="D51">
            <v>4.9117310374383401</v>
          </cell>
          <cell r="F51">
            <v>4.889819384143296</v>
          </cell>
          <cell r="Q51">
            <v>1.45</v>
          </cell>
          <cell r="R51">
            <v>1.5226496678694299</v>
          </cell>
          <cell r="T51">
            <v>1.4660065532762474</v>
          </cell>
          <cell r="AE51">
            <v>2.85</v>
          </cell>
          <cell r="AF51">
            <v>2.9401022408528599</v>
          </cell>
          <cell r="AH51">
            <v>2.9076759030206185</v>
          </cell>
        </row>
        <row r="52">
          <cell r="C52">
            <v>4.2</v>
          </cell>
          <cell r="D52">
            <v>4.8623772802829599</v>
          </cell>
          <cell r="F52">
            <v>4.8404656269879158</v>
          </cell>
          <cell r="Q52">
            <v>1.45</v>
          </cell>
          <cell r="R52">
            <v>1.5144356796327101</v>
          </cell>
          <cell r="T52">
            <v>1.4577925650395276</v>
          </cell>
        </row>
        <row r="53">
          <cell r="C53">
            <v>4.2</v>
          </cell>
          <cell r="D53">
            <v>4.5674760310485203</v>
          </cell>
          <cell r="F53">
            <v>4.5455643777534762</v>
          </cell>
          <cell r="Q53">
            <v>1.45</v>
          </cell>
          <cell r="R53">
            <v>1.55395326060942</v>
          </cell>
          <cell r="T53">
            <v>1.4973101460162375</v>
          </cell>
        </row>
        <row r="54">
          <cell r="C54">
            <v>4.2</v>
          </cell>
          <cell r="D54">
            <v>4.7001161572286998</v>
          </cell>
          <cell r="F54">
            <v>4.6782045039336557</v>
          </cell>
        </row>
        <row r="55">
          <cell r="C55">
            <v>4.2</v>
          </cell>
          <cell r="D55">
            <v>4.3789963438777502</v>
          </cell>
          <cell r="F55">
            <v>4.3570846905827061</v>
          </cell>
        </row>
      </sheetData>
      <sheetData sheetId="8">
        <row r="11">
          <cell r="D11" t="str">
            <v>Pred Rev919</v>
          </cell>
          <cell r="R11" t="str">
            <v>Pred Rev919</v>
          </cell>
          <cell r="Y11" t="str">
            <v>Pred Rev919</v>
          </cell>
          <cell r="AF11" t="str">
            <v>Pred Rev919</v>
          </cell>
        </row>
        <row r="12">
          <cell r="D12">
            <v>8.3342004587866896</v>
          </cell>
          <cell r="K12">
            <v>4.7759392659283399</v>
          </cell>
          <cell r="R12">
            <v>1.6637533949758601</v>
          </cell>
          <cell r="Y12">
            <v>5.1950103776376402</v>
          </cell>
          <cell r="AF12">
            <v>2.4341985925940799</v>
          </cell>
        </row>
        <row r="13">
          <cell r="D13">
            <v>6.4904219490133697</v>
          </cell>
          <cell r="K13">
            <v>4.4448354004666202</v>
          </cell>
          <cell r="R13">
            <v>1.5940057650681301</v>
          </cell>
          <cell r="Y13">
            <v>5.3715000116831302</v>
          </cell>
          <cell r="AF13">
            <v>2.5320895444157898</v>
          </cell>
        </row>
        <row r="14">
          <cell r="D14">
            <v>5.32968900562632</v>
          </cell>
          <cell r="K14">
            <v>3.7727613510880298</v>
          </cell>
          <cell r="R14">
            <v>1.3087820019999901</v>
          </cell>
          <cell r="Y14">
            <v>5.0391821002239903</v>
          </cell>
          <cell r="AF14">
            <v>2.3095723547987701</v>
          </cell>
        </row>
        <row r="15">
          <cell r="D15">
            <v>8.7698460205883499</v>
          </cell>
          <cell r="K15">
            <v>3.8871390993855499</v>
          </cell>
          <cell r="R15">
            <v>1.7048000122145699</v>
          </cell>
          <cell r="Y15">
            <v>5.14265134334339</v>
          </cell>
          <cell r="AF15">
            <v>2.2005185757450501</v>
          </cell>
        </row>
        <row r="16">
          <cell r="D16">
            <v>6.63085535490751</v>
          </cell>
          <cell r="K16">
            <v>4.3039661688691</v>
          </cell>
          <cell r="R16">
            <v>1.7175353406232301</v>
          </cell>
          <cell r="Y16">
            <v>5.1129471218779301</v>
          </cell>
          <cell r="AF16">
            <v>2.52860563851381</v>
          </cell>
        </row>
        <row r="17">
          <cell r="D17">
            <v>5.5092089880506503</v>
          </cell>
          <cell r="K17">
            <v>3.86372366477825</v>
          </cell>
          <cell r="R17">
            <v>1.49653489471152</v>
          </cell>
          <cell r="Y17">
            <v>5.0683329337987804</v>
          </cell>
          <cell r="AF17">
            <v>1.94916196974587</v>
          </cell>
        </row>
        <row r="18">
          <cell r="D18">
            <v>8.7729274351313897</v>
          </cell>
          <cell r="K18">
            <v>5.1298034235590197</v>
          </cell>
          <cell r="R18">
            <v>2.1310353967550499</v>
          </cell>
          <cell r="Y18">
            <v>5.6668597586883003</v>
          </cell>
          <cell r="AF18">
            <v>2.4769652208921</v>
          </cell>
        </row>
        <row r="19">
          <cell r="D19">
            <v>8.7615745353705705</v>
          </cell>
          <cell r="K19">
            <v>6.5245853829134397</v>
          </cell>
          <cell r="R19">
            <v>2.91841932655415</v>
          </cell>
          <cell r="Y19">
            <v>6.5365281392365402</v>
          </cell>
          <cell r="AF19">
            <v>3.8313798276014102</v>
          </cell>
        </row>
        <row r="20">
          <cell r="D20">
            <v>10.484538914210299</v>
          </cell>
          <cell r="K20">
            <v>4.1962279247217404</v>
          </cell>
          <cell r="R20">
            <v>2.9310733340445201</v>
          </cell>
          <cell r="Y20">
            <v>5.1257077490371197</v>
          </cell>
          <cell r="AF20">
            <v>2.3419977712636202</v>
          </cell>
        </row>
        <row r="21">
          <cell r="D21">
            <v>5.6013636101851398</v>
          </cell>
          <cell r="K21">
            <v>5.8278044853170297</v>
          </cell>
          <cell r="R21">
            <v>1.87886346718324</v>
          </cell>
          <cell r="Y21">
            <v>5.9144749294021102</v>
          </cell>
          <cell r="AF21">
            <v>3.2094630413265799</v>
          </cell>
        </row>
        <row r="22">
          <cell r="D22">
            <v>6.7300984297527</v>
          </cell>
          <cell r="K22">
            <v>4.5927546490652702</v>
          </cell>
          <cell r="R22">
            <v>2.05310998073158</v>
          </cell>
          <cell r="Y22">
            <v>4.8339315670990102</v>
          </cell>
          <cell r="AF22">
            <v>3.0206952185352098</v>
          </cell>
        </row>
        <row r="23">
          <cell r="D23">
            <v>5.3365052796969197</v>
          </cell>
          <cell r="K23">
            <v>4.9664758961516302</v>
          </cell>
          <cell r="R23">
            <v>1.4247845479218</v>
          </cell>
          <cell r="Y23">
            <v>5.1280943421257001</v>
          </cell>
          <cell r="AF23">
            <v>2.6693193098890098</v>
          </cell>
        </row>
        <row r="24">
          <cell r="D24">
            <v>6.7177773315288398</v>
          </cell>
          <cell r="K24">
            <v>4.4850283393646899</v>
          </cell>
          <cell r="R24">
            <v>2.0660343085683799</v>
          </cell>
          <cell r="Y24">
            <v>5.5864574552194597</v>
          </cell>
          <cell r="AF24">
            <v>2.3955054542613898</v>
          </cell>
        </row>
        <row r="25">
          <cell r="D25">
            <v>8.07813272342724</v>
          </cell>
          <cell r="K25">
            <v>5.4597314124482796</v>
          </cell>
          <cell r="R25">
            <v>1.6213037192384001</v>
          </cell>
          <cell r="Y25">
            <v>5.20536448260704</v>
          </cell>
          <cell r="AF25">
            <v>2.2526319120494001</v>
          </cell>
        </row>
        <row r="26">
          <cell r="D26">
            <v>9.4050351825678096</v>
          </cell>
          <cell r="K26">
            <v>4.2346838966961604</v>
          </cell>
          <cell r="R26">
            <v>2.46255374276137</v>
          </cell>
          <cell r="Y26">
            <v>6.4053539647115798</v>
          </cell>
          <cell r="AF26">
            <v>3.41062213719455</v>
          </cell>
        </row>
        <row r="27">
          <cell r="D27">
            <v>6.6683691707045902</v>
          </cell>
          <cell r="K27">
            <v>4.0505959438554298</v>
          </cell>
          <cell r="R27">
            <v>2.1333452799133799</v>
          </cell>
          <cell r="Y27">
            <v>5.8210153610842603</v>
          </cell>
          <cell r="AF27">
            <v>2.86782431276922</v>
          </cell>
        </row>
        <row r="28">
          <cell r="D28">
            <v>9.9850643412155105</v>
          </cell>
          <cell r="K28">
            <v>5.4289586050439498</v>
          </cell>
          <cell r="R28">
            <v>1.5663735145423401</v>
          </cell>
          <cell r="Y28">
            <v>5.0705518897100701</v>
          </cell>
          <cell r="AF28">
            <v>1.8714554306615301</v>
          </cell>
        </row>
        <row r="29">
          <cell r="D29">
            <v>9.1467129563870095</v>
          </cell>
          <cell r="K29">
            <v>5.0789391488103197</v>
          </cell>
          <cell r="R29">
            <v>1.5635241662415</v>
          </cell>
          <cell r="Y29">
            <v>4.9460384080954203</v>
          </cell>
          <cell r="AF29">
            <v>2.1451001884235001</v>
          </cell>
        </row>
        <row r="30">
          <cell r="D30">
            <v>5.8452626070066804</v>
          </cell>
          <cell r="K30">
            <v>4.1906270276510398</v>
          </cell>
          <cell r="R30">
            <v>2.0784415108080698</v>
          </cell>
          <cell r="Y30">
            <v>5.4826403615066397</v>
          </cell>
          <cell r="AF30">
            <v>2.5867685849243101</v>
          </cell>
        </row>
        <row r="31">
          <cell r="D31">
            <v>5.3589739826219498</v>
          </cell>
          <cell r="K31">
            <v>4.8423263152284397</v>
          </cell>
          <cell r="R31">
            <v>2.2059440716653498</v>
          </cell>
          <cell r="Y31">
            <v>4.99767100931449</v>
          </cell>
          <cell r="AF31">
            <v>3.16355544083804</v>
          </cell>
        </row>
        <row r="32">
          <cell r="D32">
            <v>8.9098645694092493</v>
          </cell>
          <cell r="K32">
            <v>4.7465953246192596</v>
          </cell>
          <cell r="R32">
            <v>1.55482460189283</v>
          </cell>
          <cell r="Y32">
            <v>5.33222789964712</v>
          </cell>
          <cell r="AF32">
            <v>1.84879026224986</v>
          </cell>
        </row>
        <row r="33">
          <cell r="D33">
            <v>7.5741508930813497</v>
          </cell>
          <cell r="K33">
            <v>4.63309461409969</v>
          </cell>
          <cell r="R33">
            <v>2.1484797941387401</v>
          </cell>
          <cell r="Y33">
            <v>5.4606217662299903</v>
          </cell>
          <cell r="AF33">
            <v>3.16354518379352</v>
          </cell>
        </row>
        <row r="34">
          <cell r="D34">
            <v>6.8351778387769597</v>
          </cell>
          <cell r="K34">
            <v>3.2101759918524202</v>
          </cell>
          <cell r="R34">
            <v>2.45544829187916</v>
          </cell>
          <cell r="Y34">
            <v>4.8679078094729196</v>
          </cell>
          <cell r="AF34">
            <v>3.27152763089867</v>
          </cell>
        </row>
        <row r="35">
          <cell r="D35">
            <v>5.5413844770983696</v>
          </cell>
          <cell r="K35">
            <v>4.4659323051677102</v>
          </cell>
          <cell r="R35">
            <v>1.9789414932200899</v>
          </cell>
          <cell r="Y35">
            <v>6.1590236075193996</v>
          </cell>
          <cell r="AF35">
            <v>3.5075615860939102</v>
          </cell>
        </row>
        <row r="36">
          <cell r="D36">
            <v>7.8599396133774899</v>
          </cell>
          <cell r="K36">
            <v>4.3984513704630297</v>
          </cell>
          <cell r="R36">
            <v>1.30350380783151</v>
          </cell>
          <cell r="Y36">
            <v>5.5628270965335398</v>
          </cell>
          <cell r="AF36">
            <v>2.0752538857738201</v>
          </cell>
        </row>
        <row r="37">
          <cell r="D37">
            <v>8.0671930765315807</v>
          </cell>
          <cell r="K37">
            <v>4.46425592942738</v>
          </cell>
          <cell r="R37">
            <v>1.7934395945616799</v>
          </cell>
          <cell r="Y37">
            <v>5.1845819785917797</v>
          </cell>
          <cell r="AF37">
            <v>3.1651670096904199</v>
          </cell>
        </row>
        <row r="38">
          <cell r="D38">
            <v>5.0664609278809998</v>
          </cell>
          <cell r="K38">
            <v>4.1059709405417104</v>
          </cell>
          <cell r="R38">
            <v>1.5816586169157301</v>
          </cell>
          <cell r="Y38">
            <v>4.1686784288800602</v>
          </cell>
          <cell r="AF38">
            <v>3.1796522822977602</v>
          </cell>
        </row>
        <row r="39">
          <cell r="D39">
            <v>8.5637880254022303</v>
          </cell>
          <cell r="K39">
            <v>4.4957285980956296</v>
          </cell>
          <cell r="R39">
            <v>2.21491771962067</v>
          </cell>
          <cell r="Y39">
            <v>4.9023719358304696</v>
          </cell>
          <cell r="AF39">
            <v>3.4735417698959798</v>
          </cell>
        </row>
        <row r="40">
          <cell r="D40">
            <v>6.4901030702256204</v>
          </cell>
          <cell r="K40">
            <v>7.3098138015108498</v>
          </cell>
          <cell r="R40">
            <v>1.6684234860696701</v>
          </cell>
          <cell r="Y40">
            <v>7.4278462139717298</v>
          </cell>
          <cell r="AF40">
            <v>2.7822055774966898</v>
          </cell>
        </row>
        <row r="41">
          <cell r="D41">
            <v>5.1888190340354896</v>
          </cell>
          <cell r="K41">
            <v>4.7705947357497003</v>
          </cell>
          <cell r="R41">
            <v>1.98825669053316</v>
          </cell>
          <cell r="Y41">
            <v>8.6243031066099505</v>
          </cell>
          <cell r="AF41">
            <v>3.3205556282390898</v>
          </cell>
        </row>
        <row r="42">
          <cell r="D42">
            <v>7.02586243100109</v>
          </cell>
          <cell r="K42">
            <v>4.2047159345513698</v>
          </cell>
          <cell r="R42">
            <v>1.3772318959063401</v>
          </cell>
          <cell r="Y42">
            <v>4.6607838678066198</v>
          </cell>
          <cell r="AF42">
            <v>4.5232690280569097</v>
          </cell>
        </row>
        <row r="43">
          <cell r="D43">
            <v>8.3115178904911904</v>
          </cell>
          <cell r="K43">
            <v>4.3999671618733203</v>
          </cell>
          <cell r="R43">
            <v>1.83746109845793</v>
          </cell>
          <cell r="Y43">
            <v>4.8350880654012398</v>
          </cell>
          <cell r="AF43">
            <v>3.1360257375386298</v>
          </cell>
        </row>
        <row r="44">
          <cell r="D44">
            <v>6.8286992597893503</v>
          </cell>
          <cell r="K44">
            <v>4.4838012911291498</v>
          </cell>
          <cell r="R44">
            <v>3.47068477727497</v>
          </cell>
          <cell r="Y44">
            <v>6.9695246406801896</v>
          </cell>
          <cell r="AF44">
            <v>3.1931169686581402</v>
          </cell>
        </row>
        <row r="45">
          <cell r="D45">
            <v>8.7012879527348801</v>
          </cell>
          <cell r="K45">
            <v>4.35153857101482</v>
          </cell>
          <cell r="R45">
            <v>2.1212293882271398</v>
          </cell>
          <cell r="Y45">
            <v>6.9597297943678997</v>
          </cell>
          <cell r="AF45">
            <v>3.2045427048849602</v>
          </cell>
        </row>
        <row r="46">
          <cell r="D46">
            <v>6.86608821142607</v>
          </cell>
          <cell r="K46">
            <v>4.7216935726196603</v>
          </cell>
          <cell r="R46">
            <v>1.5656146189635001</v>
          </cell>
          <cell r="Y46">
            <v>6.91704233164391</v>
          </cell>
          <cell r="AF46">
            <v>3.2776122823067002</v>
          </cell>
        </row>
        <row r="47">
          <cell r="D47">
            <v>6.1470188645177197</v>
          </cell>
          <cell r="K47">
            <v>4.6652970384490198</v>
          </cell>
          <cell r="R47">
            <v>1.9575113610738999</v>
          </cell>
          <cell r="Y47">
            <v>6.78410568901002</v>
          </cell>
          <cell r="AF47">
            <v>3.1972752051996398</v>
          </cell>
        </row>
        <row r="48">
          <cell r="D48">
            <v>7.3276281697979098</v>
          </cell>
          <cell r="K48">
            <v>4.5945234756384297</v>
          </cell>
          <cell r="R48">
            <v>2.2726129531467101</v>
          </cell>
          <cell r="Y48">
            <v>6.7723520674780202</v>
          </cell>
          <cell r="AF48">
            <v>3.1919007311383498</v>
          </cell>
        </row>
        <row r="49">
          <cell r="D49">
            <v>7.0586319904656198</v>
          </cell>
          <cell r="R49">
            <v>2.16902468905253</v>
          </cell>
          <cell r="AF49">
            <v>3.36470937645913</v>
          </cell>
        </row>
        <row r="50">
          <cell r="D50">
            <v>5.4299395130111199</v>
          </cell>
          <cell r="R50">
            <v>2.1635269336921898</v>
          </cell>
          <cell r="AF50">
            <v>3.3517623718299898</v>
          </cell>
        </row>
        <row r="51">
          <cell r="D51">
            <v>5.3392427837596399</v>
          </cell>
          <cell r="R51">
            <v>2.3454446388512098</v>
          </cell>
        </row>
        <row r="52">
          <cell r="D52">
            <v>4.9976759931786399</v>
          </cell>
          <cell r="R52">
            <v>2.3145406419810501</v>
          </cell>
        </row>
        <row r="53">
          <cell r="D53">
            <v>4.9179042973058102</v>
          </cell>
        </row>
        <row r="54">
          <cell r="D54">
            <v>5.0086236041089798</v>
          </cell>
        </row>
      </sheetData>
      <sheetData sheetId="9">
        <row r="40">
          <cell r="B40" t="str">
            <v>MASTER</v>
          </cell>
          <cell r="R40">
            <v>189013</v>
          </cell>
        </row>
        <row r="41">
          <cell r="C41" t="str">
            <v>DM</v>
          </cell>
          <cell r="K41" t="str">
            <v>DM</v>
          </cell>
          <cell r="S41" t="str">
            <v>DM</v>
          </cell>
          <cell r="AA41" t="str">
            <v>DM</v>
          </cell>
          <cell r="AI41" t="str">
            <v>DM</v>
          </cell>
        </row>
        <row r="42">
          <cell r="C42">
            <v>7.6410421768722596</v>
          </cell>
          <cell r="D42">
            <v>4.3046418061063898</v>
          </cell>
          <cell r="E42">
            <v>1.92113580180161</v>
          </cell>
          <cell r="F42">
            <v>5.3214700568651701</v>
          </cell>
          <cell r="G42">
            <v>2.2194795571158998</v>
          </cell>
          <cell r="K42">
            <v>7.9716847211884101</v>
          </cell>
          <cell r="L42">
            <v>4.2961822122322602</v>
          </cell>
          <cell r="M42">
            <v>1.8973015888873399</v>
          </cell>
          <cell r="N42">
            <v>5.2839910240752896</v>
          </cell>
          <cell r="O42">
            <v>2.1961010098069198</v>
          </cell>
          <cell r="S42">
            <v>7.6161185160230698</v>
          </cell>
          <cell r="T42">
            <v>4.3142722175659403</v>
          </cell>
          <cell r="U42">
            <v>1.9314286318831</v>
          </cell>
          <cell r="V42">
            <v>5.2021593706572604</v>
          </cell>
          <cell r="W42">
            <v>2.2709016956796102</v>
          </cell>
          <cell r="AA42">
            <v>7.9814028743822503</v>
          </cell>
          <cell r="AB42">
            <v>4.5706925824922102</v>
          </cell>
          <cell r="AC42">
            <v>2.0777086668704601</v>
          </cell>
          <cell r="AD42">
            <v>5.3979515183969697</v>
          </cell>
          <cell r="AE42">
            <v>2.5150548284220098</v>
          </cell>
          <cell r="AI42">
            <v>6.9987255337109104</v>
          </cell>
          <cell r="AJ42">
            <v>4.3037939014633997</v>
          </cell>
          <cell r="AK42">
            <v>1.96101465592632</v>
          </cell>
          <cell r="AL42">
            <v>5.1675650684532801</v>
          </cell>
          <cell r="AM42">
            <v>2.3646162323725299</v>
          </cell>
        </row>
        <row r="43">
          <cell r="C43">
            <v>4.4293682174639901</v>
          </cell>
          <cell r="D43">
            <v>5.0545161474566402</v>
          </cell>
          <cell r="E43">
            <v>1.9858454055035299</v>
          </cell>
          <cell r="F43">
            <v>6.4078273214642998</v>
          </cell>
          <cell r="G43">
            <v>3.1328692573098098</v>
          </cell>
          <cell r="K43">
            <v>4.0189533660194403</v>
          </cell>
          <cell r="L43">
            <v>4.9337165864879404</v>
          </cell>
          <cell r="M43">
            <v>1.8257086434157701</v>
          </cell>
          <cell r="N43">
            <v>6.5402387061593004</v>
          </cell>
          <cell r="O43">
            <v>3.05086198791559</v>
          </cell>
          <cell r="S43">
            <v>3.18883062044823</v>
          </cell>
          <cell r="T43">
            <v>4.7920360545311897</v>
          </cell>
          <cell r="U43">
            <v>1.7619345388946701</v>
          </cell>
          <cell r="V43">
            <v>6.4209499718759497</v>
          </cell>
          <cell r="W43">
            <v>2.9229128358277698</v>
          </cell>
          <cell r="AA43">
            <v>3.6461286908511799</v>
          </cell>
          <cell r="AB43">
            <v>4.7773393243796303</v>
          </cell>
          <cell r="AC43">
            <v>1.7861811673140999</v>
          </cell>
          <cell r="AD43">
            <v>6.3631185491985596</v>
          </cell>
          <cell r="AE43">
            <v>2.8229592089286202</v>
          </cell>
          <cell r="AI43">
            <v>2.8238681143486999</v>
          </cell>
          <cell r="AJ43">
            <v>4.8428469718031604</v>
          </cell>
          <cell r="AK43">
            <v>1.7807830519716099</v>
          </cell>
          <cell r="AL43">
            <v>6.5578397003101401</v>
          </cell>
          <cell r="AM43">
            <v>2.9740573004703501</v>
          </cell>
        </row>
        <row r="44">
          <cell r="C44">
            <v>5.9710388139306598</v>
          </cell>
          <cell r="D44">
            <v>4.8162095146534503</v>
          </cell>
          <cell r="E44">
            <v>2.3074910626084999</v>
          </cell>
          <cell r="F44">
            <v>5.6014853244301497</v>
          </cell>
          <cell r="G44">
            <v>2.8087627885566899</v>
          </cell>
          <cell r="K44">
            <v>5.8401013640929298</v>
          </cell>
          <cell r="L44">
            <v>4.8199541987361396</v>
          </cell>
          <cell r="M44">
            <v>2.3366727123707198</v>
          </cell>
          <cell r="N44">
            <v>5.5675313513067497</v>
          </cell>
          <cell r="O44">
            <v>2.8299365270752999</v>
          </cell>
          <cell r="S44">
            <v>4.3944418244332697</v>
          </cell>
          <cell r="T44">
            <v>3.8944548667563299</v>
          </cell>
          <cell r="U44">
            <v>1.7396450473602001</v>
          </cell>
          <cell r="V44">
            <v>4.8451403233399901</v>
          </cell>
          <cell r="W44">
            <v>2.2252390756095801</v>
          </cell>
          <cell r="AA44">
            <v>5.41586585794811</v>
          </cell>
          <cell r="AB44">
            <v>4.32832473456134</v>
          </cell>
          <cell r="AC44">
            <v>2.0123929703764998</v>
          </cell>
          <cell r="AD44">
            <v>5.24538154798178</v>
          </cell>
          <cell r="AE44">
            <v>2.4740302171658701</v>
          </cell>
          <cell r="AI44">
            <v>4.9892701349645803</v>
          </cell>
          <cell r="AJ44">
            <v>4.8259882417856002</v>
          </cell>
          <cell r="AK44">
            <v>2.4073697246693002</v>
          </cell>
          <cell r="AL44">
            <v>5.5604608975297003</v>
          </cell>
          <cell r="AM44">
            <v>2.98060287821869</v>
          </cell>
        </row>
        <row r="45">
          <cell r="C45">
            <v>6.0890826380711598</v>
          </cell>
          <cell r="D45">
            <v>4.8751010820775198</v>
          </cell>
          <cell r="E45">
            <v>2.1529367611722501</v>
          </cell>
          <cell r="F45">
            <v>5.5884993320241199</v>
          </cell>
          <cell r="G45">
            <v>2.5514294821563701</v>
          </cell>
          <cell r="K45">
            <v>7.4809595589013398</v>
          </cell>
          <cell r="L45">
            <v>5.25045505793633</v>
          </cell>
          <cell r="M45">
            <v>2.32038510042812</v>
          </cell>
          <cell r="N45">
            <v>5.8589467785947802</v>
          </cell>
          <cell r="O45">
            <v>2.8062558549308099</v>
          </cell>
          <cell r="S45">
            <v>5.9876565873092797</v>
          </cell>
          <cell r="T45">
            <v>4.68049861127498</v>
          </cell>
          <cell r="U45">
            <v>2.0755855688901401</v>
          </cell>
          <cell r="V45">
            <v>5.3099514543825999</v>
          </cell>
          <cell r="W45">
            <v>2.5518383624605701</v>
          </cell>
          <cell r="AA45">
            <v>5.3794631158256401</v>
          </cell>
          <cell r="AB45">
            <v>4.6185093745356003</v>
          </cell>
          <cell r="AC45">
            <v>2.0736564196976199</v>
          </cell>
          <cell r="AD45">
            <v>5.1688243940358198</v>
          </cell>
          <cell r="AE45">
            <v>2.7361185274688902</v>
          </cell>
          <cell r="AI45">
            <v>6.1965695868279296</v>
          </cell>
          <cell r="AJ45">
            <v>4.9888682583934303</v>
          </cell>
          <cell r="AK45">
            <v>2.2564933690043798</v>
          </cell>
          <cell r="AL45">
            <v>5.6076198466571796</v>
          </cell>
          <cell r="AM45">
            <v>2.7911186049071901</v>
          </cell>
        </row>
        <row r="46">
          <cell r="C46">
            <v>6.48316652573663</v>
          </cell>
          <cell r="D46">
            <v>4.4445889288140599</v>
          </cell>
          <cell r="E46">
            <v>2.0460256958717502</v>
          </cell>
          <cell r="F46">
            <v>4.9325315430446404</v>
          </cell>
          <cell r="G46">
            <v>2.7697522732280899</v>
          </cell>
          <cell r="K46">
            <v>7.2002865619545</v>
          </cell>
          <cell r="L46">
            <v>4.6449645156345296</v>
          </cell>
          <cell r="M46">
            <v>2.0893890168070501</v>
          </cell>
          <cell r="N46">
            <v>5.0015783982604098</v>
          </cell>
          <cell r="O46">
            <v>2.8963269535763798</v>
          </cell>
          <cell r="S46">
            <v>6.8341536271433503</v>
          </cell>
          <cell r="T46">
            <v>4.5082598698284402</v>
          </cell>
          <cell r="U46">
            <v>2.0638759270988798</v>
          </cell>
          <cell r="V46">
            <v>4.94639163097745</v>
          </cell>
          <cell r="W46">
            <v>2.7861829727103999</v>
          </cell>
          <cell r="AA46">
            <v>6.9672560528856797</v>
          </cell>
          <cell r="AB46">
            <v>4.7715292178686397</v>
          </cell>
          <cell r="AC46">
            <v>2.2168681077113601</v>
          </cell>
          <cell r="AD46">
            <v>5.1609981679507602</v>
          </cell>
          <cell r="AE46">
            <v>3.1471433551826702</v>
          </cell>
          <cell r="AI46">
            <v>6.0860555393381297</v>
          </cell>
          <cell r="AJ46">
            <v>4.4811750834909301</v>
          </cell>
          <cell r="AK46">
            <v>2.0549305650713001</v>
          </cell>
          <cell r="AL46">
            <v>4.9077676047679502</v>
          </cell>
          <cell r="AM46">
            <v>2.8312784477371902</v>
          </cell>
        </row>
        <row r="47">
          <cell r="C47">
            <v>7.1707004415154696</v>
          </cell>
          <cell r="D47">
            <v>4.4077224955431102</v>
          </cell>
          <cell r="E47">
            <v>2.0433423823138699</v>
          </cell>
          <cell r="F47">
            <v>5.0337837453088703</v>
          </cell>
          <cell r="G47">
            <v>2.6370992717524699</v>
          </cell>
          <cell r="K47">
            <v>7.9608730457775101</v>
          </cell>
          <cell r="L47">
            <v>4.6485251221789703</v>
          </cell>
          <cell r="M47">
            <v>2.1741488107637301</v>
          </cell>
          <cell r="N47">
            <v>5.1943796807688498</v>
          </cell>
          <cell r="O47">
            <v>2.8475676188491201</v>
          </cell>
          <cell r="S47">
            <v>7.2450073411962999</v>
          </cell>
          <cell r="T47">
            <v>4.5720564162583504</v>
          </cell>
          <cell r="U47">
            <v>2.1409355610322098</v>
          </cell>
          <cell r="V47">
            <v>5.1044062558107797</v>
          </cell>
          <cell r="W47">
            <v>2.8465443608381502</v>
          </cell>
          <cell r="AA47">
            <v>7.0663782568183802</v>
          </cell>
          <cell r="AB47">
            <v>4.7179772953966799</v>
          </cell>
          <cell r="AC47">
            <v>2.1995952911963501</v>
          </cell>
          <cell r="AD47">
            <v>5.18293991102012</v>
          </cell>
          <cell r="AE47">
            <v>3.0806446838409398</v>
          </cell>
          <cell r="AI47">
            <v>6.7709188312368296</v>
          </cell>
          <cell r="AJ47">
            <v>4.4794340428241997</v>
          </cell>
          <cell r="AK47">
            <v>2.11332126978514</v>
          </cell>
          <cell r="AL47">
            <v>5.0328729415367199</v>
          </cell>
          <cell r="AM47">
            <v>2.8277696212470298</v>
          </cell>
        </row>
        <row r="48">
          <cell r="C48">
            <v>6.7292841466258002</v>
          </cell>
          <cell r="D48">
            <v>4.3556595897063701</v>
          </cell>
          <cell r="E48">
            <v>2.0083131747652501</v>
          </cell>
          <cell r="F48">
            <v>4.8747555609759203</v>
          </cell>
          <cell r="G48">
            <v>2.6950175640655099</v>
          </cell>
          <cell r="K48">
            <v>7.2459399532762703</v>
          </cell>
          <cell r="L48">
            <v>4.5630482630270501</v>
          </cell>
          <cell r="M48">
            <v>2.0711381753469098</v>
          </cell>
          <cell r="N48">
            <v>4.97168870887214</v>
          </cell>
          <cell r="O48">
            <v>2.8042175733578398</v>
          </cell>
          <cell r="S48">
            <v>6.5636360060041596</v>
          </cell>
          <cell r="T48">
            <v>4.4474664775402299</v>
          </cell>
          <cell r="U48">
            <v>2.0097932610036899</v>
          </cell>
          <cell r="V48">
            <v>4.8406721694275898</v>
          </cell>
          <cell r="W48">
            <v>2.73129176541465</v>
          </cell>
          <cell r="AA48">
            <v>6.9254619594809803</v>
          </cell>
          <cell r="AB48">
            <v>4.6702236880253798</v>
          </cell>
          <cell r="AC48">
            <v>2.15665279940304</v>
          </cell>
          <cell r="AD48">
            <v>5.0295008612186001</v>
          </cell>
          <cell r="AE48">
            <v>3.03183905629716</v>
          </cell>
          <cell r="AI48">
            <v>5.9727974950275797</v>
          </cell>
          <cell r="AJ48">
            <v>4.4416073241034102</v>
          </cell>
          <cell r="AK48">
            <v>2.06589904364834</v>
          </cell>
          <cell r="AL48">
            <v>4.8871903128306604</v>
          </cell>
          <cell r="AM48">
            <v>2.8261268726505402</v>
          </cell>
        </row>
        <row r="49">
          <cell r="C49">
            <v>7.2115424421369898</v>
          </cell>
          <cell r="D49">
            <v>4.9116730261446602</v>
          </cell>
          <cell r="E49">
            <v>2.3029103978827798</v>
          </cell>
          <cell r="F49">
            <v>5.4771244823384704</v>
          </cell>
          <cell r="G49">
            <v>3.1564588785444401</v>
          </cell>
          <cell r="K49">
            <v>8.7380525688128792</v>
          </cell>
          <cell r="L49">
            <v>5.2776507478549997</v>
          </cell>
          <cell r="M49">
            <v>2.30523387023986</v>
          </cell>
          <cell r="N49">
            <v>5.7876063596211003</v>
          </cell>
          <cell r="O49">
            <v>3.3606319462016798</v>
          </cell>
          <cell r="S49">
            <v>7.3850582287501796</v>
          </cell>
          <cell r="T49">
            <v>5.1640770620072596</v>
          </cell>
          <cell r="U49">
            <v>2.44507196834161</v>
          </cell>
          <cell r="V49">
            <v>5.7531133150807401</v>
          </cell>
          <cell r="W49">
            <v>3.3363235401025002</v>
          </cell>
          <cell r="AA49">
            <v>7.6472144493213596</v>
          </cell>
          <cell r="AB49">
            <v>5.5884364158525903</v>
          </cell>
          <cell r="AC49">
            <v>2.5410301893718699</v>
          </cell>
          <cell r="AD49">
            <v>6.0652840425049304</v>
          </cell>
          <cell r="AE49">
            <v>3.7720976730953701</v>
          </cell>
          <cell r="AI49">
            <v>7.9800756053906898</v>
          </cell>
          <cell r="AJ49">
            <v>4.9375323307372403</v>
          </cell>
          <cell r="AK49">
            <v>2.2402066053024399</v>
          </cell>
          <cell r="AL49">
            <v>5.50427992851849</v>
          </cell>
          <cell r="AM49">
            <v>3.18779471987783</v>
          </cell>
        </row>
        <row r="50">
          <cell r="C50">
            <v>7.1494319938732298</v>
          </cell>
          <cell r="D50">
            <v>5.2150801599177203</v>
          </cell>
          <cell r="E50">
            <v>2.6175415550091801</v>
          </cell>
          <cell r="F50">
            <v>5.9245617080387101</v>
          </cell>
          <cell r="G50">
            <v>3.3938272338441098</v>
          </cell>
          <cell r="K50">
            <v>8.9423591543892798</v>
          </cell>
          <cell r="L50">
            <v>5.7040418267975497</v>
          </cell>
          <cell r="M50">
            <v>2.5313205076401002</v>
          </cell>
          <cell r="N50">
            <v>6.3174247459099204</v>
          </cell>
          <cell r="O50">
            <v>3.6356819801358098</v>
          </cell>
          <cell r="S50">
            <v>7.3917866428469399</v>
          </cell>
          <cell r="T50">
            <v>5.4732891694515002</v>
          </cell>
          <cell r="U50">
            <v>2.6874359003321899</v>
          </cell>
          <cell r="V50">
            <v>6.1469794061965803</v>
          </cell>
          <cell r="W50">
            <v>3.5716890569387498</v>
          </cell>
          <cell r="AA50">
            <v>7.9627371679971004</v>
          </cell>
          <cell r="AB50">
            <v>5.9919366531682199</v>
          </cell>
          <cell r="AC50">
            <v>2.7660637232465</v>
          </cell>
          <cell r="AD50">
            <v>6.5019153449854299</v>
          </cell>
          <cell r="AE50">
            <v>3.9159088403232598</v>
          </cell>
          <cell r="AI50">
            <v>7.9571367020707102</v>
          </cell>
          <cell r="AJ50">
            <v>5.3292731464033203</v>
          </cell>
          <cell r="AK50">
            <v>2.65194025797503</v>
          </cell>
          <cell r="AL50">
            <v>6.0847756556611499</v>
          </cell>
          <cell r="AM50">
            <v>3.4835651948849198</v>
          </cell>
        </row>
        <row r="51">
          <cell r="C51">
            <v>7.4686313329463498</v>
          </cell>
          <cell r="D51">
            <v>5.0264779716352201</v>
          </cell>
          <cell r="E51">
            <v>2.48966560029073</v>
          </cell>
          <cell r="F51">
            <v>5.6421817049392899</v>
          </cell>
          <cell r="G51">
            <v>3.21468977595495</v>
          </cell>
          <cell r="K51">
            <v>8.9663852300251499</v>
          </cell>
          <cell r="L51">
            <v>5.5325864462528402</v>
          </cell>
          <cell r="M51">
            <v>2.70190353246482</v>
          </cell>
          <cell r="N51">
            <v>6.12874614531618</v>
          </cell>
          <cell r="O51">
            <v>3.5578804229460301</v>
          </cell>
          <cell r="S51">
            <v>7.3093134830079398</v>
          </cell>
          <cell r="T51">
            <v>5.0874002654017199</v>
          </cell>
          <cell r="U51">
            <v>2.5184953779381001</v>
          </cell>
          <cell r="V51">
            <v>5.6687888969386702</v>
          </cell>
          <cell r="W51">
            <v>3.3128533725247502</v>
          </cell>
          <cell r="AA51">
            <v>7.0954507902703998</v>
          </cell>
          <cell r="AB51">
            <v>5.18934032997897</v>
          </cell>
          <cell r="AC51">
            <v>2.5110622141840802</v>
          </cell>
          <cell r="AD51">
            <v>5.6874707318358704</v>
          </cell>
          <cell r="AE51">
            <v>3.6204915446839698</v>
          </cell>
          <cell r="AI51">
            <v>8.1022452737913095</v>
          </cell>
          <cell r="AJ51">
            <v>5.1046526287230503</v>
          </cell>
          <cell r="AK51">
            <v>2.5151915740103701</v>
          </cell>
          <cell r="AL51">
            <v>5.7201448913376796</v>
          </cell>
          <cell r="AM51">
            <v>3.32441203248632</v>
          </cell>
        </row>
        <row r="52">
          <cell r="C52">
            <v>7.9389868981136598</v>
          </cell>
          <cell r="D52">
            <v>5.6997632239881701</v>
          </cell>
          <cell r="E52">
            <v>3.4797839955026699</v>
          </cell>
          <cell r="F52">
            <v>7.9982372119810901</v>
          </cell>
          <cell r="G52">
            <v>4.1339156413525204</v>
          </cell>
          <cell r="K52">
            <v>10.891523952912401</v>
          </cell>
          <cell r="L52">
            <v>3.5626586820583102</v>
          </cell>
          <cell r="M52">
            <v>2.28740018866102</v>
          </cell>
          <cell r="N52">
            <v>8.4928108265308992</v>
          </cell>
          <cell r="O52">
            <v>3.0053502939082701</v>
          </cell>
          <cell r="S52">
            <v>8.1245028742010508</v>
          </cell>
          <cell r="T52">
            <v>6.2295255152415896</v>
          </cell>
          <cell r="U52">
            <v>3.31094190955463</v>
          </cell>
          <cell r="V52">
            <v>7.8557340955425801</v>
          </cell>
          <cell r="W52">
            <v>4.08927025996966</v>
          </cell>
          <cell r="AA52">
            <v>8.5019805254654202</v>
          </cell>
          <cell r="AB52">
            <v>5.6850300524760904</v>
          </cell>
          <cell r="AC52">
            <v>2.6664806733708999</v>
          </cell>
          <cell r="AD52">
            <v>8.0271222284165908</v>
          </cell>
          <cell r="AE52">
            <v>3.5564348055166199</v>
          </cell>
          <cell r="AI52">
            <v>10.4250699144006</v>
          </cell>
          <cell r="AJ52">
            <v>5.7932026856516599</v>
          </cell>
          <cell r="AK52">
            <v>3.5792516887533501</v>
          </cell>
          <cell r="AL52">
            <v>8.4450340175165</v>
          </cell>
          <cell r="AM52">
            <v>4.03711817844487</v>
          </cell>
        </row>
        <row r="53">
          <cell r="C53">
            <v>8.4507551127016001</v>
          </cell>
          <cell r="D53">
            <v>6.0636217715090099</v>
          </cell>
          <cell r="E53">
            <v>3.4928521254620999</v>
          </cell>
          <cell r="F53">
            <v>7.7187703413025304</v>
          </cell>
          <cell r="G53">
            <v>4.25532558545427</v>
          </cell>
          <cell r="K53">
            <v>10.875262264098501</v>
          </cell>
          <cell r="L53">
            <v>4.3468904053770201</v>
          </cell>
          <cell r="M53">
            <v>2.3145551321204501</v>
          </cell>
          <cell r="N53">
            <v>8.1262820659312496</v>
          </cell>
          <cell r="O53">
            <v>3.36709648616098</v>
          </cell>
          <cell r="S53">
            <v>8.6589680166958605</v>
          </cell>
          <cell r="T53">
            <v>6.8645797405649702</v>
          </cell>
          <cell r="U53">
            <v>3.34917753543907</v>
          </cell>
          <cell r="V53">
            <v>7.9537678603348096</v>
          </cell>
          <cell r="W53">
            <v>4.2491557576912404</v>
          </cell>
          <cell r="AA53">
            <v>8.5451652487994192</v>
          </cell>
          <cell r="AB53">
            <v>5.9468654226583704</v>
          </cell>
          <cell r="AC53">
            <v>2.5601562273853302</v>
          </cell>
          <cell r="AD53">
            <v>7.6328260973638598</v>
          </cell>
          <cell r="AE53">
            <v>3.62687561526573</v>
          </cell>
          <cell r="AI53">
            <v>9.8379459676354504</v>
          </cell>
          <cell r="AJ53">
            <v>6.2691172036512199</v>
          </cell>
          <cell r="AK53">
            <v>3.61971612916749</v>
          </cell>
          <cell r="AL53">
            <v>8.1559053133896793</v>
          </cell>
          <cell r="AM53">
            <v>4.2604187838310104</v>
          </cell>
        </row>
        <row r="75">
          <cell r="B75" t="str">
            <v>REV 919</v>
          </cell>
        </row>
        <row r="77">
          <cell r="C77">
            <v>0.39948683443053962</v>
          </cell>
          <cell r="D77">
            <v>0.11911869672506091</v>
          </cell>
          <cell r="E77">
            <v>7.0866351163607053E-2</v>
          </cell>
          <cell r="F77">
            <v>9.2472574649785838E-2</v>
          </cell>
          <cell r="G77">
            <v>0.13007097819466057</v>
          </cell>
        </row>
        <row r="78">
          <cell r="C78">
            <v>0.63926641545839813</v>
          </cell>
          <cell r="D78">
            <v>0.11510705179536206</v>
          </cell>
          <cell r="E78">
            <v>9.1191119970782844E-2</v>
          </cell>
          <cell r="F78">
            <v>8.6057629495846277E-2</v>
          </cell>
          <cell r="G78">
            <v>0.11868426731096465</v>
          </cell>
        </row>
        <row r="79">
          <cell r="C79">
            <v>0.64605813085889519</v>
          </cell>
          <cell r="D79">
            <v>0.41771546813287774</v>
          </cell>
          <cell r="E79">
            <v>0.27957208899699476</v>
          </cell>
          <cell r="F79">
            <v>0.32392394005595182</v>
          </cell>
          <cell r="G79">
            <v>0.30713508326824396</v>
          </cell>
        </row>
        <row r="80">
          <cell r="C80">
            <v>0.76940975779109211</v>
          </cell>
          <cell r="D80">
            <v>0.25360171162319606</v>
          </cell>
          <cell r="E80">
            <v>0.1100173182976613</v>
          </cell>
          <cell r="F80">
            <v>0.27102750374330026</v>
          </cell>
          <cell r="G80">
            <v>0.12661228813658595</v>
          </cell>
        </row>
        <row r="81">
          <cell r="C81">
            <v>0.43664868963370301</v>
          </cell>
          <cell r="D81">
            <v>0.13570491600926363</v>
          </cell>
          <cell r="E81">
            <v>7.0450355053390173E-2</v>
          </cell>
          <cell r="F81">
            <v>0.10166219259311762</v>
          </cell>
          <cell r="G81">
            <v>0.15392678905325874</v>
          </cell>
        </row>
        <row r="82">
          <cell r="C82">
            <v>0.44006493375429107</v>
          </cell>
          <cell r="D82">
            <v>0.12498593524515736</v>
          </cell>
          <cell r="E82">
            <v>6.043348382404385E-2</v>
          </cell>
          <cell r="F82">
            <v>7.7827418863321757E-2</v>
          </cell>
          <cell r="G82">
            <v>0.15733261908813151</v>
          </cell>
        </row>
        <row r="83">
          <cell r="C83">
            <v>0.47338380864792878</v>
          </cell>
          <cell r="D83">
            <v>0.12232953861113421</v>
          </cell>
          <cell r="E83">
            <v>6.0549637851466734E-2</v>
          </cell>
          <cell r="F83">
            <v>7.7581733008995346E-2</v>
          </cell>
          <cell r="G83">
            <v>0.1309825241428875</v>
          </cell>
        </row>
        <row r="84">
          <cell r="C84">
            <v>0.60288526652577845</v>
          </cell>
          <cell r="D84">
            <v>0.27717969217508714</v>
          </cell>
          <cell r="E84">
            <v>0.12286250042484126</v>
          </cell>
          <cell r="F84">
            <v>0.23998965434835537</v>
          </cell>
          <cell r="G84">
            <v>0.24567951631367979</v>
          </cell>
        </row>
        <row r="85">
          <cell r="C85">
            <v>0.69164333177855497</v>
          </cell>
          <cell r="D85">
            <v>0.31046271819143018</v>
          </cell>
          <cell r="E85">
            <v>8.6617940263221338E-2</v>
          </cell>
          <cell r="F85">
            <v>0.22179777635185863</v>
          </cell>
          <cell r="G85">
            <v>0.19870662516966375</v>
          </cell>
        </row>
        <row r="86">
          <cell r="C86">
            <v>0.75797469554727381</v>
          </cell>
          <cell r="D86">
            <v>0.20118277143276361</v>
          </cell>
          <cell r="E86">
            <v>8.7174830183216645E-2</v>
          </cell>
          <cell r="F86">
            <v>0.20283933878084595</v>
          </cell>
          <cell r="G86">
            <v>0.17393012726892165</v>
          </cell>
        </row>
        <row r="87">
          <cell r="C87">
            <v>1.3778014283429196</v>
          </cell>
          <cell r="D87">
            <v>1.0475526630852516</v>
          </cell>
          <cell r="E87">
            <v>0.56135257299956354</v>
          </cell>
          <cell r="F87">
            <v>0.2865035546613604</v>
          </cell>
          <cell r="G87">
            <v>0.48370023690170771</v>
          </cell>
        </row>
        <row r="88">
          <cell r="C88">
            <v>1.0570326092139879</v>
          </cell>
          <cell r="D88">
            <v>0.93645121576734236</v>
          </cell>
          <cell r="E88">
            <v>0.58939222468754249</v>
          </cell>
          <cell r="F88">
            <v>0.23573030657628152</v>
          </cell>
          <cell r="G88">
            <v>0.42521989400084104</v>
          </cell>
        </row>
        <row r="92">
          <cell r="A92" t="str">
            <v>REV 921</v>
          </cell>
        </row>
        <row r="95">
          <cell r="B95" t="str">
            <v>MASTER</v>
          </cell>
          <cell r="R95">
            <v>189013</v>
          </cell>
        </row>
        <row r="97">
          <cell r="C97">
            <v>7.5463045801642696</v>
          </cell>
          <cell r="D97">
            <v>5.0544675421361198</v>
          </cell>
          <cell r="E97">
            <v>2.2659639520399</v>
          </cell>
          <cell r="F97">
            <v>5.1246432256533501</v>
          </cell>
          <cell r="G97">
            <v>2.7110582512377102</v>
          </cell>
          <cell r="K97">
            <v>7.45739183824909</v>
          </cell>
          <cell r="L97">
            <v>5.0814856705989202</v>
          </cell>
          <cell r="M97">
            <v>2.2536580088853402</v>
          </cell>
          <cell r="N97">
            <v>5.1260716589986899</v>
          </cell>
          <cell r="O97">
            <v>2.7625805994459398</v>
          </cell>
          <cell r="S97">
            <v>7.7142454577902804</v>
          </cell>
          <cell r="T97">
            <v>5.1017420415319101</v>
          </cell>
          <cell r="U97">
            <v>2.2979621494624198</v>
          </cell>
          <cell r="V97">
            <v>5.1190070065599498</v>
          </cell>
          <cell r="W97">
            <v>2.72979423704622</v>
          </cell>
          <cell r="AA97">
            <v>8.1886894984541598</v>
          </cell>
          <cell r="AB97">
            <v>4.9817634446648604</v>
          </cell>
          <cell r="AC97">
            <v>2.3247825607860899</v>
          </cell>
          <cell r="AD97">
            <v>5.20893473035715</v>
          </cell>
          <cell r="AE97">
            <v>2.5488906971022902</v>
          </cell>
          <cell r="AI97">
            <v>7.3736026967557198</v>
          </cell>
          <cell r="AJ97">
            <v>4.9347307625081003</v>
          </cell>
          <cell r="AK97">
            <v>2.2054130879359302</v>
          </cell>
          <cell r="AL97">
            <v>5.0535716461479003</v>
          </cell>
          <cell r="AM97">
            <v>2.5563021000716102</v>
          </cell>
        </row>
        <row r="98">
          <cell r="C98">
            <v>4.7892911240912701</v>
          </cell>
          <cell r="D98">
            <v>4.0004182855084096</v>
          </cell>
          <cell r="E98">
            <v>1.4931598474880401</v>
          </cell>
          <cell r="F98">
            <v>5.2874078287708901</v>
          </cell>
          <cell r="G98">
            <v>2.53896014881748</v>
          </cell>
          <cell r="K98">
            <v>4.6815550183034196</v>
          </cell>
          <cell r="L98">
            <v>3.9907071662990901</v>
          </cell>
          <cell r="M98">
            <v>1.47189852396384</v>
          </cell>
          <cell r="N98">
            <v>5.0111983405640004</v>
          </cell>
          <cell r="O98">
            <v>2.5307635082697599</v>
          </cell>
          <cell r="S98">
            <v>4.4540439656703699</v>
          </cell>
          <cell r="T98">
            <v>3.8013670511054101</v>
          </cell>
          <cell r="U98">
            <v>1.3359599157734501</v>
          </cell>
          <cell r="V98">
            <v>4.8197268552994101</v>
          </cell>
          <cell r="W98">
            <v>2.25017754942751</v>
          </cell>
          <cell r="AA98">
            <v>4.6032541535020801</v>
          </cell>
          <cell r="AB98">
            <v>3.8129659277671402</v>
          </cell>
          <cell r="AC98">
            <v>1.42316614807749</v>
          </cell>
          <cell r="AD98">
            <v>4.9059142937638098</v>
          </cell>
          <cell r="AE98">
            <v>2.2536988149099701</v>
          </cell>
          <cell r="AI98">
            <v>4.3484216482536597</v>
          </cell>
          <cell r="AJ98">
            <v>3.7956470512916098</v>
          </cell>
          <cell r="AK98">
            <v>1.2630576116596599</v>
          </cell>
          <cell r="AL98">
            <v>4.94495118626826</v>
          </cell>
          <cell r="AM98">
            <v>2.2457889944852099</v>
          </cell>
        </row>
        <row r="99">
          <cell r="C99">
            <v>6.2859372885853002</v>
          </cell>
          <cell r="D99">
            <v>3.6471303642111401</v>
          </cell>
          <cell r="E99">
            <v>1.44665663417054</v>
          </cell>
          <cell r="F99">
            <v>5.3226961682621603</v>
          </cell>
          <cell r="G99">
            <v>2.0612890472796201</v>
          </cell>
          <cell r="K99">
            <v>6.3969547499502699</v>
          </cell>
          <cell r="L99">
            <v>3.7031789949641101</v>
          </cell>
          <cell r="M99">
            <v>1.55667250290274</v>
          </cell>
          <cell r="N99">
            <v>5.3661970486432304</v>
          </cell>
          <cell r="O99">
            <v>2.1647831749769302</v>
          </cell>
          <cell r="S99">
            <v>4.5468288999914996</v>
          </cell>
          <cell r="T99">
            <v>3.2814311299632202</v>
          </cell>
          <cell r="U99">
            <v>1.0146987493505799</v>
          </cell>
          <cell r="V99">
            <v>4.9044993328517004</v>
          </cell>
          <cell r="W99">
            <v>1.7790224787940301</v>
          </cell>
          <cell r="AA99">
            <v>5.5801770014058301</v>
          </cell>
          <cell r="AB99">
            <v>3.48427052830692</v>
          </cell>
          <cell r="AC99">
            <v>1.35728200080543</v>
          </cell>
          <cell r="AD99">
            <v>5.0899551655650397</v>
          </cell>
          <cell r="AE99">
            <v>1.9256141844663199</v>
          </cell>
          <cell r="AI99">
            <v>6.2320597704375604</v>
          </cell>
          <cell r="AJ99">
            <v>3.62698423247594</v>
          </cell>
          <cell r="AK99">
            <v>1.42368086828526</v>
          </cell>
          <cell r="AL99">
            <v>5.3009162843028799</v>
          </cell>
          <cell r="AM99">
            <v>2.0488633211007299</v>
          </cell>
        </row>
        <row r="100">
          <cell r="C100">
            <v>6.8020662152175202</v>
          </cell>
          <cell r="D100">
            <v>4.6610682593178998</v>
          </cell>
          <cell r="E100">
            <v>1.6675031890631999</v>
          </cell>
          <cell r="F100">
            <v>5.3851198516246201</v>
          </cell>
          <cell r="G100">
            <v>3.0078141684938302</v>
          </cell>
          <cell r="K100">
            <v>7.01702616064388</v>
          </cell>
          <cell r="L100">
            <v>5.0011131688721902</v>
          </cell>
          <cell r="M100">
            <v>1.7817564000391</v>
          </cell>
          <cell r="N100">
            <v>5.6709371483251401</v>
          </cell>
          <cell r="O100">
            <v>3.26741016048071</v>
          </cell>
          <cell r="S100">
            <v>6.7139161451583202</v>
          </cell>
          <cell r="T100">
            <v>4.4019652572370003</v>
          </cell>
          <cell r="U100">
            <v>1.6615736888139601</v>
          </cell>
          <cell r="V100">
            <v>5.2545712353975</v>
          </cell>
          <cell r="W100">
            <v>2.85198522426019</v>
          </cell>
          <cell r="AA100">
            <v>6.6402481938731199</v>
          </cell>
          <cell r="AB100">
            <v>4.3208225575161698</v>
          </cell>
          <cell r="AC100">
            <v>1.73000895702845</v>
          </cell>
          <cell r="AD100">
            <v>5.1774780207546298</v>
          </cell>
          <cell r="AE100">
            <v>2.8191587548428299</v>
          </cell>
          <cell r="AI100">
            <v>6.8192630398969403</v>
          </cell>
          <cell r="AJ100">
            <v>4.6835786294835504</v>
          </cell>
          <cell r="AK100">
            <v>1.67276237737671</v>
          </cell>
          <cell r="AL100">
            <v>5.4110954144294796</v>
          </cell>
          <cell r="AM100">
            <v>2.9848197204314801</v>
          </cell>
        </row>
        <row r="101">
          <cell r="C101">
            <v>7.0314124717298698</v>
          </cell>
          <cell r="D101">
            <v>3.9367432824012001</v>
          </cell>
          <cell r="E101">
            <v>1.50238246875028</v>
          </cell>
          <cell r="F101">
            <v>4.6999043892149404</v>
          </cell>
          <cell r="G101">
            <v>2.2815588771415598</v>
          </cell>
          <cell r="K101">
            <v>7.2054872603656799</v>
          </cell>
          <cell r="L101">
            <v>4.0691367971576504</v>
          </cell>
          <cell r="M101">
            <v>1.71647550519973</v>
          </cell>
          <cell r="N101">
            <v>4.7596931988794404</v>
          </cell>
          <cell r="O101">
            <v>2.4586858116801702</v>
          </cell>
          <cell r="S101">
            <v>7.4794547321059204</v>
          </cell>
          <cell r="T101">
            <v>4.1368764478653697</v>
          </cell>
          <cell r="U101">
            <v>1.7340005484904599</v>
          </cell>
          <cell r="V101">
            <v>4.6540606887210902</v>
          </cell>
          <cell r="W101">
            <v>2.5044677300534901</v>
          </cell>
          <cell r="AA101">
            <v>7.6565312271813601</v>
          </cell>
          <cell r="AB101">
            <v>4.2812107782233504</v>
          </cell>
          <cell r="AC101">
            <v>1.8120901669125999</v>
          </cell>
          <cell r="AD101">
            <v>4.7825760001732904</v>
          </cell>
          <cell r="AE101">
            <v>2.6353813130049701</v>
          </cell>
          <cell r="AI101">
            <v>7.0029402047889002</v>
          </cell>
          <cell r="AJ101">
            <v>3.9015582554242698</v>
          </cell>
          <cell r="AK101">
            <v>1.52739617341486</v>
          </cell>
          <cell r="AL101">
            <v>4.5741089144271303</v>
          </cell>
          <cell r="AM101">
            <v>2.27762279032132</v>
          </cell>
        </row>
        <row r="102">
          <cell r="C102">
            <v>7.5106436967752304</v>
          </cell>
          <cell r="D102">
            <v>4.1980995643492998</v>
          </cell>
          <cell r="E102">
            <v>1.6294629888429</v>
          </cell>
          <cell r="F102">
            <v>4.8059846640661004</v>
          </cell>
          <cell r="G102">
            <v>2.5734719363265199</v>
          </cell>
          <cell r="K102">
            <v>7.6064976553363497</v>
          </cell>
          <cell r="L102">
            <v>4.3286214214071403</v>
          </cell>
          <cell r="M102">
            <v>1.7108416984881101</v>
          </cell>
          <cell r="N102">
            <v>5.00097645236107</v>
          </cell>
          <cell r="O102">
            <v>2.71328884250633</v>
          </cell>
          <cell r="S102">
            <v>7.5928100839499804</v>
          </cell>
          <cell r="T102">
            <v>4.2568737359351001</v>
          </cell>
          <cell r="U102">
            <v>1.6309335736264201</v>
          </cell>
          <cell r="V102">
            <v>4.8290368563141097</v>
          </cell>
          <cell r="W102">
            <v>2.6304548099914502</v>
          </cell>
          <cell r="AA102">
            <v>7.6554855321675301</v>
          </cell>
          <cell r="AB102">
            <v>4.41167411101409</v>
          </cell>
          <cell r="AC102">
            <v>1.6398555763520699</v>
          </cell>
          <cell r="AD102">
            <v>4.8706961138769502</v>
          </cell>
          <cell r="AE102">
            <v>2.7604634225398099</v>
          </cell>
          <cell r="AI102">
            <v>7.45641507175859</v>
          </cell>
          <cell r="AJ102">
            <v>4.14305552177309</v>
          </cell>
          <cell r="AK102">
            <v>1.6006525788546</v>
          </cell>
          <cell r="AL102">
            <v>4.7572225743618803</v>
          </cell>
          <cell r="AM102">
            <v>2.5440895667752099</v>
          </cell>
        </row>
        <row r="103">
          <cell r="C103">
            <v>7.0212930149410404</v>
          </cell>
          <cell r="D103">
            <v>3.8414568962398699</v>
          </cell>
          <cell r="E103">
            <v>1.45489531380759</v>
          </cell>
          <cell r="F103">
            <v>4.66865124700844</v>
          </cell>
          <cell r="G103">
            <v>2.2038211292686198</v>
          </cell>
          <cell r="K103">
            <v>7.2142180149905899</v>
          </cell>
          <cell r="L103">
            <v>3.98187384815142</v>
          </cell>
          <cell r="M103">
            <v>1.6619099285751699</v>
          </cell>
          <cell r="N103">
            <v>4.7811796968393203</v>
          </cell>
          <cell r="O103">
            <v>2.3852980123955101</v>
          </cell>
          <cell r="S103">
            <v>7.2401501156695396</v>
          </cell>
          <cell r="T103">
            <v>3.96555189907314</v>
          </cell>
          <cell r="U103">
            <v>1.6824920983931899</v>
          </cell>
          <cell r="V103">
            <v>4.5828243287305801</v>
          </cell>
          <cell r="W103">
            <v>2.37829711575456</v>
          </cell>
          <cell r="AA103">
            <v>7.4555779776624496</v>
          </cell>
          <cell r="AB103">
            <v>4.10351932866255</v>
          </cell>
          <cell r="AC103">
            <v>1.76622955444277</v>
          </cell>
          <cell r="AD103">
            <v>4.7021280366186904</v>
          </cell>
          <cell r="AE103">
            <v>2.5109879724342399</v>
          </cell>
          <cell r="AI103">
            <v>7.02435816973514</v>
          </cell>
          <cell r="AJ103">
            <v>3.82744111400631</v>
          </cell>
          <cell r="AK103">
            <v>1.46006992466971</v>
          </cell>
          <cell r="AL103">
            <v>4.5733367605360096</v>
          </cell>
          <cell r="AM103">
            <v>2.20728605773161</v>
          </cell>
        </row>
        <row r="104">
          <cell r="C104">
            <v>6.9997879259990201</v>
          </cell>
          <cell r="D104">
            <v>5.6054820453586203</v>
          </cell>
          <cell r="E104">
            <v>2.6115591347651002</v>
          </cell>
          <cell r="F104">
            <v>5.1587553784610103</v>
          </cell>
          <cell r="G104">
            <v>3.0311902456527902</v>
          </cell>
          <cell r="K104">
            <v>7.4657046561450997</v>
          </cell>
          <cell r="L104">
            <v>5.8572171564130597</v>
          </cell>
          <cell r="M104">
            <v>2.9749252342714199</v>
          </cell>
          <cell r="N104">
            <v>5.6005876246807702</v>
          </cell>
          <cell r="O104">
            <v>3.29299333822624</v>
          </cell>
          <cell r="S104">
            <v>7.2276369284935704</v>
          </cell>
          <cell r="T104">
            <v>5.6874188668721901</v>
          </cell>
          <cell r="U104">
            <v>2.8148692350623201</v>
          </cell>
          <cell r="V104">
            <v>5.3615524282056199</v>
          </cell>
          <cell r="W104">
            <v>3.1374471569458602</v>
          </cell>
          <cell r="AA104">
            <v>7.5196329697592699</v>
          </cell>
          <cell r="AB104">
            <v>5.8835786654206101</v>
          </cell>
          <cell r="AC104">
            <v>2.9366988376782599</v>
          </cell>
          <cell r="AD104">
            <v>5.7180467331389098</v>
          </cell>
          <cell r="AE104">
            <v>3.3041448443767401</v>
          </cell>
          <cell r="AI104">
            <v>7.0667508773072401</v>
          </cell>
          <cell r="AJ104">
            <v>5.6774012040102297</v>
          </cell>
          <cell r="AK104">
            <v>2.78772509991119</v>
          </cell>
          <cell r="AL104">
            <v>5.05718758096386</v>
          </cell>
          <cell r="AM104">
            <v>3.2070789760798801</v>
          </cell>
        </row>
        <row r="105">
          <cell r="C105">
            <v>7.5299329500298597</v>
          </cell>
          <cell r="D105">
            <v>5.5344176475720399</v>
          </cell>
          <cell r="E105">
            <v>2.59047516903646</v>
          </cell>
          <cell r="F105">
            <v>5.4527341640259799</v>
          </cell>
          <cell r="G105">
            <v>2.9522091857920101</v>
          </cell>
          <cell r="K105">
            <v>8.1908056305842702</v>
          </cell>
          <cell r="L105">
            <v>6.0764101400194397</v>
          </cell>
          <cell r="M105">
            <v>3.03984588179121</v>
          </cell>
          <cell r="N105">
            <v>6.0428536616860704</v>
          </cell>
          <cell r="O105">
            <v>3.29518065090538</v>
          </cell>
          <cell r="S105">
            <v>7.7799778512278399</v>
          </cell>
          <cell r="T105">
            <v>5.8646540065525201</v>
          </cell>
          <cell r="U105">
            <v>2.7950787637156398</v>
          </cell>
          <cell r="V105">
            <v>5.6556365843231999</v>
          </cell>
          <cell r="W105">
            <v>3.1096709704929899</v>
          </cell>
          <cell r="AA105">
            <v>8.1515746723277296</v>
          </cell>
          <cell r="AB105">
            <v>6.13315511366077</v>
          </cell>
          <cell r="AC105">
            <v>3.0085921169288099</v>
          </cell>
          <cell r="AD105">
            <v>6.10053426005073</v>
          </cell>
          <cell r="AE105">
            <v>3.2630343226168801</v>
          </cell>
          <cell r="AI105">
            <v>7.5424150379367099</v>
          </cell>
          <cell r="AJ105">
            <v>5.5925931179415196</v>
          </cell>
          <cell r="AK105">
            <v>2.6289482304960798</v>
          </cell>
          <cell r="AL105">
            <v>5.4930129759119204</v>
          </cell>
          <cell r="AM105">
            <v>3.0875161636105499</v>
          </cell>
        </row>
        <row r="106">
          <cell r="C106">
            <v>6.5605316548035404</v>
          </cell>
          <cell r="D106">
            <v>4.8033952094647097</v>
          </cell>
          <cell r="E106">
            <v>2.3067419834558902</v>
          </cell>
          <cell r="F106">
            <v>5.1662400419766401</v>
          </cell>
          <cell r="G106">
            <v>2.8502524991292701</v>
          </cell>
          <cell r="K106">
            <v>7.5492402487527803</v>
          </cell>
          <cell r="L106">
            <v>5.3182432918039</v>
          </cell>
          <cell r="M106">
            <v>2.53554827741497</v>
          </cell>
          <cell r="N106">
            <v>5.65110601662471</v>
          </cell>
          <cell r="O106">
            <v>3.2964788201054298</v>
          </cell>
          <cell r="S106">
            <v>6.6394734973164198</v>
          </cell>
          <cell r="T106">
            <v>4.78396491709288</v>
          </cell>
          <cell r="U106">
            <v>2.2920712113264599</v>
          </cell>
          <cell r="V106">
            <v>5.1997362155862898</v>
          </cell>
          <cell r="W106">
            <v>2.8356762399233801</v>
          </cell>
          <cell r="AA106">
            <v>6.4897712076229199</v>
          </cell>
          <cell r="AB106">
            <v>4.72105888459925</v>
          </cell>
          <cell r="AC106">
            <v>2.2467901016069902</v>
          </cell>
          <cell r="AD106">
            <v>5.2419977536227798</v>
          </cell>
          <cell r="AE106">
            <v>2.8534150471630602</v>
          </cell>
          <cell r="AI106">
            <v>6.7815547039208104</v>
          </cell>
          <cell r="AJ106">
            <v>4.9809328129234496</v>
          </cell>
          <cell r="AK106">
            <v>2.4442155470933198</v>
          </cell>
          <cell r="AL106">
            <v>5.1227597123114696</v>
          </cell>
          <cell r="AM106">
            <v>3.0333788165092499</v>
          </cell>
        </row>
        <row r="107">
          <cell r="C107">
            <v>8.0657587520951992</v>
          </cell>
          <cell r="D107">
            <v>6.2944009898155899</v>
          </cell>
          <cell r="E107">
            <v>3.1530144483474101</v>
          </cell>
          <cell r="F107">
            <v>6.4790267027557498</v>
          </cell>
          <cell r="G107">
            <v>3.77073744558417</v>
          </cell>
          <cell r="K107">
            <v>9.0867053090396102</v>
          </cell>
          <cell r="L107">
            <v>6.8391949428149603</v>
          </cell>
          <cell r="M107">
            <v>3.4077388463356302</v>
          </cell>
          <cell r="N107">
            <v>6.5770322649808604</v>
          </cell>
          <cell r="O107">
            <v>4.1923062778936098</v>
          </cell>
          <cell r="S107">
            <v>8.0454964597373504</v>
          </cell>
          <cell r="T107">
            <v>6.2412545017255701</v>
          </cell>
          <cell r="U107">
            <v>3.1060995497950898</v>
          </cell>
          <cell r="V107">
            <v>6.7008839469347601</v>
          </cell>
          <cell r="W107">
            <v>3.78543827462819</v>
          </cell>
          <cell r="AA107">
            <v>8.2474858557064294</v>
          </cell>
          <cell r="AB107">
            <v>6.3415664373840901</v>
          </cell>
          <cell r="AC107">
            <v>3.2487501601601401</v>
          </cell>
          <cell r="AD107">
            <v>7.4233881452228596</v>
          </cell>
          <cell r="AE107">
            <v>3.90894876298578</v>
          </cell>
          <cell r="AI107">
            <v>8.5106208561381802</v>
          </cell>
          <cell r="AJ107">
            <v>6.4715122903694899</v>
          </cell>
          <cell r="AK107">
            <v>3.2370119168045899</v>
          </cell>
          <cell r="AL107">
            <v>6.3038298114971001</v>
          </cell>
          <cell r="AM107">
            <v>3.9263593298748201</v>
          </cell>
        </row>
        <row r="108">
          <cell r="C108">
            <v>8.3965757904652207</v>
          </cell>
          <cell r="D108">
            <v>6.3936849608692103</v>
          </cell>
          <cell r="E108">
            <v>3.3230124944575801</v>
          </cell>
          <cell r="F108">
            <v>6.6874380235749102</v>
          </cell>
          <cell r="G108">
            <v>3.7856032147660099</v>
          </cell>
          <cell r="K108">
            <v>9.0051661459036101</v>
          </cell>
          <cell r="L108">
            <v>6.7782032117063098</v>
          </cell>
          <cell r="M108">
            <v>3.1853369745087798</v>
          </cell>
          <cell r="N108">
            <v>7.1825572637557</v>
          </cell>
          <cell r="O108">
            <v>4.1402175953447102</v>
          </cell>
          <cell r="S108">
            <v>8.3840146359984296</v>
          </cell>
          <cell r="T108">
            <v>6.3794488571638004</v>
          </cell>
          <cell r="U108">
            <v>3.1771132002390101</v>
          </cell>
          <cell r="V108">
            <v>7.2906090552698402</v>
          </cell>
          <cell r="W108">
            <v>3.77750427333075</v>
          </cell>
          <cell r="AA108">
            <v>8.2625854148869209</v>
          </cell>
          <cell r="AB108">
            <v>6.2943090506246904</v>
          </cell>
          <cell r="AC108">
            <v>3.24760742010166</v>
          </cell>
          <cell r="AD108">
            <v>7.5777262204897502</v>
          </cell>
          <cell r="AE108">
            <v>3.7790124648883601</v>
          </cell>
          <cell r="AI108">
            <v>8.4566720981029597</v>
          </cell>
          <cell r="AJ108">
            <v>6.4255768263673501</v>
          </cell>
          <cell r="AK108">
            <v>3.16241704686349</v>
          </cell>
          <cell r="AL108">
            <v>6.4867124948795798</v>
          </cell>
          <cell r="AM108">
            <v>3.9095017279420299</v>
          </cell>
        </row>
        <row r="130">
          <cell r="C130">
            <v>0.32341040029864265</v>
          </cell>
          <cell r="D130">
            <v>7.0348841468474643E-2</v>
          </cell>
          <cell r="E130">
            <v>4.5378531382190716E-2</v>
          </cell>
          <cell r="F130">
            <v>5.5167451533097829E-2</v>
          </cell>
          <cell r="G130">
            <v>0.10134669504836379</v>
          </cell>
        </row>
        <row r="131">
          <cell r="C131">
            <v>0.17609697348775397</v>
          </cell>
          <cell r="D131">
            <v>0.10553260536969257</v>
          </cell>
          <cell r="E131">
            <v>9.6445091098355765E-2</v>
          </cell>
          <cell r="F131">
            <v>0.17812903690772977</v>
          </cell>
          <cell r="G131">
            <v>0.15613839231253399</v>
          </cell>
        </row>
        <row r="132">
          <cell r="C132">
            <v>0.77420500093190858</v>
          </cell>
          <cell r="D132">
            <v>0.16975310917407699</v>
          </cell>
          <cell r="E132">
            <v>0.20584268030109135</v>
          </cell>
          <cell r="F132">
            <v>0.19509029361476701</v>
          </cell>
          <cell r="G132">
            <v>0.14796817369232237</v>
          </cell>
        </row>
        <row r="133">
          <cell r="C133">
            <v>0.14177056038432492</v>
          </cell>
          <cell r="D133">
            <v>0.26824640510887016</v>
          </cell>
          <cell r="E133">
            <v>5.2014761252462613E-2</v>
          </cell>
          <cell r="F133">
            <v>0.18866965942881964</v>
          </cell>
          <cell r="G133">
            <v>0.17710491830307459</v>
          </cell>
        </row>
        <row r="134">
          <cell r="C134">
            <v>0.28528543401506096</v>
          </cell>
          <cell r="D134">
            <v>0.15418606592742259</v>
          </cell>
          <cell r="E134">
            <v>0.13620969449072459</v>
          </cell>
          <cell r="F134">
            <v>8.3912399898523921E-2</v>
          </cell>
          <cell r="G134">
            <v>0.15312696887278937</v>
          </cell>
        </row>
        <row r="135">
          <cell r="C135">
            <v>7.9728288753691423E-2</v>
          </cell>
          <cell r="D135">
            <v>0.1059924910631915</v>
          </cell>
          <cell r="E135">
            <v>4.1025661744925578E-2</v>
          </cell>
          <cell r="F135">
            <v>9.2422856352177854E-2</v>
          </cell>
          <cell r="G135">
            <v>9.1520245734058411E-2</v>
          </cell>
        </row>
        <row r="136">
          <cell r="C136">
            <v>0.1799487464352163</v>
          </cell>
          <cell r="D136">
            <v>0.11340897897969189</v>
          </cell>
          <cell r="E136">
            <v>0.14033424993831201</v>
          </cell>
          <cell r="F136">
            <v>8.6584566572226032E-2</v>
          </cell>
          <cell r="G136">
            <v>0.13121755546751659</v>
          </cell>
        </row>
        <row r="137">
          <cell r="C137">
            <v>0.23224053227097524</v>
          </cell>
          <cell r="D137">
            <v>0.12156122636031899</v>
          </cell>
          <cell r="E137">
            <v>0.14318095091777655</v>
          </cell>
          <cell r="F137">
            <v>0.28126004494201695</v>
          </cell>
          <cell r="G137">
            <v>0.11380491842988609</v>
          </cell>
        </row>
        <row r="138">
          <cell r="C138">
            <v>0.31954608641246984</v>
          </cell>
          <cell r="D138">
            <v>0.27250134486879113</v>
          </cell>
          <cell r="E138">
            <v>0.20822344168381801</v>
          </cell>
          <cell r="F138">
            <v>0.30493680882287344</v>
          </cell>
          <cell r="G138">
            <v>0.1397736434504061</v>
          </cell>
        </row>
        <row r="139">
          <cell r="C139">
            <v>0.43039873767076836</v>
          </cell>
          <cell r="D139">
            <v>0.24185676461220387</v>
          </cell>
          <cell r="E139">
            <v>0.12046573751702824</v>
          </cell>
          <cell r="F139">
            <v>0.2140128492096125</v>
          </cell>
          <cell r="G139">
            <v>0.19780416018482949</v>
          </cell>
        </row>
        <row r="140">
          <cell r="C140">
            <v>0.43129620730334756</v>
          </cell>
          <cell r="D140">
            <v>0.240160621713983</v>
          </cell>
          <cell r="E140">
            <v>0.11539991566442834</v>
          </cell>
          <cell r="F140">
            <v>0.43131835534245827</v>
          </cell>
          <cell r="G140">
            <v>0.16929773754533436</v>
          </cell>
        </row>
        <row r="141">
          <cell r="C141">
            <v>0.29050816289925463</v>
          </cell>
          <cell r="D141">
            <v>0.18749151736530856</v>
          </cell>
          <cell r="E141">
            <v>6.657001932724585E-2</v>
          </cell>
          <cell r="F141">
            <v>0.4479337394714743</v>
          </cell>
          <cell r="G141">
            <v>0.1566723002736044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4"/>
      <sheetName val="NEW"/>
      <sheetName val="DATASET"/>
      <sheetName val="VALID AN STD"/>
      <sheetName val="VALID"/>
      <sheetName val="STAT "/>
      <sheetName val="STAT VALID AN"/>
      <sheetName val="STAT VALID"/>
      <sheetName val="Valid Agrolab"/>
      <sheetName val="STAT VALID rev 919"/>
      <sheetName val="Robustezza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0">
          <cell r="B40" t="str">
            <v>MASTER</v>
          </cell>
          <cell r="J40">
            <v>189009</v>
          </cell>
        </row>
        <row r="42">
          <cell r="M42">
            <v>1.9476835952782501</v>
          </cell>
        </row>
        <row r="43">
          <cell r="M43">
            <v>1.26926359368981</v>
          </cell>
        </row>
        <row r="44">
          <cell r="M44">
            <v>1.3612452022285499</v>
          </cell>
        </row>
        <row r="45">
          <cell r="M45">
            <v>1.83584763515376</v>
          </cell>
        </row>
        <row r="46">
          <cell r="M46">
            <v>1.9927834658942201</v>
          </cell>
        </row>
        <row r="47">
          <cell r="M47">
            <v>2.5166507447533601</v>
          </cell>
        </row>
        <row r="48">
          <cell r="M48">
            <v>1.9884130143243901</v>
          </cell>
        </row>
        <row r="49">
          <cell r="M49">
            <v>2.3112094272567001</v>
          </cell>
        </row>
        <row r="50">
          <cell r="M50">
            <v>2.07613236518148</v>
          </cell>
        </row>
        <row r="51">
          <cell r="M51">
            <v>1.6243699386066199</v>
          </cell>
        </row>
        <row r="52">
          <cell r="M52">
            <v>1.01553181277767</v>
          </cell>
        </row>
        <row r="53">
          <cell r="M53">
            <v>1.35639619916752</v>
          </cell>
        </row>
        <row r="95">
          <cell r="J95">
            <v>189009</v>
          </cell>
        </row>
        <row r="97">
          <cell r="M97">
            <v>1.9924146713027699</v>
          </cell>
        </row>
        <row r="98">
          <cell r="M98">
            <v>1.3156266813167801</v>
          </cell>
        </row>
        <row r="99">
          <cell r="M99">
            <v>1.6475198982113599</v>
          </cell>
        </row>
        <row r="100">
          <cell r="M100">
            <v>1.8177756206284801</v>
          </cell>
        </row>
        <row r="101">
          <cell r="M101">
            <v>1.89495445880974</v>
          </cell>
        </row>
        <row r="102">
          <cell r="M102">
            <v>1.55551591333145</v>
          </cell>
        </row>
        <row r="103">
          <cell r="M103">
            <v>1.9167515267527599</v>
          </cell>
        </row>
        <row r="104">
          <cell r="M104">
            <v>2.14473990282838</v>
          </cell>
        </row>
        <row r="105">
          <cell r="M105">
            <v>2.0514126798295602</v>
          </cell>
        </row>
        <row r="106">
          <cell r="M106">
            <v>1.81511494993042</v>
          </cell>
        </row>
        <row r="107">
          <cell r="M107">
            <v>0.78398862530995606</v>
          </cell>
        </row>
        <row r="108">
          <cell r="M108">
            <v>1.48474658655502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I24" sqref="I24"/>
    </sheetView>
  </sheetViews>
  <sheetFormatPr defaultRowHeight="15" x14ac:dyDescent="0.25"/>
  <cols>
    <col min="1" max="1" width="14.85546875" bestFit="1" customWidth="1"/>
    <col min="10" max="10" width="11.140625" bestFit="1" customWidth="1"/>
  </cols>
  <sheetData>
    <row r="1" spans="1:15" ht="15.75" thickBot="1" x14ac:dyDescent="0.3">
      <c r="A1" s="8" t="s">
        <v>22</v>
      </c>
      <c r="B1" s="9" t="s">
        <v>13</v>
      </c>
      <c r="C1" s="9" t="s">
        <v>14</v>
      </c>
      <c r="D1" s="9" t="s">
        <v>15</v>
      </c>
      <c r="E1" s="9" t="s">
        <v>16</v>
      </c>
      <c r="F1" s="10" t="s">
        <v>17</v>
      </c>
      <c r="K1" s="27" t="s">
        <v>13</v>
      </c>
      <c r="L1" s="9" t="s">
        <v>14</v>
      </c>
      <c r="M1" s="9" t="s">
        <v>15</v>
      </c>
      <c r="N1" s="9" t="s">
        <v>16</v>
      </c>
      <c r="O1" s="10" t="s">
        <v>17</v>
      </c>
    </row>
    <row r="2" spans="1:15" x14ac:dyDescent="0.25">
      <c r="A2" s="11" t="s">
        <v>0</v>
      </c>
      <c r="B2" s="12">
        <v>0.90637958270368491</v>
      </c>
      <c r="C2" s="12">
        <v>0.61926678983443284</v>
      </c>
      <c r="D2" s="12">
        <v>0.28782074184049788</v>
      </c>
      <c r="E2" s="12">
        <v>0.75655220060643313</v>
      </c>
      <c r="F2" s="13">
        <v>0.42157854499493919</v>
      </c>
      <c r="J2" s="28" t="s">
        <v>23</v>
      </c>
      <c r="K2" s="21" t="s">
        <v>24</v>
      </c>
      <c r="L2" s="21" t="s">
        <v>24</v>
      </c>
      <c r="M2" s="21" t="s">
        <v>24</v>
      </c>
      <c r="N2" s="21" t="s">
        <v>25</v>
      </c>
      <c r="O2" s="22" t="s">
        <v>24</v>
      </c>
    </row>
    <row r="3" spans="1:15" x14ac:dyDescent="0.25">
      <c r="A3" s="11" t="s">
        <v>1</v>
      </c>
      <c r="B3" s="12">
        <v>-2.3414032797500421E-2</v>
      </c>
      <c r="C3" s="12">
        <v>-5.4212703684233202E-3</v>
      </c>
      <c r="D3" s="12">
        <v>-9.2133987961655318E-4</v>
      </c>
      <c r="E3" s="12">
        <v>1.4134860802613671E-2</v>
      </c>
      <c r="F3" s="13">
        <v>-5.7665533662902791E-3</v>
      </c>
      <c r="J3" s="11" t="s">
        <v>26</v>
      </c>
      <c r="K3" s="29">
        <v>12</v>
      </c>
      <c r="L3" s="29">
        <v>12</v>
      </c>
      <c r="M3" s="29">
        <v>12</v>
      </c>
      <c r="N3" s="29">
        <v>12</v>
      </c>
      <c r="O3" s="13">
        <v>12</v>
      </c>
    </row>
    <row r="4" spans="1:15" ht="15.75" thickBot="1" x14ac:dyDescent="0.3">
      <c r="A4" s="11" t="s">
        <v>2</v>
      </c>
      <c r="B4" s="12">
        <v>0.902707529753625</v>
      </c>
      <c r="C4" s="12">
        <v>0.84758426146068566</v>
      </c>
      <c r="D4" s="12">
        <v>0.9302718925753054</v>
      </c>
      <c r="E4" s="12">
        <v>0.76505321538741933</v>
      </c>
      <c r="F4" s="13">
        <v>0.87726230810686001</v>
      </c>
      <c r="J4" s="14" t="s">
        <v>27</v>
      </c>
      <c r="K4" s="15" t="s">
        <v>28</v>
      </c>
      <c r="L4" s="15" t="s">
        <v>28</v>
      </c>
      <c r="M4" s="15" t="s">
        <v>28</v>
      </c>
      <c r="N4" s="15" t="s">
        <v>28</v>
      </c>
      <c r="O4" s="16" t="s">
        <v>28</v>
      </c>
    </row>
    <row r="5" spans="1:15" ht="15.75" thickBot="1" x14ac:dyDescent="0.3">
      <c r="A5" s="14" t="s">
        <v>3</v>
      </c>
      <c r="B5" s="15">
        <v>1.0597791214484726</v>
      </c>
      <c r="C5" s="15">
        <v>1.0786281999260718</v>
      </c>
      <c r="D5" s="15">
        <v>1.0380815381288997</v>
      </c>
      <c r="E5" s="15">
        <v>1.0962123456157276</v>
      </c>
      <c r="F5" s="16">
        <v>1.0721949124672958</v>
      </c>
    </row>
    <row r="6" spans="1:15" x14ac:dyDescent="0.25">
      <c r="A6" s="11" t="s">
        <v>4</v>
      </c>
      <c r="B6" s="17">
        <v>168</v>
      </c>
      <c r="C6" s="17">
        <v>159</v>
      </c>
      <c r="D6" s="17">
        <v>158</v>
      </c>
      <c r="E6" s="17">
        <v>151</v>
      </c>
      <c r="F6" s="18">
        <v>155</v>
      </c>
    </row>
    <row r="7" spans="1:15" x14ac:dyDescent="0.25">
      <c r="A7" s="11" t="s">
        <v>5</v>
      </c>
      <c r="B7" s="12">
        <v>7.2675595238095223</v>
      </c>
      <c r="C7" s="12">
        <v>5.2405659159874212</v>
      </c>
      <c r="D7" s="12">
        <v>2.1219620253164559</v>
      </c>
      <c r="E7" s="12">
        <v>5.7391390728476788</v>
      </c>
      <c r="F7" s="13">
        <v>3.1921290322580638</v>
      </c>
    </row>
    <row r="8" spans="1:15" x14ac:dyDescent="0.25">
      <c r="A8" s="11" t="s">
        <v>6</v>
      </c>
      <c r="B8" s="12">
        <v>2.871469922773664</v>
      </c>
      <c r="C8" s="12">
        <v>1.5681673686286504</v>
      </c>
      <c r="D8" s="12">
        <v>1.0837534791843941</v>
      </c>
      <c r="E8" s="12">
        <v>1.5464699330614751</v>
      </c>
      <c r="F8" s="13">
        <v>1.1880350398746014</v>
      </c>
    </row>
    <row r="9" spans="1:15" x14ac:dyDescent="0.25">
      <c r="A9" s="11" t="s">
        <v>7</v>
      </c>
      <c r="B9" s="12">
        <v>1</v>
      </c>
      <c r="C9" s="12">
        <v>1.79</v>
      </c>
      <c r="D9" s="12">
        <v>0.15</v>
      </c>
      <c r="E9" s="12">
        <v>1.4</v>
      </c>
      <c r="F9" s="13">
        <v>0.4</v>
      </c>
    </row>
    <row r="10" spans="1:15" ht="15.75" thickBot="1" x14ac:dyDescent="0.3">
      <c r="A10" s="14" t="s">
        <v>8</v>
      </c>
      <c r="B10" s="15">
        <v>17</v>
      </c>
      <c r="C10" s="15">
        <v>10.23</v>
      </c>
      <c r="D10" s="15">
        <v>7.18</v>
      </c>
      <c r="E10" s="15">
        <v>9.89</v>
      </c>
      <c r="F10" s="16">
        <v>6.59</v>
      </c>
    </row>
    <row r="12" spans="1:15" ht="15.75" thickBot="1" x14ac:dyDescent="0.3"/>
    <row r="13" spans="1:15" ht="15.75" thickBot="1" x14ac:dyDescent="0.3">
      <c r="A13" s="8" t="s">
        <v>18</v>
      </c>
      <c r="B13" s="19" t="s">
        <v>13</v>
      </c>
      <c r="C13" s="19" t="s">
        <v>14</v>
      </c>
      <c r="D13" s="19" t="s">
        <v>15</v>
      </c>
      <c r="E13" s="19" t="s">
        <v>16</v>
      </c>
      <c r="F13" s="20" t="s">
        <v>17</v>
      </c>
    </row>
    <row r="14" spans="1:15" x14ac:dyDescent="0.25">
      <c r="A14" s="11" t="s">
        <v>0</v>
      </c>
      <c r="B14" s="21">
        <v>0.6814672828559919</v>
      </c>
      <c r="C14" s="21">
        <v>0.52134632569416894</v>
      </c>
      <c r="D14" s="21">
        <v>0.51403711685012943</v>
      </c>
      <c r="E14" s="21">
        <v>0.68145758870984896</v>
      </c>
      <c r="F14" s="22">
        <v>0.47281191219241808</v>
      </c>
    </row>
    <row r="15" spans="1:15" x14ac:dyDescent="0.25">
      <c r="A15" s="11" t="s">
        <v>1</v>
      </c>
      <c r="B15" s="12">
        <v>-2.1911653295044117E-2</v>
      </c>
      <c r="C15" s="12">
        <v>-9.3819740585033534E-2</v>
      </c>
      <c r="D15" s="12">
        <v>-5.6643114593182435E-2</v>
      </c>
      <c r="E15" s="12">
        <v>0.2185537353522371</v>
      </c>
      <c r="F15" s="13">
        <v>-3.2426337832241282E-2</v>
      </c>
    </row>
    <row r="16" spans="1:15" x14ac:dyDescent="0.25">
      <c r="A16" s="11" t="s">
        <v>2</v>
      </c>
      <c r="B16" s="12">
        <v>0.8465926705511112</v>
      </c>
      <c r="C16" s="12">
        <v>0.72212749169023227</v>
      </c>
      <c r="D16" s="12">
        <v>0.67798695099471828</v>
      </c>
      <c r="E16" s="12">
        <v>0.65029072910429153</v>
      </c>
      <c r="F16" s="13">
        <v>0.73011858082768533</v>
      </c>
    </row>
    <row r="17" spans="1:6" x14ac:dyDescent="0.25">
      <c r="A17" s="11" t="s">
        <v>3</v>
      </c>
      <c r="B17" s="12">
        <v>0.93914325057298254</v>
      </c>
      <c r="C17" s="12">
        <v>0.89394036379709685</v>
      </c>
      <c r="D17" s="12">
        <v>1.0661706120865428</v>
      </c>
      <c r="E17" s="12">
        <v>0.94594803962799556</v>
      </c>
      <c r="F17" s="13">
        <v>1.0111907244785978</v>
      </c>
    </row>
    <row r="18" spans="1:6" x14ac:dyDescent="0.25">
      <c r="A18" s="11" t="s">
        <v>19</v>
      </c>
      <c r="B18" s="12">
        <v>0.68111492206015145</v>
      </c>
      <c r="C18" s="12">
        <v>0.5128351076041574</v>
      </c>
      <c r="D18" s="12">
        <v>0.5109067577051386</v>
      </c>
      <c r="E18" s="12">
        <v>0.64546007620442791</v>
      </c>
      <c r="F18" s="13">
        <v>0.47169867174483343</v>
      </c>
    </row>
    <row r="19" spans="1:6" ht="15.75" thickBot="1" x14ac:dyDescent="0.3">
      <c r="A19" s="14" t="s">
        <v>14</v>
      </c>
      <c r="B19" s="23">
        <v>29</v>
      </c>
      <c r="C19" s="23">
        <v>36</v>
      </c>
      <c r="D19" s="23">
        <v>35</v>
      </c>
      <c r="E19" s="23">
        <v>35</v>
      </c>
      <c r="F19" s="24">
        <v>35</v>
      </c>
    </row>
    <row r="20" spans="1:6" ht="15.75" thickBot="1" x14ac:dyDescent="0.3">
      <c r="A20" s="14" t="s">
        <v>20</v>
      </c>
      <c r="B20" s="23">
        <v>0</v>
      </c>
      <c r="C20" s="23">
        <v>0</v>
      </c>
      <c r="D20" s="23">
        <v>3</v>
      </c>
      <c r="E20" s="23">
        <v>1</v>
      </c>
      <c r="F20" s="24">
        <v>0</v>
      </c>
    </row>
    <row r="21" spans="1:6" ht="15.75" thickBot="1" x14ac:dyDescent="0.3">
      <c r="A21" s="14" t="s">
        <v>21</v>
      </c>
      <c r="B21" s="25">
        <v>8.9977107147661162E-2</v>
      </c>
      <c r="C21" s="25">
        <v>8.7785208809653126E-2</v>
      </c>
      <c r="D21" s="25">
        <v>0.16858345463663893</v>
      </c>
      <c r="E21" s="25">
        <v>8.8216709028429319E-2</v>
      </c>
      <c r="F21" s="26">
        <v>0.13079773875369818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3"/>
  <sheetViews>
    <sheetView zoomScale="55" zoomScaleNormal="55" workbookViewId="0">
      <selection activeCell="R56" sqref="R56"/>
    </sheetView>
  </sheetViews>
  <sheetFormatPr defaultRowHeight="15" x14ac:dyDescent="0.25"/>
  <cols>
    <col min="1" max="16384" width="9.140625" style="2"/>
  </cols>
  <sheetData>
    <row r="1" spans="1:24" x14ac:dyDescent="0.25">
      <c r="A1" s="1" t="s">
        <v>13</v>
      </c>
      <c r="B1" s="1"/>
      <c r="C1" s="1"/>
      <c r="D1" s="1"/>
      <c r="F1" s="1" t="s">
        <v>14</v>
      </c>
      <c r="G1" s="1"/>
      <c r="H1" s="1"/>
      <c r="I1" s="1"/>
      <c r="K1" s="1" t="s">
        <v>15</v>
      </c>
      <c r="L1" s="1"/>
      <c r="M1" s="1"/>
      <c r="N1" s="1"/>
      <c r="P1" s="1" t="s">
        <v>16</v>
      </c>
      <c r="Q1" s="1"/>
      <c r="R1" s="1"/>
      <c r="S1" s="1"/>
      <c r="U1" s="1" t="s">
        <v>17</v>
      </c>
      <c r="V1" s="1"/>
      <c r="W1" s="1"/>
      <c r="X1" s="1"/>
    </row>
    <row r="3" spans="1:24" x14ac:dyDescent="0.25">
      <c r="A3" s="3" t="s">
        <v>0</v>
      </c>
      <c r="B3" s="2">
        <f>SQRT(SUMSQ(D15:D1048576)/COUNTA(D15:D1048576))</f>
        <v>0.90637958270368491</v>
      </c>
      <c r="F3" s="3" t="s">
        <v>0</v>
      </c>
      <c r="G3" s="2">
        <f>SQRT(SUMSQ(I15:I1048576)/COUNTA(I15:I1048576))</f>
        <v>0.61926678983443284</v>
      </c>
      <c r="K3" s="3" t="s">
        <v>0</v>
      </c>
      <c r="L3" s="2">
        <f>SQRT(SUMSQ(N15:N1048576)/COUNTA(N15:N1048576))</f>
        <v>0.28782074184049788</v>
      </c>
      <c r="P3" s="3" t="s">
        <v>0</v>
      </c>
      <c r="Q3" s="2">
        <f>SQRT(SUMSQ(S15:S1048576)/COUNTA(S15:S1048576))</f>
        <v>0.75655220060643313</v>
      </c>
      <c r="U3" s="3" t="s">
        <v>0</v>
      </c>
      <c r="V3" s="2">
        <f>SQRT(SUMSQ(X15:X1048576)/COUNTA(X15:X1048576))</f>
        <v>0.42157854499493919</v>
      </c>
    </row>
    <row r="4" spans="1:24" x14ac:dyDescent="0.25">
      <c r="A4" s="3" t="s">
        <v>1</v>
      </c>
      <c r="B4" s="2">
        <f>AVERAGE(D15:D1048576)</f>
        <v>-2.3414032797500421E-2</v>
      </c>
      <c r="F4" s="3" t="s">
        <v>1</v>
      </c>
      <c r="G4" s="2">
        <f>AVERAGE(I15:I1048576)</f>
        <v>-5.4212703684233202E-3</v>
      </c>
      <c r="K4" s="3" t="s">
        <v>1</v>
      </c>
      <c r="L4" s="2">
        <f>AVERAGE(N15:N1048576)</f>
        <v>-9.2133987961655318E-4</v>
      </c>
      <c r="P4" s="3" t="s">
        <v>1</v>
      </c>
      <c r="Q4" s="2">
        <f>AVERAGE(S15:S1048576)</f>
        <v>1.4134860802613671E-2</v>
      </c>
      <c r="U4" s="3" t="s">
        <v>1</v>
      </c>
      <c r="V4" s="2">
        <f>AVERAGE(X15:X1048576)</f>
        <v>-5.7665533662902791E-3</v>
      </c>
    </row>
    <row r="5" spans="1:24" x14ac:dyDescent="0.25">
      <c r="A5" s="3" t="s">
        <v>2</v>
      </c>
      <c r="B5" s="2">
        <f>CORREL(B15:B1048576,C15:C1048576)^2</f>
        <v>0.902707529753625</v>
      </c>
      <c r="F5" s="3" t="s">
        <v>2</v>
      </c>
      <c r="G5" s="2">
        <f>CORREL(G15:G1048576,H15:H1048576)^2</f>
        <v>0.84758426146068566</v>
      </c>
      <c r="K5" s="3" t="s">
        <v>2</v>
      </c>
      <c r="L5" s="2">
        <f>CORREL(L15:L1048576,M15:M1048576)^2</f>
        <v>0.9302718925753054</v>
      </c>
      <c r="P5" s="3" t="s">
        <v>2</v>
      </c>
      <c r="Q5" s="2">
        <f>CORREL(Q15:Q1048576,R15:R1048576)^2</f>
        <v>0.76505321538741933</v>
      </c>
      <c r="U5" s="3" t="s">
        <v>2</v>
      </c>
      <c r="V5" s="2">
        <f>CORREL(V15:V1048576,W15:W1048576)^2</f>
        <v>0.87726230810686001</v>
      </c>
    </row>
    <row r="6" spans="1:24" x14ac:dyDescent="0.25">
      <c r="A6" s="3" t="s">
        <v>3</v>
      </c>
      <c r="B6" s="2">
        <f>SLOPE(B15:B1048576,C15:C1048576)</f>
        <v>1.0597791214484726</v>
      </c>
      <c r="F6" s="3" t="s">
        <v>3</v>
      </c>
      <c r="G6" s="2">
        <f>SLOPE(G15:G1048576,H15:H1048576)</f>
        <v>1.0786281999260718</v>
      </c>
      <c r="K6" s="3" t="s">
        <v>3</v>
      </c>
      <c r="L6" s="2">
        <f>SLOPE(L15:L1048576,M15:M1048576)</f>
        <v>1.0380815381288997</v>
      </c>
      <c r="P6" s="3" t="s">
        <v>3</v>
      </c>
      <c r="Q6" s="2">
        <f>SLOPE(Q15:Q1048576,R15:R1048576)</f>
        <v>1.0962123456157276</v>
      </c>
      <c r="U6" s="3" t="s">
        <v>3</v>
      </c>
      <c r="V6" s="2">
        <f>SLOPE(V15:V1048576,W15:W1048576)</f>
        <v>1.0721949124672958</v>
      </c>
    </row>
    <row r="7" spans="1:24" x14ac:dyDescent="0.25">
      <c r="A7" s="3"/>
      <c r="F7" s="3"/>
      <c r="K7" s="3"/>
      <c r="P7" s="3"/>
      <c r="U7" s="3"/>
    </row>
    <row r="8" spans="1:24" s="5" customFormat="1" x14ac:dyDescent="0.25">
      <c r="A8" s="4" t="s">
        <v>4</v>
      </c>
      <c r="B8" s="5">
        <f>COUNT(B15:B1048576)</f>
        <v>168</v>
      </c>
      <c r="F8" s="4" t="s">
        <v>4</v>
      </c>
      <c r="G8" s="5">
        <f>COUNT(G15:G1048576)</f>
        <v>159</v>
      </c>
      <c r="K8" s="4" t="s">
        <v>4</v>
      </c>
      <c r="L8" s="5">
        <f>COUNT(L15:L1048576)</f>
        <v>158</v>
      </c>
      <c r="P8" s="4" t="s">
        <v>4</v>
      </c>
      <c r="Q8" s="5">
        <f>COUNT(Q15:Q1048576)</f>
        <v>151</v>
      </c>
      <c r="U8" s="4" t="s">
        <v>4</v>
      </c>
      <c r="V8" s="5">
        <f>COUNT(V15:V1048576)</f>
        <v>155</v>
      </c>
    </row>
    <row r="9" spans="1:24" s="5" customFormat="1" x14ac:dyDescent="0.25">
      <c r="A9" s="4" t="s">
        <v>5</v>
      </c>
      <c r="B9" s="5">
        <f>AVERAGE(B15:B1048576)</f>
        <v>7.2675595238095223</v>
      </c>
      <c r="F9" s="4" t="s">
        <v>5</v>
      </c>
      <c r="G9" s="5">
        <f>AVERAGE(G15:G1048576)</f>
        <v>5.2405659159874212</v>
      </c>
      <c r="K9" s="4" t="s">
        <v>5</v>
      </c>
      <c r="L9" s="5">
        <f>AVERAGE(L15:L1048576)</f>
        <v>2.1219620253164559</v>
      </c>
      <c r="P9" s="4" t="s">
        <v>5</v>
      </c>
      <c r="Q9" s="5">
        <f>AVERAGE(Q15:Q1048576)</f>
        <v>5.7391390728476788</v>
      </c>
      <c r="U9" s="4" t="s">
        <v>5</v>
      </c>
      <c r="V9" s="5">
        <f>AVERAGE(V15:V1048576)</f>
        <v>3.1921290322580638</v>
      </c>
    </row>
    <row r="10" spans="1:24" s="5" customFormat="1" x14ac:dyDescent="0.25">
      <c r="A10" s="4" t="s">
        <v>6</v>
      </c>
      <c r="B10" s="5">
        <f>STDEV(B15:B1048576)</f>
        <v>2.871469922773664</v>
      </c>
      <c r="F10" s="4" t="s">
        <v>6</v>
      </c>
      <c r="G10" s="5">
        <f>STDEV(G15:G1048576)</f>
        <v>1.5681673686286504</v>
      </c>
      <c r="K10" s="4" t="s">
        <v>6</v>
      </c>
      <c r="L10" s="5">
        <f>STDEV(L15:L1048576)</f>
        <v>1.0837534791843941</v>
      </c>
      <c r="P10" s="4" t="s">
        <v>6</v>
      </c>
      <c r="Q10" s="5">
        <f>STDEV(Q15:Q1048576)</f>
        <v>1.5464699330614751</v>
      </c>
      <c r="U10" s="4" t="s">
        <v>6</v>
      </c>
      <c r="V10" s="5">
        <f>STDEV(V15:V1048576)</f>
        <v>1.1880350398746014</v>
      </c>
    </row>
    <row r="11" spans="1:24" s="5" customFormat="1" x14ac:dyDescent="0.25">
      <c r="A11" s="4" t="s">
        <v>7</v>
      </c>
      <c r="B11" s="5">
        <f>MIN(B15:B1048576)</f>
        <v>1</v>
      </c>
      <c r="F11" s="4" t="s">
        <v>7</v>
      </c>
      <c r="G11" s="5">
        <f>MIN(G15:G1048576)</f>
        <v>1.79</v>
      </c>
      <c r="K11" s="4" t="s">
        <v>7</v>
      </c>
      <c r="L11" s="5">
        <f>MIN(L15:L1048576)</f>
        <v>0.15</v>
      </c>
      <c r="P11" s="4" t="s">
        <v>7</v>
      </c>
      <c r="Q11" s="5">
        <f>MIN(Q15:Q1048576)</f>
        <v>1.4</v>
      </c>
      <c r="U11" s="4" t="s">
        <v>7</v>
      </c>
      <c r="V11" s="5">
        <f>MIN(V15:V1048576)</f>
        <v>0.4</v>
      </c>
    </row>
    <row r="12" spans="1:24" s="5" customFormat="1" x14ac:dyDescent="0.25">
      <c r="A12" s="4" t="s">
        <v>8</v>
      </c>
      <c r="B12" s="5">
        <f>MAX(B15:B1048576)</f>
        <v>17</v>
      </c>
      <c r="F12" s="4" t="s">
        <v>8</v>
      </c>
      <c r="G12" s="5">
        <f>MAX(G15:G1048576)</f>
        <v>10.23</v>
      </c>
      <c r="K12" s="4" t="s">
        <v>8</v>
      </c>
      <c r="L12" s="5">
        <f>MAX(L15:L1048576)</f>
        <v>7.18</v>
      </c>
      <c r="P12" s="4" t="s">
        <v>8</v>
      </c>
      <c r="Q12" s="5">
        <f>MAX(Q15:Q1048576)</f>
        <v>9.89</v>
      </c>
      <c r="U12" s="4" t="s">
        <v>8</v>
      </c>
      <c r="V12" s="5">
        <f>MAX(V15:V1048576)</f>
        <v>6.59</v>
      </c>
    </row>
    <row r="14" spans="1:24" x14ac:dyDescent="0.25">
      <c r="A14" s="3" t="s">
        <v>9</v>
      </c>
      <c r="B14" s="3" t="s">
        <v>10</v>
      </c>
      <c r="C14" s="3" t="s">
        <v>11</v>
      </c>
      <c r="D14" s="3" t="s">
        <v>12</v>
      </c>
      <c r="F14" s="3" t="s">
        <v>9</v>
      </c>
      <c r="G14" s="3" t="s">
        <v>10</v>
      </c>
      <c r="H14" s="3" t="s">
        <v>11</v>
      </c>
      <c r="I14" s="3" t="s">
        <v>12</v>
      </c>
      <c r="K14" s="3" t="s">
        <v>9</v>
      </c>
      <c r="L14" s="3" t="s">
        <v>10</v>
      </c>
      <c r="M14" s="3" t="s">
        <v>11</v>
      </c>
      <c r="N14" s="3" t="s">
        <v>12</v>
      </c>
      <c r="P14" s="3" t="s">
        <v>9</v>
      </c>
      <c r="Q14" s="3" t="s">
        <v>10</v>
      </c>
      <c r="R14" s="3" t="s">
        <v>11</v>
      </c>
      <c r="S14" s="3" t="s">
        <v>12</v>
      </c>
      <c r="U14" s="3" t="s">
        <v>9</v>
      </c>
      <c r="V14" s="3" t="s">
        <v>10</v>
      </c>
      <c r="W14" s="3" t="s">
        <v>11</v>
      </c>
      <c r="X14" s="3" t="s">
        <v>12</v>
      </c>
    </row>
    <row r="15" spans="1:24" x14ac:dyDescent="0.25">
      <c r="A15" s="2">
        <v>10001</v>
      </c>
      <c r="B15" s="2">
        <v>9.35</v>
      </c>
      <c r="C15" s="2">
        <v>9.7953315920377193</v>
      </c>
      <c r="D15" s="6">
        <f>(B15-C15)</f>
        <v>-0.44533159203771966</v>
      </c>
      <c r="F15" s="7">
        <v>10001</v>
      </c>
      <c r="G15" s="2">
        <v>5.0339793139999998</v>
      </c>
      <c r="H15" s="2">
        <v>5.3029754674035203</v>
      </c>
      <c r="I15" s="6">
        <f>(G15-H15)</f>
        <v>-0.26899615340352057</v>
      </c>
      <c r="K15" s="2">
        <v>10001</v>
      </c>
      <c r="L15" s="2">
        <v>2.68</v>
      </c>
      <c r="M15" s="2">
        <v>2.23370083306453</v>
      </c>
      <c r="N15" s="6">
        <f>(L15-M15)</f>
        <v>0.44629916693547012</v>
      </c>
      <c r="P15" s="2">
        <v>10002</v>
      </c>
      <c r="Q15" s="2">
        <v>5.97</v>
      </c>
      <c r="R15" s="2">
        <v>5.7263776644182398</v>
      </c>
      <c r="S15" s="6">
        <f>(Q15-R15)</f>
        <v>0.24362233558175994</v>
      </c>
      <c r="U15" s="2">
        <v>10001</v>
      </c>
      <c r="V15" s="2">
        <v>3.05</v>
      </c>
      <c r="W15" s="2">
        <v>2.9379878376220101</v>
      </c>
      <c r="X15" s="6">
        <f>(V15-W15)</f>
        <v>0.11201216237798972</v>
      </c>
    </row>
    <row r="16" spans="1:24" x14ac:dyDescent="0.25">
      <c r="A16" s="2">
        <v>10002</v>
      </c>
      <c r="B16" s="2">
        <v>7.4</v>
      </c>
      <c r="C16" s="2">
        <v>8.8230026873336094</v>
      </c>
      <c r="D16" s="6">
        <f>(B16-C16)</f>
        <v>-1.423002687333609</v>
      </c>
      <c r="F16" s="2">
        <v>10002</v>
      </c>
      <c r="G16" s="2">
        <v>5.43</v>
      </c>
      <c r="H16" s="2">
        <v>5.7232053435399397</v>
      </c>
      <c r="I16" s="6">
        <f>(G16-H16)</f>
        <v>-0.29320534353993999</v>
      </c>
      <c r="K16" s="2">
        <v>10002</v>
      </c>
      <c r="L16" s="2">
        <v>2.69</v>
      </c>
      <c r="M16" s="2">
        <v>2.5315474454051001</v>
      </c>
      <c r="N16" s="6">
        <f>(L16-M16)</f>
        <v>0.15845255459489982</v>
      </c>
      <c r="P16" s="2">
        <v>10005</v>
      </c>
      <c r="Q16" s="2">
        <v>5.03</v>
      </c>
      <c r="R16" s="2">
        <v>6.2486534575599402</v>
      </c>
      <c r="S16" s="6">
        <f>(Q16-R16)</f>
        <v>-1.2186534575599399</v>
      </c>
      <c r="U16" s="2">
        <v>10002</v>
      </c>
      <c r="V16" s="2">
        <v>3.36</v>
      </c>
      <c r="W16" s="2">
        <v>3.3847635474705098</v>
      </c>
      <c r="X16" s="6">
        <f t="shared" ref="X16:X79" si="0">(V16-W16)</f>
        <v>-2.4763547470509906E-2</v>
      </c>
    </row>
    <row r="17" spans="1:24" x14ac:dyDescent="0.25">
      <c r="A17" s="2">
        <v>10005</v>
      </c>
      <c r="B17" s="2">
        <v>9.1999999999999993</v>
      </c>
      <c r="C17" s="2">
        <v>7.6607821284718796</v>
      </c>
      <c r="D17" s="6">
        <f>(B17-C17)</f>
        <v>1.5392178715281197</v>
      </c>
      <c r="F17" s="2">
        <v>10005</v>
      </c>
      <c r="G17" s="2">
        <v>7.79</v>
      </c>
      <c r="H17" s="2">
        <v>6.2720419433673102</v>
      </c>
      <c r="I17" s="6">
        <f>(G17-H17)</f>
        <v>1.5179580566326898</v>
      </c>
      <c r="K17" s="2">
        <v>10017</v>
      </c>
      <c r="L17" s="2">
        <v>0.51</v>
      </c>
      <c r="M17" s="2">
        <v>0.53900901600619799</v>
      </c>
      <c r="N17" s="6">
        <f>(L17-M17)</f>
        <v>-2.9009016006197985E-2</v>
      </c>
      <c r="P17" s="2">
        <v>10017</v>
      </c>
      <c r="Q17" s="2">
        <v>3.7</v>
      </c>
      <c r="R17" s="2">
        <v>4.51054375553207</v>
      </c>
      <c r="S17" s="6">
        <f>(Q17-R17)</f>
        <v>-0.81054375553206981</v>
      </c>
      <c r="U17" s="2">
        <v>10010</v>
      </c>
      <c r="V17" s="2">
        <v>2.08</v>
      </c>
      <c r="W17" s="2">
        <v>3.5527962764116698</v>
      </c>
      <c r="X17" s="6">
        <f t="shared" si="0"/>
        <v>-1.4727962764116698</v>
      </c>
    </row>
    <row r="18" spans="1:24" x14ac:dyDescent="0.25">
      <c r="A18" s="2">
        <v>10010</v>
      </c>
      <c r="B18" s="2">
        <v>7</v>
      </c>
      <c r="C18" s="2">
        <v>8.6537448109438007</v>
      </c>
      <c r="D18" s="6">
        <f>(B18-C18)</f>
        <v>-1.6537448109438007</v>
      </c>
      <c r="F18" s="2">
        <v>10017</v>
      </c>
      <c r="G18" s="2">
        <v>2.3199999999999998</v>
      </c>
      <c r="H18" s="2">
        <v>2.5670161679071</v>
      </c>
      <c r="I18" s="6">
        <f>(G18-H18)</f>
        <v>-0.24701616790710013</v>
      </c>
      <c r="K18" s="2">
        <v>10026</v>
      </c>
      <c r="L18" s="2">
        <v>1.81</v>
      </c>
      <c r="M18" s="2">
        <v>1.8870812747294801</v>
      </c>
      <c r="N18" s="6">
        <f>(L18-M18)</f>
        <v>-7.7081274729480009E-2</v>
      </c>
      <c r="P18" s="2">
        <v>10026</v>
      </c>
      <c r="Q18" s="2">
        <v>5.33</v>
      </c>
      <c r="R18" s="2">
        <v>4.85370736266061</v>
      </c>
      <c r="S18" s="6">
        <f>(Q18-R18)</f>
        <v>0.47629263733939009</v>
      </c>
      <c r="U18" s="2">
        <v>10017</v>
      </c>
      <c r="V18" s="2">
        <v>1.27</v>
      </c>
      <c r="W18" s="2">
        <v>1.3805721714189401</v>
      </c>
      <c r="X18" s="6">
        <f t="shared" si="0"/>
        <v>-0.11057217141894005</v>
      </c>
    </row>
    <row r="19" spans="1:24" x14ac:dyDescent="0.25">
      <c r="A19" s="2">
        <v>10017</v>
      </c>
      <c r="B19" s="2">
        <v>2.9</v>
      </c>
      <c r="C19" s="2">
        <v>2.6835639110279801</v>
      </c>
      <c r="D19" s="6">
        <f>(B19-C19)</f>
        <v>0.21643608897201982</v>
      </c>
      <c r="F19" s="2">
        <v>10026</v>
      </c>
      <c r="G19" s="2">
        <v>5.28</v>
      </c>
      <c r="H19" s="2">
        <v>5.3638721879515003</v>
      </c>
      <c r="I19" s="6">
        <f>(G19-H19)</f>
        <v>-8.3872187951500088E-2</v>
      </c>
      <c r="K19" s="2">
        <v>10045</v>
      </c>
      <c r="L19" s="2">
        <v>0.95</v>
      </c>
      <c r="M19" s="2">
        <v>1.12778821276345</v>
      </c>
      <c r="N19" s="6">
        <f>(L19-M19)</f>
        <v>-0.17778821276345003</v>
      </c>
      <c r="P19" s="2">
        <v>10044</v>
      </c>
      <c r="Q19" s="2">
        <v>5.48</v>
      </c>
      <c r="R19" s="2">
        <v>5.6898821720083399</v>
      </c>
      <c r="S19" s="6">
        <f>(Q19-R19)</f>
        <v>-0.20988217200833947</v>
      </c>
      <c r="U19" s="2">
        <v>10026</v>
      </c>
      <c r="V19" s="2">
        <v>2.58</v>
      </c>
      <c r="W19" s="2">
        <v>2.4809420423132398</v>
      </c>
      <c r="X19" s="6">
        <f t="shared" si="0"/>
        <v>9.905795768676029E-2</v>
      </c>
    </row>
    <row r="20" spans="1:24" x14ac:dyDescent="0.25">
      <c r="A20" s="2">
        <v>10042</v>
      </c>
      <c r="B20" s="2">
        <v>9.8000000000000007</v>
      </c>
      <c r="C20" s="2">
        <v>10.8017050667949</v>
      </c>
      <c r="D20" s="6">
        <f>(B20-C20)</f>
        <v>-1.0017050667948997</v>
      </c>
      <c r="F20" s="2">
        <v>10042</v>
      </c>
      <c r="G20" s="2">
        <v>7.68</v>
      </c>
      <c r="H20" s="2">
        <v>7.3956046858893103</v>
      </c>
      <c r="I20" s="6">
        <f>(G20-H20)</f>
        <v>0.28439531411068941</v>
      </c>
      <c r="K20" s="2">
        <v>10049</v>
      </c>
      <c r="L20" s="2">
        <v>3.21</v>
      </c>
      <c r="M20" s="2">
        <v>3.2076788324899299</v>
      </c>
      <c r="N20" s="6">
        <f>(L20-M20)</f>
        <v>2.3211675100700546E-3</v>
      </c>
      <c r="P20" s="2">
        <v>10045</v>
      </c>
      <c r="Q20" s="2">
        <v>3.74</v>
      </c>
      <c r="R20" s="2">
        <v>4.7136260011361903</v>
      </c>
      <c r="S20" s="6">
        <f>(Q20-R20)</f>
        <v>-0.97362600113619013</v>
      </c>
      <c r="U20" s="2">
        <v>10042</v>
      </c>
      <c r="V20" s="2">
        <v>3.92</v>
      </c>
      <c r="W20" s="2">
        <v>3.8974292609139698</v>
      </c>
      <c r="X20" s="6">
        <f t="shared" si="0"/>
        <v>2.2570739086030134E-2</v>
      </c>
    </row>
    <row r="21" spans="1:24" x14ac:dyDescent="0.25">
      <c r="A21" s="2">
        <v>10044</v>
      </c>
      <c r="B21" s="2">
        <v>8.9</v>
      </c>
      <c r="C21" s="2">
        <v>8.3404288494251801</v>
      </c>
      <c r="D21" s="6">
        <f>(B21-C21)</f>
        <v>0.55957115057482021</v>
      </c>
      <c r="F21" s="2">
        <v>10044</v>
      </c>
      <c r="G21" s="2">
        <v>5.91</v>
      </c>
      <c r="H21" s="2">
        <v>5.7111634763447903</v>
      </c>
      <c r="I21" s="6">
        <f>(G21-H21)</f>
        <v>0.19883652365520987</v>
      </c>
      <c r="K21" s="2">
        <v>10054</v>
      </c>
      <c r="L21" s="2">
        <v>2.0699999999999998</v>
      </c>
      <c r="M21" s="2">
        <v>2.0136938546924799</v>
      </c>
      <c r="N21" s="6">
        <f>(L21-M21)</f>
        <v>5.6306145307519984E-2</v>
      </c>
      <c r="P21" s="2">
        <v>10049</v>
      </c>
      <c r="Q21" s="2">
        <v>7.94</v>
      </c>
      <c r="R21" s="2">
        <v>7.5141506714509303</v>
      </c>
      <c r="S21" s="6">
        <f>(Q21-R21)</f>
        <v>0.42584932854907009</v>
      </c>
      <c r="U21" s="2">
        <v>10044</v>
      </c>
      <c r="V21" s="2">
        <v>3.23</v>
      </c>
      <c r="W21" s="2">
        <v>3.56935428849508</v>
      </c>
      <c r="X21" s="6">
        <f t="shared" si="0"/>
        <v>-0.33935428849507998</v>
      </c>
    </row>
    <row r="22" spans="1:24" x14ac:dyDescent="0.25">
      <c r="A22" s="2">
        <v>10045</v>
      </c>
      <c r="B22" s="2">
        <v>3.95</v>
      </c>
      <c r="C22" s="2">
        <v>4.7605623938059098</v>
      </c>
      <c r="D22" s="6">
        <f>(B22-C22)</f>
        <v>-0.81056239380590966</v>
      </c>
      <c r="F22" s="2">
        <v>10045</v>
      </c>
      <c r="G22" s="2">
        <v>3.13</v>
      </c>
      <c r="H22" s="2">
        <v>3.6076651665163499</v>
      </c>
      <c r="I22" s="6">
        <f>(G22-H22)</f>
        <v>-0.47766516651635005</v>
      </c>
      <c r="K22" s="2">
        <v>10056</v>
      </c>
      <c r="L22" s="2">
        <v>3.6</v>
      </c>
      <c r="M22" s="2">
        <v>3.6419332304557801</v>
      </c>
      <c r="N22" s="6">
        <f>(L22-M22)</f>
        <v>-4.1933230455780013E-2</v>
      </c>
      <c r="P22" s="2">
        <v>10054</v>
      </c>
      <c r="Q22" s="2">
        <v>5.29</v>
      </c>
      <c r="R22" s="2">
        <v>5.6452448872371797</v>
      </c>
      <c r="S22" s="6">
        <f>(Q22-R22)</f>
        <v>-0.35524488723717962</v>
      </c>
      <c r="U22" s="2">
        <v>10045</v>
      </c>
      <c r="V22" s="2">
        <v>1.35</v>
      </c>
      <c r="W22" s="2">
        <v>1.90036212255256</v>
      </c>
      <c r="X22" s="6">
        <f t="shared" si="0"/>
        <v>-0.5503621225525599</v>
      </c>
    </row>
    <row r="23" spans="1:24" x14ac:dyDescent="0.25">
      <c r="A23" s="2">
        <v>10049</v>
      </c>
      <c r="B23" s="2">
        <v>14.6</v>
      </c>
      <c r="C23" s="2">
        <v>14.4653673598143</v>
      </c>
      <c r="D23" s="6">
        <f>(B23-C23)</f>
        <v>0.13463264018569987</v>
      </c>
      <c r="F23" s="2">
        <v>10049</v>
      </c>
      <c r="G23" s="2">
        <v>7.68</v>
      </c>
      <c r="H23" s="2">
        <v>7.5472804924571699</v>
      </c>
      <c r="I23" s="6">
        <f>(G23-H23)</f>
        <v>0.1327195075428298</v>
      </c>
      <c r="K23" s="2">
        <v>10063</v>
      </c>
      <c r="L23" s="2">
        <v>2.0699999999999998</v>
      </c>
      <c r="M23" s="2">
        <v>2.0661323763627402</v>
      </c>
      <c r="N23" s="6">
        <f>(L23-M23)</f>
        <v>3.8676236372596762E-3</v>
      </c>
      <c r="P23" s="2">
        <v>10056</v>
      </c>
      <c r="Q23" s="2">
        <v>8.84</v>
      </c>
      <c r="R23" s="2">
        <v>7.6888978954106699</v>
      </c>
      <c r="S23" s="6">
        <f>(Q23-R23)</f>
        <v>1.1511021045893299</v>
      </c>
      <c r="U23" s="2">
        <v>10049</v>
      </c>
      <c r="V23" s="2">
        <v>3.4</v>
      </c>
      <c r="W23" s="2">
        <v>3.44099041257937</v>
      </c>
      <c r="X23" s="6">
        <f t="shared" si="0"/>
        <v>-4.0990412579370084E-2</v>
      </c>
    </row>
    <row r="24" spans="1:24" x14ac:dyDescent="0.25">
      <c r="A24" s="2">
        <v>10054</v>
      </c>
      <c r="B24" s="2">
        <v>11.2</v>
      </c>
      <c r="C24" s="2">
        <v>10.7497934517879</v>
      </c>
      <c r="D24" s="6">
        <f>(B24-C24)</f>
        <v>0.45020654821209938</v>
      </c>
      <c r="F24" s="2">
        <v>10054</v>
      </c>
      <c r="G24" s="2">
        <v>6.33</v>
      </c>
      <c r="H24" s="2">
        <v>5.6420187441921898</v>
      </c>
      <c r="I24" s="6">
        <f>(G24-H24)</f>
        <v>0.68798125580781022</v>
      </c>
      <c r="K24" s="2">
        <v>10076</v>
      </c>
      <c r="L24" s="2">
        <v>2.31</v>
      </c>
      <c r="M24" s="2">
        <v>2.5983686306146501</v>
      </c>
      <c r="N24" s="6">
        <f>(L24-M24)</f>
        <v>-0.28836863061465001</v>
      </c>
      <c r="P24" s="2">
        <v>10063</v>
      </c>
      <c r="Q24" s="2">
        <v>5.67</v>
      </c>
      <c r="R24" s="2">
        <v>5.7611590107619204</v>
      </c>
      <c r="S24" s="6">
        <f>(Q24-R24)</f>
        <v>-9.1159010761920456E-2</v>
      </c>
      <c r="U24" s="2">
        <v>10054</v>
      </c>
      <c r="V24" s="2">
        <v>2.85</v>
      </c>
      <c r="W24" s="2">
        <v>2.5701352015476702</v>
      </c>
      <c r="X24" s="6">
        <f t="shared" si="0"/>
        <v>0.27986479845232992</v>
      </c>
    </row>
    <row r="25" spans="1:24" x14ac:dyDescent="0.25">
      <c r="A25" s="2">
        <v>10056</v>
      </c>
      <c r="B25" s="2">
        <v>15.5</v>
      </c>
      <c r="C25" s="2">
        <v>13.1339102663564</v>
      </c>
      <c r="D25" s="6">
        <f>(B25-C25)</f>
        <v>2.3660897336435998</v>
      </c>
      <c r="F25" s="2">
        <v>10056</v>
      </c>
      <c r="G25" s="2">
        <v>8.5299999999999994</v>
      </c>
      <c r="H25" s="2">
        <v>7.8742487519214404</v>
      </c>
      <c r="I25" s="6">
        <f>(G25-H25)</f>
        <v>0.655751248078559</v>
      </c>
      <c r="K25" s="2">
        <v>10077</v>
      </c>
      <c r="L25" s="2">
        <v>0.93</v>
      </c>
      <c r="M25" s="2">
        <v>0.95949876298201597</v>
      </c>
      <c r="N25" s="6">
        <f>(L25-M25)</f>
        <v>-2.9498762982015925E-2</v>
      </c>
      <c r="P25" s="2">
        <v>10072</v>
      </c>
      <c r="Q25" s="2">
        <v>7.5</v>
      </c>
      <c r="R25" s="2">
        <v>7.3551955494154901</v>
      </c>
      <c r="S25" s="6">
        <f>(Q25-R25)</f>
        <v>0.14480445058450986</v>
      </c>
      <c r="U25" s="2">
        <v>10056</v>
      </c>
      <c r="V25" s="2">
        <v>4.26</v>
      </c>
      <c r="W25" s="2">
        <v>3.8435791745723602</v>
      </c>
      <c r="X25" s="6">
        <f t="shared" si="0"/>
        <v>0.41642082542763958</v>
      </c>
    </row>
    <row r="26" spans="1:24" x14ac:dyDescent="0.25">
      <c r="A26" s="2">
        <v>10072</v>
      </c>
      <c r="B26" s="2">
        <v>10.1</v>
      </c>
      <c r="C26" s="2">
        <v>10.6775987860665</v>
      </c>
      <c r="D26" s="6">
        <f>(B26-C26)</f>
        <v>-0.57759878606650084</v>
      </c>
      <c r="F26" s="2">
        <v>10063</v>
      </c>
      <c r="G26" s="2">
        <v>6.04</v>
      </c>
      <c r="H26" s="2">
        <v>5.8586725808316604</v>
      </c>
      <c r="I26" s="6">
        <f>(G26-H26)</f>
        <v>0.18132741916833961</v>
      </c>
      <c r="K26" s="2">
        <v>10078</v>
      </c>
      <c r="L26" s="2">
        <v>1.28</v>
      </c>
      <c r="M26" s="2">
        <v>1.4605974467529801</v>
      </c>
      <c r="N26" s="6">
        <f>(L26-M26)</f>
        <v>-0.18059744675298006</v>
      </c>
      <c r="P26" s="2">
        <v>10076</v>
      </c>
      <c r="Q26" s="2">
        <v>5.56</v>
      </c>
      <c r="R26" s="2">
        <v>6.64422375137966</v>
      </c>
      <c r="S26" s="6">
        <f>(Q26-R26)</f>
        <v>-1.0842237513796604</v>
      </c>
      <c r="U26" s="2">
        <v>10076</v>
      </c>
      <c r="V26" s="2">
        <v>3.7</v>
      </c>
      <c r="W26" s="2">
        <v>3.82892116016437</v>
      </c>
      <c r="X26" s="6">
        <f t="shared" si="0"/>
        <v>-0.12892116016436983</v>
      </c>
    </row>
    <row r="27" spans="1:24" x14ac:dyDescent="0.25">
      <c r="A27" s="2">
        <v>10076</v>
      </c>
      <c r="B27" s="2">
        <v>7.7</v>
      </c>
      <c r="C27" s="2">
        <v>8.3813690690426697</v>
      </c>
      <c r="D27" s="6">
        <f>(B27-C27)</f>
        <v>-0.68136906904266947</v>
      </c>
      <c r="F27" s="2">
        <v>10076</v>
      </c>
      <c r="G27" s="2">
        <v>6</v>
      </c>
      <c r="H27" s="2">
        <v>6.9049279811138202</v>
      </c>
      <c r="I27" s="6">
        <f>(G27-H27)</f>
        <v>-0.90492798111382022</v>
      </c>
      <c r="K27" s="2">
        <v>10079</v>
      </c>
      <c r="L27" s="2">
        <v>1.77</v>
      </c>
      <c r="M27" s="2">
        <v>1.90240465616878</v>
      </c>
      <c r="N27" s="6">
        <f>(L27-M27)</f>
        <v>-0.13240465616877994</v>
      </c>
      <c r="P27" s="2">
        <v>10077</v>
      </c>
      <c r="Q27" s="2">
        <v>3.09</v>
      </c>
      <c r="R27" s="2">
        <v>4.1277391400261099</v>
      </c>
      <c r="S27" s="6">
        <f>(Q27-R27)</f>
        <v>-1.03773914002611</v>
      </c>
      <c r="U27" s="2">
        <v>10077</v>
      </c>
      <c r="V27" s="2">
        <v>3.17</v>
      </c>
      <c r="W27" s="2">
        <v>3.2199436646916499</v>
      </c>
      <c r="X27" s="6">
        <f t="shared" si="0"/>
        <v>-4.9943664691650014E-2</v>
      </c>
    </row>
    <row r="28" spans="1:24" x14ac:dyDescent="0.25">
      <c r="A28" s="2">
        <v>10077</v>
      </c>
      <c r="B28" s="2">
        <v>4.3</v>
      </c>
      <c r="C28" s="2">
        <v>4.35394200510083</v>
      </c>
      <c r="D28" s="6">
        <f>(B28-C28)</f>
        <v>-5.3942005100830137E-2</v>
      </c>
      <c r="F28" s="2">
        <v>10077</v>
      </c>
      <c r="G28" s="2">
        <v>5.1696802340000003</v>
      </c>
      <c r="H28" s="2">
        <v>5.1504778735032497</v>
      </c>
      <c r="I28" s="6">
        <f>(G28-H28)</f>
        <v>1.9202360496750615E-2</v>
      </c>
      <c r="K28" s="2">
        <v>10082</v>
      </c>
      <c r="L28" s="2">
        <v>1.52</v>
      </c>
      <c r="M28" s="2">
        <v>1.6631923594815901</v>
      </c>
      <c r="N28" s="6">
        <f>(L28-M28)</f>
        <v>-0.14319235948159004</v>
      </c>
      <c r="P28" s="2">
        <v>10078</v>
      </c>
      <c r="Q28" s="2">
        <v>5.18</v>
      </c>
      <c r="R28" s="2">
        <v>5.0714837624976203</v>
      </c>
      <c r="S28" s="6">
        <f>(Q28-R28)</f>
        <v>0.10851623750237938</v>
      </c>
      <c r="U28" s="2">
        <v>10078</v>
      </c>
      <c r="V28" s="2">
        <v>3.09</v>
      </c>
      <c r="W28" s="2">
        <v>2.7001163494270601</v>
      </c>
      <c r="X28" s="6">
        <f t="shared" si="0"/>
        <v>0.38988365057293972</v>
      </c>
    </row>
    <row r="29" spans="1:24" x14ac:dyDescent="0.25">
      <c r="A29" s="2">
        <v>10078</v>
      </c>
      <c r="B29" s="2">
        <v>5.6</v>
      </c>
      <c r="C29" s="2">
        <v>5.2306162456566501</v>
      </c>
      <c r="D29" s="6">
        <f>(B29-C29)</f>
        <v>0.36938375434334958</v>
      </c>
      <c r="F29" s="2">
        <v>10078</v>
      </c>
      <c r="G29" s="2">
        <v>5.0792129539999999</v>
      </c>
      <c r="H29" s="2">
        <v>4.3405038500454598</v>
      </c>
      <c r="I29" s="6">
        <f>(G29-H29)</f>
        <v>0.73870910395454015</v>
      </c>
      <c r="K29" s="2">
        <v>10084</v>
      </c>
      <c r="L29" s="2">
        <v>1.19</v>
      </c>
      <c r="M29" s="2">
        <v>1.10318916230816</v>
      </c>
      <c r="N29" s="6">
        <f>(L29-M29)</f>
        <v>8.6810837691839948E-2</v>
      </c>
      <c r="P29" s="2">
        <v>10079</v>
      </c>
      <c r="Q29" s="2">
        <v>4.8600000000000003</v>
      </c>
      <c r="R29" s="2">
        <v>4.5509459423022696</v>
      </c>
      <c r="S29" s="6">
        <f>(Q29-R29)</f>
        <v>0.30905405769773076</v>
      </c>
      <c r="U29" s="2">
        <v>10079</v>
      </c>
      <c r="V29" s="2">
        <v>1.83</v>
      </c>
      <c r="W29" s="2">
        <v>1.9339145935368001</v>
      </c>
      <c r="X29" s="6">
        <f t="shared" si="0"/>
        <v>-0.10391459353679999</v>
      </c>
    </row>
    <row r="30" spans="1:24" x14ac:dyDescent="0.25">
      <c r="A30" s="2">
        <v>10079</v>
      </c>
      <c r="B30" s="2">
        <v>8.6999999999999993</v>
      </c>
      <c r="C30" s="2">
        <v>8.1473362910419596</v>
      </c>
      <c r="D30" s="6">
        <f>(B30-C30)</f>
        <v>0.55266370895803973</v>
      </c>
      <c r="F30" s="2">
        <v>10079</v>
      </c>
      <c r="G30" s="2">
        <v>4.37</v>
      </c>
      <c r="H30" s="2">
        <v>4.3262090337993504</v>
      </c>
      <c r="I30" s="6">
        <f>(G30-H30)</f>
        <v>4.3790966200649706E-2</v>
      </c>
      <c r="K30" s="2">
        <v>10087</v>
      </c>
      <c r="L30" s="2">
        <v>1.67</v>
      </c>
      <c r="M30" s="2">
        <v>1.5851337953539799</v>
      </c>
      <c r="N30" s="6">
        <f>(L30-M30)</f>
        <v>8.4866204646020016E-2</v>
      </c>
      <c r="P30" s="2">
        <v>10082</v>
      </c>
      <c r="Q30" s="2">
        <v>5.05</v>
      </c>
      <c r="R30" s="2">
        <v>5.1183533195761903</v>
      </c>
      <c r="S30" s="6">
        <f>(Q30-R30)</f>
        <v>-6.8353319576190508E-2</v>
      </c>
      <c r="U30" s="2">
        <v>10082</v>
      </c>
      <c r="V30" s="2">
        <v>2.52</v>
      </c>
      <c r="W30" s="2">
        <v>2.4978960386859099</v>
      </c>
      <c r="X30" s="6">
        <f t="shared" si="0"/>
        <v>2.2103961314090093E-2</v>
      </c>
    </row>
    <row r="31" spans="1:24" x14ac:dyDescent="0.25">
      <c r="A31" s="2">
        <v>10082</v>
      </c>
      <c r="B31" s="2">
        <v>6</v>
      </c>
      <c r="C31" s="2">
        <v>6.7505378815719803</v>
      </c>
      <c r="D31" s="6">
        <f>(B31-C31)</f>
        <v>-0.75053788157198031</v>
      </c>
      <c r="F31" s="2">
        <v>10082</v>
      </c>
      <c r="G31" s="2">
        <v>4.3099999999999996</v>
      </c>
      <c r="H31" s="2">
        <v>4.5307747117707997</v>
      </c>
      <c r="I31" s="6">
        <f>(G31-H31)</f>
        <v>-0.2207747117708001</v>
      </c>
      <c r="K31" s="2">
        <v>10090</v>
      </c>
      <c r="L31" s="2">
        <v>2.15</v>
      </c>
      <c r="M31" s="2">
        <v>2.2446785181100801</v>
      </c>
      <c r="N31" s="6">
        <f>(L31-M31)</f>
        <v>-9.4678518110080212E-2</v>
      </c>
      <c r="P31" s="2">
        <v>10084</v>
      </c>
      <c r="Q31" s="2">
        <v>4.8099999999999996</v>
      </c>
      <c r="R31" s="2">
        <v>5.0697523035929999</v>
      </c>
      <c r="S31" s="6">
        <f>(Q31-R31)</f>
        <v>-0.25975230359300028</v>
      </c>
      <c r="U31" s="2">
        <v>10084</v>
      </c>
      <c r="V31" s="2">
        <v>2.2599999999999998</v>
      </c>
      <c r="W31" s="2">
        <v>2.38928783632762</v>
      </c>
      <c r="X31" s="6">
        <f t="shared" si="0"/>
        <v>-0.1292878363276202</v>
      </c>
    </row>
    <row r="32" spans="1:24" x14ac:dyDescent="0.25">
      <c r="A32" s="2">
        <v>10084</v>
      </c>
      <c r="B32" s="2">
        <v>4.5</v>
      </c>
      <c r="C32" s="2">
        <v>4.91496795400659</v>
      </c>
      <c r="D32" s="6">
        <f>(B32-C32)</f>
        <v>-0.41496795400659003</v>
      </c>
      <c r="F32" s="2">
        <v>10084</v>
      </c>
      <c r="G32" s="2">
        <v>4.1406149230000002</v>
      </c>
      <c r="H32" s="2">
        <v>4.1280376651113402</v>
      </c>
      <c r="I32" s="6">
        <f>(G32-H32)</f>
        <v>1.2577257888660043E-2</v>
      </c>
      <c r="K32" s="2">
        <v>10101</v>
      </c>
      <c r="L32" s="2">
        <v>2.35</v>
      </c>
      <c r="M32" s="2">
        <v>2.3302517993314402</v>
      </c>
      <c r="N32" s="6">
        <f>(L32-M32)</f>
        <v>1.9748200668559868E-2</v>
      </c>
      <c r="P32" s="2">
        <v>10087</v>
      </c>
      <c r="Q32" s="2">
        <v>5.45</v>
      </c>
      <c r="R32" s="2">
        <v>5.38878025944478</v>
      </c>
      <c r="S32" s="6">
        <f>(Q32-R32)</f>
        <v>6.121974055522017E-2</v>
      </c>
      <c r="U32" s="2">
        <v>10090</v>
      </c>
      <c r="V32" s="2">
        <v>2.48</v>
      </c>
      <c r="W32" s="2">
        <v>2.6073132248817599</v>
      </c>
      <c r="X32" s="6">
        <f t="shared" si="0"/>
        <v>-0.12731322488175989</v>
      </c>
    </row>
    <row r="33" spans="1:24" x14ac:dyDescent="0.25">
      <c r="A33" s="2">
        <v>10087</v>
      </c>
      <c r="B33" s="2">
        <v>6.5</v>
      </c>
      <c r="C33" s="2">
        <v>7.3379614330990197</v>
      </c>
      <c r="D33" s="6">
        <f>(B33-C33)</f>
        <v>-0.83796143309901971</v>
      </c>
      <c r="F33" s="2">
        <v>10087</v>
      </c>
      <c r="G33" s="2">
        <v>4.9000000000000004</v>
      </c>
      <c r="H33" s="2">
        <v>4.8686572703951496</v>
      </c>
      <c r="I33" s="6">
        <f>(G33-H33)</f>
        <v>3.1342729604850739E-2</v>
      </c>
      <c r="K33" s="2">
        <v>10103</v>
      </c>
      <c r="L33" s="2">
        <v>0.46</v>
      </c>
      <c r="M33" s="2">
        <v>0.47020152522979802</v>
      </c>
      <c r="N33" s="6">
        <f>(L33-M33)</f>
        <v>-1.0201525229798003E-2</v>
      </c>
      <c r="P33" s="2">
        <v>10090</v>
      </c>
      <c r="Q33" s="2">
        <v>6.46</v>
      </c>
      <c r="R33" s="2">
        <v>5.8914771654315503</v>
      </c>
      <c r="S33" s="6">
        <f>(Q33-R33)</f>
        <v>0.56852283456844965</v>
      </c>
      <c r="U33" s="2">
        <v>10103</v>
      </c>
      <c r="V33" s="2">
        <v>1.34</v>
      </c>
      <c r="W33" s="2">
        <v>1.42503822245033</v>
      </c>
      <c r="X33" s="6">
        <f t="shared" si="0"/>
        <v>-8.5038222450329881E-2</v>
      </c>
    </row>
    <row r="34" spans="1:24" x14ac:dyDescent="0.25">
      <c r="A34" s="2">
        <v>10090</v>
      </c>
      <c r="B34" s="2">
        <v>11.3</v>
      </c>
      <c r="C34" s="2">
        <v>11.376065817652799</v>
      </c>
      <c r="D34" s="6">
        <f>(B34-C34)</f>
        <v>-7.6065817652798629E-2</v>
      </c>
      <c r="F34" s="2">
        <v>10090</v>
      </c>
      <c r="G34" s="2">
        <v>5.51</v>
      </c>
      <c r="H34" s="2">
        <v>5.79231903638677</v>
      </c>
      <c r="I34" s="6">
        <f>(G34-H34)</f>
        <v>-0.28231903638677025</v>
      </c>
      <c r="K34" s="2">
        <v>10104</v>
      </c>
      <c r="L34" s="2">
        <v>1.83</v>
      </c>
      <c r="M34" s="2">
        <v>2.1649248114078499</v>
      </c>
      <c r="N34" s="6">
        <f>(L34-M34)</f>
        <v>-0.3349248114078498</v>
      </c>
      <c r="P34" s="2">
        <v>10101</v>
      </c>
      <c r="Q34" s="2">
        <v>6.4</v>
      </c>
      <c r="R34" s="2">
        <v>7.0350639068249299</v>
      </c>
      <c r="S34" s="6">
        <f>(Q34-R34)</f>
        <v>-0.63506390682492952</v>
      </c>
      <c r="U34" s="2">
        <v>10104</v>
      </c>
      <c r="V34" s="2">
        <v>2.68</v>
      </c>
      <c r="W34" s="2">
        <v>3.9373251609389399</v>
      </c>
      <c r="X34" s="6">
        <f t="shared" si="0"/>
        <v>-1.2573251609389398</v>
      </c>
    </row>
    <row r="35" spans="1:24" x14ac:dyDescent="0.25">
      <c r="A35" s="2">
        <v>10094</v>
      </c>
      <c r="B35" s="2">
        <v>8.0500000000000007</v>
      </c>
      <c r="C35" s="2">
        <v>7.1884367137207503</v>
      </c>
      <c r="D35" s="6">
        <f>(B35-C35)</f>
        <v>0.86156328627925038</v>
      </c>
      <c r="F35" s="2">
        <v>10094</v>
      </c>
      <c r="G35" s="2">
        <v>5.58</v>
      </c>
      <c r="H35" s="2">
        <v>6.6999750911120204</v>
      </c>
      <c r="I35" s="6">
        <f>(G35-H35)</f>
        <v>-1.1199750911120203</v>
      </c>
      <c r="K35" s="2">
        <v>10110</v>
      </c>
      <c r="L35" s="2">
        <v>1.91</v>
      </c>
      <c r="M35" s="2">
        <v>1.70085467689929</v>
      </c>
      <c r="N35" s="6">
        <f>(L35-M35)</f>
        <v>0.20914532310070988</v>
      </c>
      <c r="P35" s="2">
        <v>10103</v>
      </c>
      <c r="Q35" s="2">
        <v>3.4</v>
      </c>
      <c r="R35" s="2">
        <v>4.3580183893117104</v>
      </c>
      <c r="S35" s="6">
        <f>(Q35-R35)</f>
        <v>-0.95801838931171046</v>
      </c>
      <c r="U35" s="2">
        <v>10119</v>
      </c>
      <c r="V35" s="2">
        <v>2.17</v>
      </c>
      <c r="W35" s="2">
        <v>2.94978464802481</v>
      </c>
      <c r="X35" s="6">
        <f t="shared" si="0"/>
        <v>-0.77978464802481007</v>
      </c>
    </row>
    <row r="36" spans="1:24" x14ac:dyDescent="0.25">
      <c r="A36" s="2">
        <v>10101</v>
      </c>
      <c r="B36" s="2">
        <v>13.4</v>
      </c>
      <c r="C36" s="2">
        <v>12.960480619855099</v>
      </c>
      <c r="D36" s="6">
        <f>(B36-C36)</f>
        <v>0.43951938014490111</v>
      </c>
      <c r="F36" s="2">
        <v>10103</v>
      </c>
      <c r="G36" s="2">
        <v>2.0499999999999998</v>
      </c>
      <c r="H36" s="2">
        <v>2.4025787394748201</v>
      </c>
      <c r="I36" s="6">
        <f>(G36-H36)</f>
        <v>-0.35257873947482032</v>
      </c>
      <c r="K36" s="2">
        <v>10117</v>
      </c>
      <c r="L36" s="2">
        <v>1.46</v>
      </c>
      <c r="M36" s="2">
        <v>1.73468011828891</v>
      </c>
      <c r="N36" s="6">
        <f>(L36-M36)</f>
        <v>-0.27468011828891004</v>
      </c>
      <c r="P36" s="2">
        <v>10104</v>
      </c>
      <c r="Q36" s="2">
        <v>5.74</v>
      </c>
      <c r="R36" s="2">
        <v>5.8919671895024797</v>
      </c>
      <c r="S36" s="6">
        <f>(Q36-R36)</f>
        <v>-0.15196718950247945</v>
      </c>
      <c r="U36" s="2">
        <v>10120</v>
      </c>
      <c r="V36" s="2">
        <v>2.65</v>
      </c>
      <c r="W36" s="2">
        <v>2.5421154272814199</v>
      </c>
      <c r="X36" s="6">
        <f t="shared" si="0"/>
        <v>0.10788457271857999</v>
      </c>
    </row>
    <row r="37" spans="1:24" x14ac:dyDescent="0.25">
      <c r="A37" s="2">
        <v>10103</v>
      </c>
      <c r="B37" s="2">
        <v>2.4</v>
      </c>
      <c r="C37" s="2">
        <v>2.5339671660994099</v>
      </c>
      <c r="D37" s="6">
        <f>(B37-C37)</f>
        <v>-0.13396716609940995</v>
      </c>
      <c r="F37" s="2">
        <v>10104</v>
      </c>
      <c r="G37" s="2">
        <v>5.44</v>
      </c>
      <c r="H37" s="2">
        <v>6.4695037076012696</v>
      </c>
      <c r="I37" s="6">
        <f>(G37-H37)</f>
        <v>-1.0295037076012692</v>
      </c>
      <c r="K37" s="2">
        <v>10119</v>
      </c>
      <c r="L37" s="2">
        <v>1.67</v>
      </c>
      <c r="M37" s="2">
        <v>1.6011221719388899</v>
      </c>
      <c r="N37" s="6">
        <f>(L37-M37)</f>
        <v>6.887782806110998E-2</v>
      </c>
      <c r="P37" s="2">
        <v>10110</v>
      </c>
      <c r="Q37" s="2">
        <v>4.9000000000000004</v>
      </c>
      <c r="R37" s="2">
        <v>4.9343983752213703</v>
      </c>
      <c r="S37" s="6">
        <f>(Q37-R37)</f>
        <v>-3.4398375221369903E-2</v>
      </c>
      <c r="U37" s="2">
        <v>10123</v>
      </c>
      <c r="V37" s="2">
        <v>2.02</v>
      </c>
      <c r="W37" s="2">
        <v>2.1258590076230699</v>
      </c>
      <c r="X37" s="6">
        <f t="shared" si="0"/>
        <v>-0.10585900762306988</v>
      </c>
    </row>
    <row r="38" spans="1:24" x14ac:dyDescent="0.25">
      <c r="A38" s="2">
        <v>10104</v>
      </c>
      <c r="B38" s="2">
        <v>9.5</v>
      </c>
      <c r="C38" s="2">
        <v>9.0414018494805095</v>
      </c>
      <c r="D38" s="6">
        <f>(B38-C38)</f>
        <v>0.45859815051949049</v>
      </c>
      <c r="F38" s="2">
        <v>10119</v>
      </c>
      <c r="G38" s="2">
        <v>4.26</v>
      </c>
      <c r="H38" s="2">
        <v>4.9187971512950499</v>
      </c>
      <c r="I38" s="6">
        <f>(G38-H38)</f>
        <v>-0.65879715129505012</v>
      </c>
      <c r="K38" s="2">
        <v>10120</v>
      </c>
      <c r="L38" s="2">
        <v>1.19</v>
      </c>
      <c r="M38" s="2">
        <v>1.1339254537641099</v>
      </c>
      <c r="N38" s="6">
        <f>(L38-M38)</f>
        <v>5.6074546235890033E-2</v>
      </c>
      <c r="P38" s="2">
        <v>10119</v>
      </c>
      <c r="Q38" s="2">
        <v>5.26</v>
      </c>
      <c r="R38" s="2">
        <v>5.3614336813778296</v>
      </c>
      <c r="S38" s="6">
        <f>(Q38-R38)</f>
        <v>-0.10143368137782982</v>
      </c>
      <c r="U38" s="2">
        <v>10125</v>
      </c>
      <c r="V38" s="2">
        <v>1.68</v>
      </c>
      <c r="W38" s="2">
        <v>1.8938937186170499</v>
      </c>
      <c r="X38" s="6">
        <f t="shared" si="0"/>
        <v>-0.21389371861704998</v>
      </c>
    </row>
    <row r="39" spans="1:24" x14ac:dyDescent="0.25">
      <c r="A39" s="2">
        <v>10110</v>
      </c>
      <c r="B39" s="2">
        <v>7.1</v>
      </c>
      <c r="C39" s="2">
        <v>6.7244874821927603</v>
      </c>
      <c r="D39" s="6">
        <f>(B39-C39)</f>
        <v>0.37551251780723938</v>
      </c>
      <c r="F39" s="2">
        <v>10120</v>
      </c>
      <c r="G39" s="2">
        <v>4.3</v>
      </c>
      <c r="H39" s="2">
        <v>4.3651259291142397</v>
      </c>
      <c r="I39" s="6">
        <f>(G39-H39)</f>
        <v>-6.5125929114239867E-2</v>
      </c>
      <c r="K39" s="2">
        <v>10123</v>
      </c>
      <c r="L39" s="2">
        <v>1.95</v>
      </c>
      <c r="M39" s="2">
        <v>1.9368516205652699</v>
      </c>
      <c r="N39" s="6">
        <f>(L39-M39)</f>
        <v>1.3148379434730018E-2</v>
      </c>
      <c r="P39" s="2">
        <v>10120</v>
      </c>
      <c r="Q39" s="2">
        <v>4.7300000000000004</v>
      </c>
      <c r="R39" s="2">
        <v>5.1987246070383897</v>
      </c>
      <c r="S39" s="6">
        <f>(Q39-R39)</f>
        <v>-0.46872460703838925</v>
      </c>
      <c r="U39" s="2">
        <v>10127</v>
      </c>
      <c r="V39" s="2">
        <v>3.01</v>
      </c>
      <c r="W39" s="2">
        <v>2.93198104278017</v>
      </c>
      <c r="X39" s="6">
        <f t="shared" si="0"/>
        <v>7.8018957219829765E-2</v>
      </c>
    </row>
    <row r="40" spans="1:24" x14ac:dyDescent="0.25">
      <c r="A40" s="2">
        <v>10117</v>
      </c>
      <c r="B40" s="2">
        <v>8.1999999999999993</v>
      </c>
      <c r="C40" s="2">
        <v>8.7314529542815205</v>
      </c>
      <c r="D40" s="6">
        <f>(B40-C40)</f>
        <v>-0.53145295428152117</v>
      </c>
      <c r="F40" s="2">
        <v>10123</v>
      </c>
      <c r="G40" s="2">
        <v>4.7</v>
      </c>
      <c r="H40" s="2">
        <v>4.94685445838084</v>
      </c>
      <c r="I40" s="6">
        <f>(G40-H40)</f>
        <v>-0.24685445838083986</v>
      </c>
      <c r="K40" s="2">
        <v>10125</v>
      </c>
      <c r="L40" s="2">
        <v>1.96</v>
      </c>
      <c r="M40" s="2">
        <v>1.8494977972564599</v>
      </c>
      <c r="N40" s="6">
        <f>(L40-M40)</f>
        <v>0.11050220274354006</v>
      </c>
      <c r="P40" s="2">
        <v>10123</v>
      </c>
      <c r="Q40" s="2">
        <v>5.24</v>
      </c>
      <c r="R40" s="2">
        <v>5.1192788489238596</v>
      </c>
      <c r="S40" s="6">
        <f>(Q40-R40)</f>
        <v>0.12072115107614056</v>
      </c>
      <c r="U40" s="2">
        <v>10131</v>
      </c>
      <c r="V40" s="2">
        <v>2.2999999999999998</v>
      </c>
      <c r="W40" s="2">
        <v>2.3340422540882799</v>
      </c>
      <c r="X40" s="6">
        <f t="shared" si="0"/>
        <v>-3.4042254088280099E-2</v>
      </c>
    </row>
    <row r="41" spans="1:24" x14ac:dyDescent="0.25">
      <c r="A41" s="2">
        <v>10119</v>
      </c>
      <c r="B41" s="2">
        <v>6.6</v>
      </c>
      <c r="C41" s="2">
        <v>7.0762466688225798</v>
      </c>
      <c r="D41" s="6">
        <f>(B41-C41)</f>
        <v>-0.47624666882258015</v>
      </c>
      <c r="F41" s="2">
        <v>10125</v>
      </c>
      <c r="G41" s="2">
        <v>4.47</v>
      </c>
      <c r="H41" s="2">
        <v>4.4475689062506802</v>
      </c>
      <c r="I41" s="6">
        <f>(G41-H41)</f>
        <v>2.2431093749319508E-2</v>
      </c>
      <c r="K41" s="2">
        <v>10127</v>
      </c>
      <c r="L41" s="2">
        <v>2.11</v>
      </c>
      <c r="M41" s="2">
        <v>2.3375194045921899</v>
      </c>
      <c r="N41" s="6">
        <f>(L41-M41)</f>
        <v>-0.22751940459219</v>
      </c>
      <c r="P41" s="2">
        <v>10125</v>
      </c>
      <c r="Q41" s="2">
        <v>4.7300000000000004</v>
      </c>
      <c r="R41" s="2">
        <v>4.8624508866411302</v>
      </c>
      <c r="S41" s="6">
        <f>(Q41-R41)</f>
        <v>-0.13245088664112981</v>
      </c>
      <c r="U41" s="2">
        <v>10136</v>
      </c>
      <c r="V41" s="2">
        <v>2.27</v>
      </c>
      <c r="W41" s="2">
        <v>2.39177539522173</v>
      </c>
      <c r="X41" s="6">
        <f t="shared" si="0"/>
        <v>-0.12177539522172998</v>
      </c>
    </row>
    <row r="42" spans="1:24" x14ac:dyDescent="0.25">
      <c r="A42" s="2">
        <v>10120</v>
      </c>
      <c r="B42" s="2">
        <v>5.4</v>
      </c>
      <c r="C42" s="2">
        <v>5.9655988941783802</v>
      </c>
      <c r="D42" s="6">
        <f>(B42-C42)</f>
        <v>-0.56559889417837983</v>
      </c>
      <c r="F42" s="2">
        <v>10127</v>
      </c>
      <c r="G42" s="2">
        <v>5.81</v>
      </c>
      <c r="H42" s="2">
        <v>5.6521264512293401</v>
      </c>
      <c r="I42" s="6">
        <f>(G42-H42)</f>
        <v>0.15787354877065951</v>
      </c>
      <c r="K42" s="2">
        <v>10131</v>
      </c>
      <c r="L42" s="2">
        <v>1.1499999999999999</v>
      </c>
      <c r="M42" s="2">
        <v>1.32956627266936</v>
      </c>
      <c r="N42" s="6">
        <f>(L42-M42)</f>
        <v>-0.17956627266936009</v>
      </c>
      <c r="P42" s="2">
        <v>10127</v>
      </c>
      <c r="Q42" s="2">
        <v>5.54</v>
      </c>
      <c r="R42" s="2">
        <v>5.8744382827913899</v>
      </c>
      <c r="S42" s="6">
        <f>(Q42-R42)</f>
        <v>-0.33443828279138987</v>
      </c>
      <c r="U42" s="2">
        <v>10141</v>
      </c>
      <c r="V42" s="2">
        <v>2.16</v>
      </c>
      <c r="W42" s="2">
        <v>2.6431427860303498</v>
      </c>
      <c r="X42" s="6">
        <f t="shared" si="0"/>
        <v>-0.48314278603034966</v>
      </c>
    </row>
    <row r="43" spans="1:24" x14ac:dyDescent="0.25">
      <c r="A43" s="2">
        <v>10123</v>
      </c>
      <c r="B43" s="2">
        <v>9.1</v>
      </c>
      <c r="C43" s="2">
        <v>9.8842915562633795</v>
      </c>
      <c r="D43" s="6">
        <f>(B43-C43)</f>
        <v>-0.78429155626337987</v>
      </c>
      <c r="F43" s="2">
        <v>10131</v>
      </c>
      <c r="G43" s="2">
        <v>4.22</v>
      </c>
      <c r="H43" s="2">
        <v>4.1466211839353999</v>
      </c>
      <c r="I43" s="6">
        <f>(G43-H43)</f>
        <v>7.3378816064599839E-2</v>
      </c>
      <c r="K43" s="2">
        <v>10136</v>
      </c>
      <c r="L43" s="2">
        <v>1.75</v>
      </c>
      <c r="M43" s="2">
        <v>1.5380399429446501</v>
      </c>
      <c r="N43" s="6">
        <f>(L43-M43)</f>
        <v>0.21196005705534993</v>
      </c>
      <c r="P43" s="2">
        <v>10131</v>
      </c>
      <c r="Q43" s="2">
        <v>3.71</v>
      </c>
      <c r="R43" s="2">
        <v>5.0300101281424903</v>
      </c>
      <c r="S43" s="6">
        <f>(Q43-R43)</f>
        <v>-1.3200101281424903</v>
      </c>
      <c r="U43" s="2">
        <v>10301</v>
      </c>
      <c r="V43" s="2">
        <v>3.4</v>
      </c>
      <c r="W43" s="2">
        <v>3.31354693497974</v>
      </c>
      <c r="X43" s="6">
        <f t="shared" si="0"/>
        <v>8.6453065020259956E-2</v>
      </c>
    </row>
    <row r="44" spans="1:24" x14ac:dyDescent="0.25">
      <c r="A44" s="2">
        <v>10125</v>
      </c>
      <c r="B44" s="2">
        <v>8.5</v>
      </c>
      <c r="C44" s="2">
        <v>8.8948858177695609</v>
      </c>
      <c r="D44" s="6">
        <f>(B44-C44)</f>
        <v>-0.39488581776956089</v>
      </c>
      <c r="F44" s="2">
        <v>10136</v>
      </c>
      <c r="G44" s="2">
        <v>4.29</v>
      </c>
      <c r="H44" s="2">
        <v>4.5352422178956999</v>
      </c>
      <c r="I44" s="6">
        <f>(G44-H44)</f>
        <v>-0.24524221789569989</v>
      </c>
      <c r="K44" s="2">
        <v>10141</v>
      </c>
      <c r="L44" s="2">
        <v>1.43</v>
      </c>
      <c r="M44" s="2">
        <v>1.8859290011089</v>
      </c>
      <c r="N44" s="6">
        <f>(L44-M44)</f>
        <v>-0.45592900110890011</v>
      </c>
      <c r="P44" s="2">
        <v>10136</v>
      </c>
      <c r="Q44" s="2">
        <v>5.0199999999999996</v>
      </c>
      <c r="R44" s="2">
        <v>4.9427262977326603</v>
      </c>
      <c r="S44" s="6">
        <f>(Q44-R44)</f>
        <v>7.7273702267339317E-2</v>
      </c>
      <c r="U44" s="2">
        <v>10305</v>
      </c>
      <c r="V44" s="2">
        <v>1.69</v>
      </c>
      <c r="W44" s="2">
        <v>1.68713484205596</v>
      </c>
      <c r="X44" s="6">
        <f t="shared" si="0"/>
        <v>2.8651579440399644E-3</v>
      </c>
    </row>
    <row r="45" spans="1:24" x14ac:dyDescent="0.25">
      <c r="A45" s="2">
        <v>10127</v>
      </c>
      <c r="B45" s="2">
        <v>11.1</v>
      </c>
      <c r="C45" s="2">
        <v>10.6721700140764</v>
      </c>
      <c r="D45" s="6">
        <f>(B45-C45)</f>
        <v>0.42782998592359966</v>
      </c>
      <c r="F45" s="2">
        <v>10141</v>
      </c>
      <c r="G45" s="2">
        <v>4.51</v>
      </c>
      <c r="H45" s="2">
        <v>5.2076921189051797</v>
      </c>
      <c r="I45" s="6">
        <f>(G45-H45)</f>
        <v>-0.6976921189051799</v>
      </c>
      <c r="K45" s="2">
        <v>10301</v>
      </c>
      <c r="L45" s="2">
        <v>1.28</v>
      </c>
      <c r="M45" s="2">
        <v>1.3522671044840999</v>
      </c>
      <c r="N45" s="6">
        <f>(L45-M45)</f>
        <v>-7.2267104484099898E-2</v>
      </c>
      <c r="P45" s="2">
        <v>10141</v>
      </c>
      <c r="Q45" s="2">
        <v>4.75</v>
      </c>
      <c r="R45" s="2">
        <v>5.0421063559581896</v>
      </c>
      <c r="S45" s="6">
        <f>(Q45-R45)</f>
        <v>-0.29210635595818957</v>
      </c>
      <c r="U45" s="2">
        <v>10307</v>
      </c>
      <c r="V45" s="2">
        <v>2.42</v>
      </c>
      <c r="W45" s="2">
        <v>2.5435791237639398</v>
      </c>
      <c r="X45" s="6">
        <f t="shared" si="0"/>
        <v>-0.12357912376393987</v>
      </c>
    </row>
    <row r="46" spans="1:24" x14ac:dyDescent="0.25">
      <c r="A46" s="2">
        <v>10131</v>
      </c>
      <c r="B46" s="2">
        <v>5.0999999999999996</v>
      </c>
      <c r="C46" s="2">
        <v>5.9518942207092804</v>
      </c>
      <c r="D46" s="6">
        <f>(B46-C46)</f>
        <v>-0.85189422070928078</v>
      </c>
      <c r="F46" s="2">
        <v>10301</v>
      </c>
      <c r="G46" s="2">
        <v>5.14</v>
      </c>
      <c r="H46" s="2">
        <v>4.8292133810043403</v>
      </c>
      <c r="I46" s="6">
        <f>(G46-H46)</f>
        <v>0.3107866189956594</v>
      </c>
      <c r="K46" s="2">
        <v>10305</v>
      </c>
      <c r="L46" s="2">
        <v>0.49</v>
      </c>
      <c r="M46" s="2">
        <v>0.50725163661225903</v>
      </c>
      <c r="N46" s="6">
        <f>(L46-M46)</f>
        <v>-1.7251636612259036E-2</v>
      </c>
      <c r="P46" s="2">
        <v>10301</v>
      </c>
      <c r="Q46" s="2">
        <v>5.62</v>
      </c>
      <c r="R46" s="2">
        <v>4.4925441101543599</v>
      </c>
      <c r="S46" s="6">
        <f>(Q46-R46)</f>
        <v>1.1274558898456402</v>
      </c>
      <c r="U46" s="2">
        <v>10309</v>
      </c>
      <c r="V46" s="2">
        <v>3.04</v>
      </c>
      <c r="W46" s="2">
        <v>2.8713011233643599</v>
      </c>
      <c r="X46" s="6">
        <f t="shared" si="0"/>
        <v>0.16869887663564009</v>
      </c>
    </row>
    <row r="47" spans="1:24" x14ac:dyDescent="0.25">
      <c r="A47" s="2">
        <v>10136</v>
      </c>
      <c r="B47" s="2">
        <v>6</v>
      </c>
      <c r="C47" s="2">
        <v>6.2663347948816801</v>
      </c>
      <c r="D47" s="6">
        <f>(B47-C47)</f>
        <v>-0.2663347948816801</v>
      </c>
      <c r="F47" s="2">
        <v>10305</v>
      </c>
      <c r="G47" s="2">
        <v>2.96</v>
      </c>
      <c r="H47" s="2">
        <v>2.8900540040055902</v>
      </c>
      <c r="I47" s="6">
        <f>(G47-H47)</f>
        <v>6.994599599440976E-2</v>
      </c>
      <c r="K47" s="2">
        <v>10307</v>
      </c>
      <c r="L47" s="2">
        <v>2.0099999999999998</v>
      </c>
      <c r="M47" s="2">
        <v>2.01835525710875</v>
      </c>
      <c r="N47" s="6">
        <f>(L47-M47)</f>
        <v>-8.3552571087501804E-3</v>
      </c>
      <c r="P47" s="2">
        <v>10312</v>
      </c>
      <c r="Q47" s="2">
        <v>5.61</v>
      </c>
      <c r="R47" s="2">
        <v>5.2403837995032898</v>
      </c>
      <c r="S47" s="6">
        <f>(Q47-R47)</f>
        <v>0.36961620049671051</v>
      </c>
      <c r="U47" s="2">
        <v>10311</v>
      </c>
      <c r="V47" s="2">
        <v>4.04</v>
      </c>
      <c r="W47" s="2">
        <v>3.60844891969899</v>
      </c>
      <c r="X47" s="6">
        <f t="shared" si="0"/>
        <v>0.43155108030101008</v>
      </c>
    </row>
    <row r="48" spans="1:24" x14ac:dyDescent="0.25">
      <c r="A48" s="2">
        <v>10141</v>
      </c>
      <c r="B48" s="2">
        <v>7.1</v>
      </c>
      <c r="C48" s="2">
        <v>7.9464928649642301</v>
      </c>
      <c r="D48" s="6">
        <f>(B48-C48)</f>
        <v>-0.84649286496423048</v>
      </c>
      <c r="F48" s="2">
        <v>10307</v>
      </c>
      <c r="G48" s="2">
        <v>5.77</v>
      </c>
      <c r="H48" s="2">
        <v>5.7388010324526499</v>
      </c>
      <c r="I48" s="6">
        <f>(G48-H48)</f>
        <v>3.1198967547349632E-2</v>
      </c>
      <c r="K48" s="2">
        <v>10309</v>
      </c>
      <c r="L48" s="2">
        <v>2.4</v>
      </c>
      <c r="M48" s="2">
        <v>2.2185032767071098</v>
      </c>
      <c r="N48" s="6">
        <f>(L48-M48)</f>
        <v>0.18149672329289013</v>
      </c>
      <c r="P48" s="2">
        <v>10313</v>
      </c>
      <c r="Q48" s="2">
        <v>6.14</v>
      </c>
      <c r="R48" s="2">
        <v>6.4028883628650499</v>
      </c>
      <c r="S48" s="6">
        <f>(Q48-R48)</f>
        <v>-0.26288836286505024</v>
      </c>
      <c r="U48" s="2">
        <v>10312</v>
      </c>
      <c r="V48" s="2">
        <v>1.95</v>
      </c>
      <c r="W48" s="2">
        <v>2.1787913167299702</v>
      </c>
      <c r="X48" s="6">
        <f t="shared" si="0"/>
        <v>-0.22879131672997022</v>
      </c>
    </row>
    <row r="49" spans="1:24" x14ac:dyDescent="0.25">
      <c r="A49" s="2">
        <v>10301</v>
      </c>
      <c r="B49" s="2">
        <v>4</v>
      </c>
      <c r="C49" s="2">
        <v>3.2908844531273602</v>
      </c>
      <c r="D49" s="6">
        <f>(B49-C49)</f>
        <v>0.70911554687263978</v>
      </c>
      <c r="F49" s="2">
        <v>10309</v>
      </c>
      <c r="G49" s="2">
        <v>5.0999999999999996</v>
      </c>
      <c r="H49" s="2">
        <v>4.8318958881051897</v>
      </c>
      <c r="I49" s="6">
        <f>(G49-H49)</f>
        <v>0.26810411189480998</v>
      </c>
      <c r="K49" s="2">
        <v>10311</v>
      </c>
      <c r="L49" s="2">
        <v>1.1100000000000001</v>
      </c>
      <c r="M49" s="2">
        <v>1.4576882016133199</v>
      </c>
      <c r="N49" s="6">
        <f>(L49-M49)</f>
        <v>-0.34768820161331981</v>
      </c>
      <c r="P49" s="2">
        <v>3</v>
      </c>
      <c r="Q49" s="2">
        <v>5.81</v>
      </c>
      <c r="R49" s="2">
        <v>5.4234437287485902</v>
      </c>
      <c r="S49" s="6">
        <f>(Q49-R49)</f>
        <v>0.38655627125140946</v>
      </c>
      <c r="U49" s="2">
        <v>10313</v>
      </c>
      <c r="V49" s="2">
        <v>4.2300000000000004</v>
      </c>
      <c r="W49" s="2">
        <v>3.8653311191246602</v>
      </c>
      <c r="X49" s="6">
        <f t="shared" si="0"/>
        <v>0.36466888087534022</v>
      </c>
    </row>
    <row r="50" spans="1:24" x14ac:dyDescent="0.25">
      <c r="A50" s="2">
        <v>10305</v>
      </c>
      <c r="B50" s="2">
        <v>1.7</v>
      </c>
      <c r="C50" s="2">
        <v>2.6305606287371002</v>
      </c>
      <c r="D50" s="6">
        <f>(B50-C50)</f>
        <v>-0.93056062873710021</v>
      </c>
      <c r="F50" s="2">
        <v>10311</v>
      </c>
      <c r="G50" s="2">
        <v>7.42</v>
      </c>
      <c r="H50" s="2">
        <v>6.1565677493720097</v>
      </c>
      <c r="I50" s="6">
        <f>(G50-H50)</f>
        <v>1.2634322506279902</v>
      </c>
      <c r="K50" s="2">
        <v>10312</v>
      </c>
      <c r="L50" s="2">
        <v>1.75</v>
      </c>
      <c r="M50" s="2">
        <v>1.92428955370112</v>
      </c>
      <c r="N50" s="6">
        <f>(L50-M50)</f>
        <v>-0.17428955370111998</v>
      </c>
      <c r="P50" s="2">
        <v>5</v>
      </c>
      <c r="Q50" s="2">
        <v>5.2</v>
      </c>
      <c r="R50" s="2">
        <v>4.5403679684505702</v>
      </c>
      <c r="S50" s="6">
        <f>(Q50-R50)</f>
        <v>0.65963203154942995</v>
      </c>
      <c r="U50" s="2">
        <v>3</v>
      </c>
      <c r="V50" s="2">
        <v>2.2400000000000002</v>
      </c>
      <c r="W50" s="2">
        <v>2.3825585207328301</v>
      </c>
      <c r="X50" s="6">
        <f t="shared" si="0"/>
        <v>-0.14255852073282993</v>
      </c>
    </row>
    <row r="51" spans="1:24" x14ac:dyDescent="0.25">
      <c r="A51" s="2">
        <v>10307</v>
      </c>
      <c r="B51" s="2">
        <v>11.5</v>
      </c>
      <c r="C51" s="2">
        <v>11.2766524133809</v>
      </c>
      <c r="D51" s="6">
        <f>(B51-C51)</f>
        <v>0.22334758661910037</v>
      </c>
      <c r="F51" s="2">
        <v>10312</v>
      </c>
      <c r="G51" s="2">
        <v>3.7900542119999998</v>
      </c>
      <c r="H51" s="2">
        <v>4.6362493457096798</v>
      </c>
      <c r="I51" s="6">
        <f>(G51-H51)</f>
        <v>-0.84619513370968003</v>
      </c>
      <c r="K51" s="2">
        <v>10313</v>
      </c>
      <c r="L51" s="2">
        <v>2.37</v>
      </c>
      <c r="M51" s="2">
        <v>2.3061096580503202</v>
      </c>
      <c r="N51" s="6">
        <f>(L51-M51)</f>
        <v>6.3890341949679907E-2</v>
      </c>
      <c r="P51" s="2">
        <v>7</v>
      </c>
      <c r="Q51" s="2">
        <v>6.44</v>
      </c>
      <c r="R51" s="2">
        <v>5.1017878089130004</v>
      </c>
      <c r="S51" s="6">
        <f>(Q51-R51)</f>
        <v>1.338212191087</v>
      </c>
      <c r="U51" s="2">
        <v>5</v>
      </c>
      <c r="V51" s="2">
        <v>2.14</v>
      </c>
      <c r="W51" s="2">
        <v>2.0886803148022501</v>
      </c>
      <c r="X51" s="6">
        <f t="shared" si="0"/>
        <v>5.1319685197749987E-2</v>
      </c>
    </row>
    <row r="52" spans="1:24" x14ac:dyDescent="0.25">
      <c r="A52" s="2">
        <v>10309</v>
      </c>
      <c r="B52" s="2">
        <v>7</v>
      </c>
      <c r="C52" s="2">
        <v>6.7978252091295204</v>
      </c>
      <c r="D52" s="6">
        <f>(B52-C52)</f>
        <v>0.20217479087047963</v>
      </c>
      <c r="F52" s="2">
        <v>10313</v>
      </c>
      <c r="G52" s="2">
        <v>7.05</v>
      </c>
      <c r="H52" s="2">
        <v>6.0519327023030396</v>
      </c>
      <c r="I52" s="6">
        <f>(G52-H52)</f>
        <v>0.99806729769696023</v>
      </c>
      <c r="K52" s="2">
        <v>3</v>
      </c>
      <c r="L52" s="2">
        <v>1.56</v>
      </c>
      <c r="M52" s="2">
        <v>1.9232562969054801</v>
      </c>
      <c r="N52" s="6">
        <f>(L52-M52)</f>
        <v>-0.36325629690548</v>
      </c>
      <c r="P52" s="2">
        <v>10</v>
      </c>
      <c r="Q52" s="2">
        <v>5.46</v>
      </c>
      <c r="R52" s="2">
        <v>5.62099042983363</v>
      </c>
      <c r="S52" s="6">
        <f>(Q52-R52)</f>
        <v>-0.16099042983362999</v>
      </c>
      <c r="U52" s="2">
        <v>7</v>
      </c>
      <c r="V52" s="2">
        <v>2.74</v>
      </c>
      <c r="W52" s="2">
        <v>2.4854429876153898</v>
      </c>
      <c r="X52" s="6">
        <f t="shared" si="0"/>
        <v>0.25455701238461037</v>
      </c>
    </row>
    <row r="53" spans="1:24" x14ac:dyDescent="0.25">
      <c r="A53" s="2">
        <v>10311</v>
      </c>
      <c r="B53" s="2">
        <v>7.6</v>
      </c>
      <c r="C53" s="2">
        <v>8.3009485919663106</v>
      </c>
      <c r="D53" s="6">
        <f>(B53-C53)</f>
        <v>-0.70094859196631099</v>
      </c>
      <c r="F53" s="2">
        <v>3</v>
      </c>
      <c r="G53" s="2">
        <v>4.03</v>
      </c>
      <c r="H53" s="2">
        <v>4.48046373477173</v>
      </c>
      <c r="I53" s="6">
        <f>(G53-H53)</f>
        <v>-0.45046373477172974</v>
      </c>
      <c r="K53" s="2">
        <v>5</v>
      </c>
      <c r="L53" s="2">
        <v>1.1599999999999999</v>
      </c>
      <c r="M53" s="2">
        <v>1.11793122689744</v>
      </c>
      <c r="N53" s="6">
        <f>(L53-M53)</f>
        <v>4.2068773102559964E-2</v>
      </c>
      <c r="P53" s="2">
        <v>1116</v>
      </c>
      <c r="Q53" s="2">
        <v>5.57</v>
      </c>
      <c r="R53" s="2">
        <v>5.0084494622427398</v>
      </c>
      <c r="S53" s="6">
        <f>(Q53-R53)</f>
        <v>0.56155053775726049</v>
      </c>
      <c r="U53" s="2">
        <v>10</v>
      </c>
      <c r="V53" s="2">
        <v>3.45</v>
      </c>
      <c r="W53" s="2">
        <v>3.0902502971522501</v>
      </c>
      <c r="X53" s="6">
        <f t="shared" si="0"/>
        <v>0.3597497028477501</v>
      </c>
    </row>
    <row r="54" spans="1:24" x14ac:dyDescent="0.25">
      <c r="A54" s="2">
        <v>10312</v>
      </c>
      <c r="B54" s="2">
        <v>8.9</v>
      </c>
      <c r="C54" s="2">
        <v>8.8179121147028603</v>
      </c>
      <c r="D54" s="6">
        <f>(B54-C54)</f>
        <v>8.2087885297140062E-2</v>
      </c>
      <c r="F54" s="2">
        <v>5</v>
      </c>
      <c r="G54" s="2">
        <v>4.0049140019999996</v>
      </c>
      <c r="H54" s="2">
        <v>3.8818320287674299</v>
      </c>
      <c r="I54" s="6">
        <f>(G54-H54)</f>
        <v>0.12308197323256964</v>
      </c>
      <c r="K54" s="2">
        <v>7</v>
      </c>
      <c r="L54" s="2">
        <v>1.9</v>
      </c>
      <c r="M54" s="2">
        <v>1.7457267038955999</v>
      </c>
      <c r="N54" s="6">
        <f>(L54-M54)</f>
        <v>0.15427329610439999</v>
      </c>
      <c r="P54" s="2">
        <v>1117</v>
      </c>
      <c r="Q54" s="2">
        <v>6.21</v>
      </c>
      <c r="R54" s="2">
        <v>6.3498128966268501</v>
      </c>
      <c r="S54" s="6">
        <f>(Q54-R54)</f>
        <v>-0.13981289662685015</v>
      </c>
      <c r="U54" s="2">
        <v>11</v>
      </c>
      <c r="V54" s="2">
        <v>2.75</v>
      </c>
      <c r="W54" s="2">
        <v>2.8801880504300099</v>
      </c>
      <c r="X54" s="6">
        <f t="shared" si="0"/>
        <v>-0.13018805043000992</v>
      </c>
    </row>
    <row r="55" spans="1:24" x14ac:dyDescent="0.25">
      <c r="A55" s="2">
        <v>10313</v>
      </c>
      <c r="B55" s="2">
        <v>8.8000000000000007</v>
      </c>
      <c r="C55" s="2">
        <v>8.6005364875850603</v>
      </c>
      <c r="D55" s="6">
        <f>(B55-C55)</f>
        <v>0.19946351241494042</v>
      </c>
      <c r="F55" s="2">
        <v>7</v>
      </c>
      <c r="G55" s="2">
        <v>4.5199999999999996</v>
      </c>
      <c r="H55" s="2">
        <v>4.1144038408555401</v>
      </c>
      <c r="I55" s="6">
        <f>(G55-H55)</f>
        <v>0.40559615914445946</v>
      </c>
      <c r="K55" s="2">
        <v>10</v>
      </c>
      <c r="L55" s="2">
        <v>2.68</v>
      </c>
      <c r="M55" s="2">
        <v>2.1737398723492301</v>
      </c>
      <c r="N55" s="6">
        <f>(L55-M55)</f>
        <v>0.50626012765077011</v>
      </c>
      <c r="P55" s="2">
        <v>1119</v>
      </c>
      <c r="Q55" s="2">
        <v>6.2</v>
      </c>
      <c r="R55" s="2">
        <v>5.52540751540604</v>
      </c>
      <c r="S55" s="6">
        <f>(Q55-R55)</f>
        <v>0.67459248459396015</v>
      </c>
      <c r="U55" s="2">
        <v>15</v>
      </c>
      <c r="V55" s="2">
        <v>2.4700000000000002</v>
      </c>
      <c r="W55" s="2">
        <v>2.2800166933902499</v>
      </c>
      <c r="X55" s="6">
        <f t="shared" si="0"/>
        <v>0.18998330660975027</v>
      </c>
    </row>
    <row r="56" spans="1:24" x14ac:dyDescent="0.25">
      <c r="A56" s="2">
        <v>3</v>
      </c>
      <c r="B56" s="2">
        <v>7.51</v>
      </c>
      <c r="C56" s="2">
        <v>8.5600142693069703</v>
      </c>
      <c r="D56" s="6">
        <f>(B56-C56)</f>
        <v>-1.0500142693069705</v>
      </c>
      <c r="F56" s="2">
        <v>10</v>
      </c>
      <c r="G56" s="2">
        <v>5.31</v>
      </c>
      <c r="H56" s="2">
        <v>5.02090397724296</v>
      </c>
      <c r="I56" s="6">
        <f>(G56-H56)</f>
        <v>0.28909602275703961</v>
      </c>
      <c r="K56" s="2">
        <v>11</v>
      </c>
      <c r="L56" s="2">
        <v>2.52</v>
      </c>
      <c r="M56" s="2">
        <v>2.4775025381411702</v>
      </c>
      <c r="N56" s="6">
        <f>(L56-M56)</f>
        <v>4.2497461858829855E-2</v>
      </c>
      <c r="P56" s="2">
        <v>1120</v>
      </c>
      <c r="Q56" s="2">
        <v>5.36</v>
      </c>
      <c r="R56" s="2">
        <v>6.2184192600206201</v>
      </c>
      <c r="S56" s="6">
        <f>(Q56-R56)</f>
        <v>-0.85841926002061975</v>
      </c>
      <c r="U56" s="2">
        <v>1116</v>
      </c>
      <c r="V56" s="2">
        <v>2.35</v>
      </c>
      <c r="W56" s="2">
        <v>2.3290315901952998</v>
      </c>
      <c r="X56" s="6">
        <f t="shared" si="0"/>
        <v>2.0968409804700272E-2</v>
      </c>
    </row>
    <row r="57" spans="1:24" x14ac:dyDescent="0.25">
      <c r="A57" s="2">
        <v>5</v>
      </c>
      <c r="B57" s="2">
        <v>4.05</v>
      </c>
      <c r="C57" s="2">
        <v>4.4163141942759703</v>
      </c>
      <c r="D57" s="6">
        <f>(B57-C57)</f>
        <v>-0.36631419427597045</v>
      </c>
      <c r="F57" s="2">
        <v>11</v>
      </c>
      <c r="G57" s="2">
        <v>5.01</v>
      </c>
      <c r="H57" s="2">
        <v>5.1008103858106697</v>
      </c>
      <c r="I57" s="6">
        <f>(G57-H57)</f>
        <v>-9.0810385810669914E-2</v>
      </c>
      <c r="K57" s="2">
        <v>1116</v>
      </c>
      <c r="L57" s="2">
        <v>2.11</v>
      </c>
      <c r="M57" s="2">
        <v>1.6263807062811999</v>
      </c>
      <c r="N57" s="6">
        <f>(L57-M57)</f>
        <v>0.48361929371879997</v>
      </c>
      <c r="P57" s="2">
        <v>1121</v>
      </c>
      <c r="Q57" s="2">
        <v>8.7899999999999991</v>
      </c>
      <c r="R57" s="2">
        <v>8.1813534270645505</v>
      </c>
      <c r="S57" s="6">
        <f>(Q57-R57)</f>
        <v>0.60864657293544866</v>
      </c>
      <c r="U57" s="2">
        <v>1117</v>
      </c>
      <c r="V57" s="2">
        <v>2.86</v>
      </c>
      <c r="W57" s="2">
        <v>3.6419946001499799</v>
      </c>
      <c r="X57" s="6">
        <f t="shared" si="0"/>
        <v>-0.78199460014998001</v>
      </c>
    </row>
    <row r="58" spans="1:24" x14ac:dyDescent="0.25">
      <c r="A58" s="2">
        <v>7</v>
      </c>
      <c r="B58" s="2">
        <v>5.65</v>
      </c>
      <c r="C58" s="2">
        <v>6.01234064005404</v>
      </c>
      <c r="D58" s="6">
        <f>(B58-C58)</f>
        <v>-0.36234064005403965</v>
      </c>
      <c r="F58" s="2">
        <v>15</v>
      </c>
      <c r="G58" s="2">
        <v>4.58</v>
      </c>
      <c r="H58" s="2">
        <v>4.1143786451616799</v>
      </c>
      <c r="I58" s="6">
        <f>(G58-H58)</f>
        <v>0.46562135483832012</v>
      </c>
      <c r="K58" s="2">
        <v>1117</v>
      </c>
      <c r="L58" s="2">
        <v>2.2999999999999998</v>
      </c>
      <c r="M58" s="2">
        <v>2.3567243069641299</v>
      </c>
      <c r="N58" s="6">
        <f>(L58-M58)</f>
        <v>-5.6724306964130111E-2</v>
      </c>
      <c r="P58" s="2">
        <v>1123</v>
      </c>
      <c r="Q58" s="2">
        <v>4.3899999999999997</v>
      </c>
      <c r="R58" s="2">
        <v>4.8342248958446596</v>
      </c>
      <c r="S58" s="6">
        <f>(Q58-R58)</f>
        <v>-0.44422489584465996</v>
      </c>
      <c r="U58" s="2">
        <v>1119</v>
      </c>
      <c r="V58" s="2">
        <v>2.67</v>
      </c>
      <c r="W58" s="2">
        <v>3.2485875935970299</v>
      </c>
      <c r="X58" s="6">
        <f t="shared" si="0"/>
        <v>-0.57858759359702994</v>
      </c>
    </row>
    <row r="59" spans="1:24" x14ac:dyDescent="0.25">
      <c r="A59" s="2">
        <v>10</v>
      </c>
      <c r="B59" s="2">
        <v>7.42</v>
      </c>
      <c r="C59" s="2">
        <v>7.4810512876651503</v>
      </c>
      <c r="D59" s="6">
        <f>(B59-C59)</f>
        <v>-6.1051287665150333E-2</v>
      </c>
      <c r="F59" s="2">
        <v>1116</v>
      </c>
      <c r="G59" s="2">
        <v>3.73</v>
      </c>
      <c r="H59" s="2">
        <v>4.1740275379416998</v>
      </c>
      <c r="I59" s="6">
        <f>(G59-H59)</f>
        <v>-0.4440275379416998</v>
      </c>
      <c r="K59" s="2">
        <v>1119</v>
      </c>
      <c r="L59" s="2">
        <v>1.51</v>
      </c>
      <c r="M59" s="2">
        <v>1.7180289141810401</v>
      </c>
      <c r="N59" s="6">
        <f>(L59-M59)</f>
        <v>-0.20802891418104008</v>
      </c>
      <c r="P59" s="2">
        <v>1124</v>
      </c>
      <c r="Q59" s="2">
        <v>5.57</v>
      </c>
      <c r="R59" s="2">
        <v>5.6447066048677499</v>
      </c>
      <c r="S59" s="6">
        <f>(Q59-R59)</f>
        <v>-7.4706604867749604E-2</v>
      </c>
      <c r="U59" s="2">
        <v>1121</v>
      </c>
      <c r="V59" s="2">
        <v>5.39</v>
      </c>
      <c r="W59" s="2">
        <v>5.0539951584362104</v>
      </c>
      <c r="X59" s="6">
        <f t="shared" si="0"/>
        <v>0.33600484156378929</v>
      </c>
    </row>
    <row r="60" spans="1:24" x14ac:dyDescent="0.25">
      <c r="A60" s="2">
        <v>11</v>
      </c>
      <c r="B60" s="2">
        <v>8.02</v>
      </c>
      <c r="C60" s="2">
        <v>9.01743866903543</v>
      </c>
      <c r="D60" s="6">
        <f>(B60-C60)</f>
        <v>-0.99743866903543044</v>
      </c>
      <c r="F60" s="2">
        <v>1117</v>
      </c>
      <c r="G60" s="2">
        <v>4.8191195240000004</v>
      </c>
      <c r="H60" s="2">
        <v>6.5554006828840796</v>
      </c>
      <c r="I60" s="6">
        <f>(G60-H60)</f>
        <v>-1.7362811588840792</v>
      </c>
      <c r="K60" s="2">
        <v>1120</v>
      </c>
      <c r="L60" s="2">
        <v>1.84</v>
      </c>
      <c r="M60" s="2">
        <v>2.14381625434768</v>
      </c>
      <c r="N60" s="6">
        <f>(L60-M60)</f>
        <v>-0.30381625434767989</v>
      </c>
      <c r="P60" s="2">
        <v>1130</v>
      </c>
      <c r="Q60" s="2">
        <v>6.79</v>
      </c>
      <c r="R60" s="2">
        <v>6.2216150090625</v>
      </c>
      <c r="S60" s="6">
        <f>(Q60-R60)</f>
        <v>0.56838499093750006</v>
      </c>
      <c r="U60" s="2">
        <v>1123</v>
      </c>
      <c r="V60" s="2">
        <v>2.73</v>
      </c>
      <c r="W60" s="2">
        <v>2.7166375938988101</v>
      </c>
      <c r="X60" s="6">
        <f t="shared" si="0"/>
        <v>1.3362406101189883E-2</v>
      </c>
    </row>
    <row r="61" spans="1:24" x14ac:dyDescent="0.25">
      <c r="A61" s="2">
        <v>15</v>
      </c>
      <c r="B61" s="2">
        <v>7.3</v>
      </c>
      <c r="C61" s="2">
        <v>6.2726024458211196</v>
      </c>
      <c r="D61" s="6">
        <f>(B61-C61)</f>
        <v>1.0273975541788802</v>
      </c>
      <c r="F61" s="2">
        <v>1119</v>
      </c>
      <c r="G61" s="2">
        <v>4.8899999999999997</v>
      </c>
      <c r="H61" s="2">
        <v>4.9946299419694196</v>
      </c>
      <c r="I61" s="6">
        <f>(G61-H61)</f>
        <v>-0.10462994196941988</v>
      </c>
      <c r="K61" s="2">
        <v>1123</v>
      </c>
      <c r="L61" s="2">
        <v>1.57</v>
      </c>
      <c r="M61" s="2">
        <v>1.51681042291602</v>
      </c>
      <c r="N61" s="6">
        <f>(L61-M61)</f>
        <v>5.3189577083980089E-2</v>
      </c>
      <c r="P61" s="2">
        <v>1132</v>
      </c>
      <c r="Q61" s="2">
        <v>3.92</v>
      </c>
      <c r="R61" s="2">
        <v>4.9958067831491597</v>
      </c>
      <c r="S61" s="6">
        <f>(Q61-R61)</f>
        <v>-1.0758067831491598</v>
      </c>
      <c r="U61" s="2">
        <v>1124</v>
      </c>
      <c r="V61" s="2">
        <v>2.52</v>
      </c>
      <c r="W61" s="2">
        <v>3.2627137143036702</v>
      </c>
      <c r="X61" s="6">
        <f t="shared" si="0"/>
        <v>-0.74271371430367017</v>
      </c>
    </row>
    <row r="62" spans="1:24" x14ac:dyDescent="0.25">
      <c r="A62" s="2">
        <v>1116</v>
      </c>
      <c r="B62" s="2">
        <v>7.5</v>
      </c>
      <c r="C62" s="2">
        <v>6.3861411606036302</v>
      </c>
      <c r="D62" s="6">
        <f>(B62-C62)</f>
        <v>1.1138588393963698</v>
      </c>
      <c r="F62" s="2">
        <v>1120</v>
      </c>
      <c r="G62" s="2">
        <v>4.6500000000000004</v>
      </c>
      <c r="H62" s="2">
        <v>6.2936680013423603</v>
      </c>
      <c r="I62" s="6">
        <f>(G62-H62)</f>
        <v>-1.6436680013423599</v>
      </c>
      <c r="K62" s="2">
        <v>1124</v>
      </c>
      <c r="L62" s="2">
        <v>1.7</v>
      </c>
      <c r="M62" s="2">
        <v>1.8677673989430601</v>
      </c>
      <c r="N62" s="6">
        <f>(L62-M62)</f>
        <v>-0.16776739894306014</v>
      </c>
      <c r="P62" s="2">
        <v>1133</v>
      </c>
      <c r="Q62" s="2">
        <v>6.58</v>
      </c>
      <c r="R62" s="2">
        <v>5.7617219156153299</v>
      </c>
      <c r="S62" s="6">
        <f>(Q62-R62)</f>
        <v>0.8182780843846702</v>
      </c>
      <c r="U62" s="2">
        <v>1130</v>
      </c>
      <c r="V62" s="2">
        <v>3.11</v>
      </c>
      <c r="W62" s="2">
        <v>3.1105472575729198</v>
      </c>
      <c r="X62" s="6">
        <f t="shared" si="0"/>
        <v>-5.4725757291995691E-4</v>
      </c>
    </row>
    <row r="63" spans="1:24" x14ac:dyDescent="0.25">
      <c r="A63" s="2">
        <v>1117</v>
      </c>
      <c r="B63" s="2">
        <v>8.8000000000000007</v>
      </c>
      <c r="C63" s="2">
        <v>10.099799875074799</v>
      </c>
      <c r="D63" s="6">
        <f>(B63-C63)</f>
        <v>-1.2997998750747985</v>
      </c>
      <c r="F63" s="2">
        <v>1121</v>
      </c>
      <c r="G63" s="2">
        <v>8.66</v>
      </c>
      <c r="H63" s="2">
        <v>7.9312406764283896</v>
      </c>
      <c r="I63" s="6">
        <f>(G63-H63)</f>
        <v>0.72875932357161055</v>
      </c>
      <c r="K63" s="2">
        <v>1130</v>
      </c>
      <c r="L63" s="2">
        <v>2.81</v>
      </c>
      <c r="M63" s="2">
        <v>2.6400839707816899</v>
      </c>
      <c r="N63" s="6">
        <f>(L63-M63)</f>
        <v>0.16991602921831017</v>
      </c>
      <c r="P63" s="2">
        <v>1134</v>
      </c>
      <c r="Q63" s="2">
        <v>5.64</v>
      </c>
      <c r="R63" s="2">
        <v>6.5252982104998196</v>
      </c>
      <c r="S63" s="6">
        <f>(Q63-R63)</f>
        <v>-0.88529821049981994</v>
      </c>
      <c r="U63" s="2">
        <v>1132</v>
      </c>
      <c r="V63" s="2">
        <v>2.84</v>
      </c>
      <c r="W63" s="2">
        <v>2.7930444144105002</v>
      </c>
      <c r="X63" s="6">
        <f t="shared" si="0"/>
        <v>4.6955585589499638E-2</v>
      </c>
    </row>
    <row r="64" spans="1:24" x14ac:dyDescent="0.25">
      <c r="A64" s="2">
        <v>1119</v>
      </c>
      <c r="B64" s="2">
        <v>6.9</v>
      </c>
      <c r="C64" s="2">
        <v>7.4612208730480498</v>
      </c>
      <c r="D64" s="6">
        <f>(B64-C64)</f>
        <v>-0.56122087304804946</v>
      </c>
      <c r="F64" s="2">
        <v>1123</v>
      </c>
      <c r="G64" s="2">
        <v>3.41</v>
      </c>
      <c r="H64" s="2">
        <v>3.48553499665746</v>
      </c>
      <c r="I64" s="6">
        <f>(G64-H64)</f>
        <v>-7.5534996657459885E-2</v>
      </c>
      <c r="K64" s="2">
        <v>1132</v>
      </c>
      <c r="L64" s="2">
        <v>1.35</v>
      </c>
      <c r="M64" s="2">
        <v>1.32423050412249</v>
      </c>
      <c r="N64" s="6">
        <f>(L64-M64)</f>
        <v>2.5769495877510096E-2</v>
      </c>
      <c r="P64" s="2">
        <v>1138</v>
      </c>
      <c r="Q64" s="2">
        <v>6.26</v>
      </c>
      <c r="R64" s="2">
        <v>5.3235496024574296</v>
      </c>
      <c r="S64" s="6">
        <f>(Q64-R64)</f>
        <v>0.9364503975425702</v>
      </c>
      <c r="U64" s="2">
        <v>1133</v>
      </c>
      <c r="V64" s="2">
        <v>2.68</v>
      </c>
      <c r="W64" s="2">
        <v>2.7648763877454399</v>
      </c>
      <c r="X64" s="6">
        <f t="shared" si="0"/>
        <v>-8.4876387745439708E-2</v>
      </c>
    </row>
    <row r="65" spans="1:24" x14ac:dyDescent="0.25">
      <c r="A65" s="2">
        <v>1120</v>
      </c>
      <c r="B65" s="2">
        <v>9.6</v>
      </c>
      <c r="C65" s="2">
        <v>9.6555539708063591</v>
      </c>
      <c r="D65" s="6">
        <f>(B65-C65)</f>
        <v>-5.5553970806359487E-2</v>
      </c>
      <c r="F65" s="2">
        <v>1124</v>
      </c>
      <c r="G65" s="2">
        <v>4.07</v>
      </c>
      <c r="H65" s="2">
        <v>5.2365565150005899</v>
      </c>
      <c r="I65" s="6">
        <f>(G65-H65)</f>
        <v>-1.1665565150005897</v>
      </c>
      <c r="K65" s="2">
        <v>1133</v>
      </c>
      <c r="L65" s="2">
        <v>1.55</v>
      </c>
      <c r="M65" s="2">
        <v>1.8724249086033</v>
      </c>
      <c r="N65" s="6">
        <f>(L65-M65)</f>
        <v>-0.32242490860329998</v>
      </c>
      <c r="P65" s="2">
        <v>1139</v>
      </c>
      <c r="Q65" s="2">
        <v>6.89</v>
      </c>
      <c r="R65" s="2">
        <v>6.7563395828620001</v>
      </c>
      <c r="S65" s="6">
        <f>(Q65-R65)</f>
        <v>0.13366041713799959</v>
      </c>
      <c r="U65" s="2">
        <v>1134</v>
      </c>
      <c r="V65" s="2">
        <v>3.56</v>
      </c>
      <c r="W65" s="2">
        <v>3.54243276351708</v>
      </c>
      <c r="X65" s="6">
        <f t="shared" si="0"/>
        <v>1.7567236482920023E-2</v>
      </c>
    </row>
    <row r="66" spans="1:24" x14ac:dyDescent="0.25">
      <c r="A66" s="2">
        <v>1121</v>
      </c>
      <c r="B66" s="2">
        <v>13</v>
      </c>
      <c r="C66" s="2">
        <v>11.117146899533299</v>
      </c>
      <c r="D66" s="6">
        <f>(B66-C66)</f>
        <v>1.8828531004667006</v>
      </c>
      <c r="F66" s="2">
        <v>1130</v>
      </c>
      <c r="G66" s="2">
        <v>6.26</v>
      </c>
      <c r="H66" s="2">
        <v>5.8707720505498697</v>
      </c>
      <c r="I66" s="6">
        <f>(G66-H66)</f>
        <v>0.38922794945013006</v>
      </c>
      <c r="K66" s="2">
        <v>1134</v>
      </c>
      <c r="L66" s="2">
        <v>2.41</v>
      </c>
      <c r="M66" s="2">
        <v>2.5064161719780498</v>
      </c>
      <c r="N66" s="6">
        <f>(L66-M66)</f>
        <v>-9.6416171978049636E-2</v>
      </c>
      <c r="P66" s="2">
        <v>1143</v>
      </c>
      <c r="Q66" s="2">
        <v>4</v>
      </c>
      <c r="R66" s="2">
        <v>4.7245510741822203</v>
      </c>
      <c r="S66" s="6">
        <f>(Q66-R66)</f>
        <v>-0.72455107418222031</v>
      </c>
      <c r="U66" s="2">
        <v>1138</v>
      </c>
      <c r="V66" s="2">
        <v>2.16</v>
      </c>
      <c r="W66" s="2">
        <v>1.9907227380769299</v>
      </c>
      <c r="X66" s="6">
        <f t="shared" si="0"/>
        <v>0.16927726192307024</v>
      </c>
    </row>
    <row r="67" spans="1:24" x14ac:dyDescent="0.25">
      <c r="A67" s="2">
        <v>1123</v>
      </c>
      <c r="B67" s="2">
        <v>3.5</v>
      </c>
      <c r="C67" s="2">
        <v>3.13549231279457</v>
      </c>
      <c r="D67" s="6">
        <f>(B67-C67)</f>
        <v>0.36450768720543003</v>
      </c>
      <c r="F67" s="2">
        <v>1132</v>
      </c>
      <c r="G67" s="2">
        <v>3.82</v>
      </c>
      <c r="H67" s="2">
        <v>3.7844696067251999</v>
      </c>
      <c r="I67" s="6">
        <f>(G67-H67)</f>
        <v>3.5530393274799899E-2</v>
      </c>
      <c r="K67" s="2">
        <v>1138</v>
      </c>
      <c r="L67" s="2">
        <v>1.68</v>
      </c>
      <c r="M67" s="2">
        <v>1.5974939553774301</v>
      </c>
      <c r="N67" s="6">
        <f>(L67-M67)</f>
        <v>8.250604462256983E-2</v>
      </c>
      <c r="P67" s="2">
        <v>1285</v>
      </c>
      <c r="Q67" s="2">
        <v>4.6100000000000003</v>
      </c>
      <c r="R67" s="2">
        <v>5.13231759342559</v>
      </c>
      <c r="S67" s="6">
        <f>(Q67-R67)</f>
        <v>-0.5223175934255897</v>
      </c>
      <c r="U67" s="2">
        <v>1139</v>
      </c>
      <c r="V67" s="2">
        <v>3.38</v>
      </c>
      <c r="W67" s="2">
        <v>3.50080940529201</v>
      </c>
      <c r="X67" s="6">
        <f t="shared" si="0"/>
        <v>-0.12080940529201012</v>
      </c>
    </row>
    <row r="68" spans="1:24" x14ac:dyDescent="0.25">
      <c r="A68" s="2">
        <v>1124</v>
      </c>
      <c r="B68" s="2">
        <v>7.8</v>
      </c>
      <c r="C68" s="2">
        <v>8.1387735605804998</v>
      </c>
      <c r="D68" s="6">
        <f>(B68-C68)</f>
        <v>-0.33877356058050001</v>
      </c>
      <c r="F68" s="2">
        <v>1133</v>
      </c>
      <c r="G68" s="2">
        <v>5.17</v>
      </c>
      <c r="H68" s="2">
        <v>4.9311268723708697</v>
      </c>
      <c r="I68" s="6">
        <f>(G68-H68)</f>
        <v>0.23887312762913027</v>
      </c>
      <c r="K68" s="2">
        <v>1139</v>
      </c>
      <c r="L68" s="2">
        <v>2.14</v>
      </c>
      <c r="M68" s="2">
        <v>2.2359677545187502</v>
      </c>
      <c r="N68" s="6">
        <f>(L68-M68)</f>
        <v>-9.5967754518750059E-2</v>
      </c>
      <c r="P68" s="2">
        <v>1287</v>
      </c>
      <c r="Q68" s="2">
        <v>6.35</v>
      </c>
      <c r="R68" s="2">
        <v>5.4872670642538397</v>
      </c>
      <c r="S68" s="6">
        <f>(Q68-R68)</f>
        <v>0.86273293574615995</v>
      </c>
      <c r="U68" s="2">
        <v>1143</v>
      </c>
      <c r="V68" s="2">
        <v>2.79</v>
      </c>
      <c r="W68" s="2">
        <v>2.4111941109414201</v>
      </c>
      <c r="X68" s="6">
        <f t="shared" si="0"/>
        <v>0.37880588905857993</v>
      </c>
    </row>
    <row r="69" spans="1:24" x14ac:dyDescent="0.25">
      <c r="A69" s="2">
        <v>1130</v>
      </c>
      <c r="B69" s="2">
        <v>8.9</v>
      </c>
      <c r="C69" s="2">
        <v>8.0804357614812705</v>
      </c>
      <c r="D69" s="6">
        <f>(B69-C69)</f>
        <v>0.81956423851872984</v>
      </c>
      <c r="F69" s="2">
        <v>1134</v>
      </c>
      <c r="G69" s="2">
        <v>6.96</v>
      </c>
      <c r="H69" s="2">
        <v>5.7242255534458399</v>
      </c>
      <c r="I69" s="6">
        <f>(G69-H69)</f>
        <v>1.23577444655416</v>
      </c>
      <c r="K69" s="2">
        <v>1143</v>
      </c>
      <c r="L69" s="2">
        <v>1.34</v>
      </c>
      <c r="M69" s="2">
        <v>1.1449164727577801</v>
      </c>
      <c r="N69" s="6">
        <f>(L69-M69)</f>
        <v>0.19508352724222</v>
      </c>
      <c r="P69" s="2">
        <v>1288</v>
      </c>
      <c r="Q69" s="2">
        <v>6.62</v>
      </c>
      <c r="R69" s="2">
        <v>6.5459370294175097</v>
      </c>
      <c r="S69" s="6">
        <f>(Q69-R69)</f>
        <v>7.4062970582490451E-2</v>
      </c>
      <c r="U69" s="2">
        <v>1285</v>
      </c>
      <c r="V69" s="2">
        <v>1.91</v>
      </c>
      <c r="W69" s="2">
        <v>2.2032691988141799</v>
      </c>
      <c r="X69" s="6">
        <f t="shared" si="0"/>
        <v>-0.29326919881418001</v>
      </c>
    </row>
    <row r="70" spans="1:24" x14ac:dyDescent="0.25">
      <c r="A70" s="2">
        <v>1132</v>
      </c>
      <c r="B70" s="2">
        <v>4.0999999999999996</v>
      </c>
      <c r="C70" s="2">
        <v>4.2996763421755899</v>
      </c>
      <c r="D70" s="6">
        <f>(B70-C70)</f>
        <v>-0.19967634217559027</v>
      </c>
      <c r="F70" s="2">
        <v>1138</v>
      </c>
      <c r="G70" s="2">
        <v>3.93</v>
      </c>
      <c r="H70" s="2">
        <v>4.0689544579270898</v>
      </c>
      <c r="I70" s="6">
        <f>(G70-H70)</f>
        <v>-0.1389544579270896</v>
      </c>
      <c r="K70" s="2">
        <v>1285</v>
      </c>
      <c r="L70" s="2">
        <v>1.27</v>
      </c>
      <c r="M70" s="2">
        <v>1.5705881728311599</v>
      </c>
      <c r="N70" s="6">
        <f>(L70-M70)</f>
        <v>-0.30058817283115991</v>
      </c>
      <c r="P70" s="2">
        <v>1291</v>
      </c>
      <c r="Q70" s="2">
        <v>6.44</v>
      </c>
      <c r="R70" s="2">
        <v>6.1843435148603501</v>
      </c>
      <c r="S70" s="6">
        <f>(Q70-R70)</f>
        <v>0.25565648513965034</v>
      </c>
      <c r="U70" s="2">
        <v>1287</v>
      </c>
      <c r="V70" s="2">
        <v>2.5099999999999998</v>
      </c>
      <c r="W70" s="2">
        <v>2.8204617942560199</v>
      </c>
      <c r="X70" s="6">
        <f t="shared" si="0"/>
        <v>-0.31046179425602016</v>
      </c>
    </row>
    <row r="71" spans="1:24" x14ac:dyDescent="0.25">
      <c r="A71" s="2">
        <v>1133</v>
      </c>
      <c r="B71" s="2">
        <v>7.8</v>
      </c>
      <c r="C71" s="2">
        <v>6.4669462091655401</v>
      </c>
      <c r="D71" s="6">
        <f>(B71-C71)</f>
        <v>1.3330537908344597</v>
      </c>
      <c r="F71" s="2">
        <v>1139</v>
      </c>
      <c r="G71" s="2">
        <v>5.36</v>
      </c>
      <c r="H71" s="2">
        <v>5.3938066618317704</v>
      </c>
      <c r="I71" s="6">
        <f>(G71-H71)</f>
        <v>-3.3806661831770057E-2</v>
      </c>
      <c r="K71" s="2">
        <v>1287</v>
      </c>
      <c r="L71" s="2">
        <v>2.2400000000000002</v>
      </c>
      <c r="M71" s="2">
        <v>2.2342069076314202</v>
      </c>
      <c r="N71" s="6">
        <f>(L71-M71)</f>
        <v>5.7930923685800551E-3</v>
      </c>
      <c r="P71" s="2">
        <v>1293</v>
      </c>
      <c r="Q71" s="2">
        <v>5.98</v>
      </c>
      <c r="R71" s="2">
        <v>6.7639674631910296</v>
      </c>
      <c r="S71" s="6">
        <f>(Q71-R71)</f>
        <v>-0.78396746319102917</v>
      </c>
      <c r="U71" s="2">
        <v>1288</v>
      </c>
      <c r="V71" s="2">
        <v>4.83</v>
      </c>
      <c r="W71" s="2">
        <v>4.48400127651741</v>
      </c>
      <c r="X71" s="6">
        <f t="shared" si="0"/>
        <v>0.34599872348259009</v>
      </c>
    </row>
    <row r="72" spans="1:24" x14ac:dyDescent="0.25">
      <c r="A72" s="2">
        <v>1134</v>
      </c>
      <c r="B72" s="2">
        <v>9.1</v>
      </c>
      <c r="C72" s="2">
        <v>8.3535622080840604</v>
      </c>
      <c r="D72" s="6">
        <f>(B72-C72)</f>
        <v>0.74643779191593929</v>
      </c>
      <c r="F72" s="2">
        <v>1143</v>
      </c>
      <c r="G72" s="2">
        <v>4.28</v>
      </c>
      <c r="H72" s="2">
        <v>3.9877387101183901</v>
      </c>
      <c r="I72" s="6">
        <f>(G72-H72)</f>
        <v>0.29226128988161015</v>
      </c>
      <c r="K72" s="2">
        <v>1288</v>
      </c>
      <c r="L72" s="2">
        <v>3.03</v>
      </c>
      <c r="M72" s="2">
        <v>2.91715230341278</v>
      </c>
      <c r="N72" s="6">
        <f>(L72-M72)</f>
        <v>0.11284769658721983</v>
      </c>
      <c r="P72" s="2">
        <v>1379</v>
      </c>
      <c r="Q72" s="2">
        <v>7.17</v>
      </c>
      <c r="R72" s="2">
        <v>6.0086008179906001</v>
      </c>
      <c r="S72" s="6">
        <f>(Q72-R72)</f>
        <v>1.1613991820093998</v>
      </c>
      <c r="U72" s="2">
        <v>1290</v>
      </c>
      <c r="V72" s="2">
        <v>2.81</v>
      </c>
      <c r="W72" s="2">
        <v>2.4771182706320301</v>
      </c>
      <c r="X72" s="6">
        <f t="shared" si="0"/>
        <v>0.33288172936797</v>
      </c>
    </row>
    <row r="73" spans="1:24" x14ac:dyDescent="0.25">
      <c r="A73" s="2">
        <v>1138</v>
      </c>
      <c r="B73" s="2">
        <v>6.2</v>
      </c>
      <c r="C73" s="2">
        <v>6.1311467607963603</v>
      </c>
      <c r="D73" s="6">
        <f>(B73-C73)</f>
        <v>6.8853239203639838E-2</v>
      </c>
      <c r="F73" s="2">
        <v>1285</v>
      </c>
      <c r="G73" s="2">
        <v>3.7448205720000001</v>
      </c>
      <c r="H73" s="2">
        <v>3.8917339248009002</v>
      </c>
      <c r="I73" s="6">
        <f>(G73-H73)</f>
        <v>-0.14691335280090012</v>
      </c>
      <c r="K73" s="2">
        <v>1290</v>
      </c>
      <c r="L73" s="2">
        <v>2.78</v>
      </c>
      <c r="M73" s="2">
        <v>2.30232529248517</v>
      </c>
      <c r="N73" s="6">
        <f>(L73-M73)</f>
        <v>0.47767470751482977</v>
      </c>
      <c r="P73" s="2">
        <v>1384</v>
      </c>
      <c r="Q73" s="2">
        <v>5.53</v>
      </c>
      <c r="R73" s="2">
        <v>6.4486871814710502</v>
      </c>
      <c r="S73" s="6">
        <f>(Q73-R73)</f>
        <v>-0.91868718147105</v>
      </c>
      <c r="U73" s="2">
        <v>1291</v>
      </c>
      <c r="V73" s="2">
        <v>3.7</v>
      </c>
      <c r="W73" s="2">
        <v>2.9129405910052402</v>
      </c>
      <c r="X73" s="6">
        <f t="shared" si="0"/>
        <v>0.78705940899476001</v>
      </c>
    </row>
    <row r="74" spans="1:24" x14ac:dyDescent="0.25">
      <c r="A74" s="2">
        <v>1139</v>
      </c>
      <c r="B74" s="2">
        <v>6.3</v>
      </c>
      <c r="C74" s="2">
        <v>6.3056605459580002</v>
      </c>
      <c r="D74" s="6">
        <f>(B74-C74)</f>
        <v>-5.6605459580003625E-3</v>
      </c>
      <c r="F74" s="2">
        <v>1287</v>
      </c>
      <c r="G74" s="2">
        <v>4.95</v>
      </c>
      <c r="H74" s="2">
        <v>5.5123619330005802</v>
      </c>
      <c r="I74" s="6">
        <f>(G74-H74)</f>
        <v>-0.56236193300058002</v>
      </c>
      <c r="K74" s="2">
        <v>1291</v>
      </c>
      <c r="L74" s="2">
        <v>2.13</v>
      </c>
      <c r="M74" s="2">
        <v>1.9151623051045801</v>
      </c>
      <c r="N74" s="6">
        <f>(L74-M74)</f>
        <v>0.21483769489541982</v>
      </c>
      <c r="P74" s="2">
        <v>1385</v>
      </c>
      <c r="Q74" s="2">
        <v>5.27</v>
      </c>
      <c r="R74" s="2">
        <v>6.0072841954448704</v>
      </c>
      <c r="S74" s="6">
        <f>(Q74-R74)</f>
        <v>-0.73728419544487078</v>
      </c>
      <c r="U74" s="2">
        <v>1293</v>
      </c>
      <c r="V74" s="2">
        <v>3.71</v>
      </c>
      <c r="W74" s="2">
        <v>3.5253450994088702</v>
      </c>
      <c r="X74" s="6">
        <f t="shared" si="0"/>
        <v>0.18465490059112977</v>
      </c>
    </row>
    <row r="75" spans="1:24" x14ac:dyDescent="0.25">
      <c r="A75" s="2">
        <v>1143</v>
      </c>
      <c r="B75" s="2">
        <v>5.7</v>
      </c>
      <c r="C75" s="2">
        <v>5.5011258230092803</v>
      </c>
      <c r="D75" s="6">
        <f>(B75-C75)</f>
        <v>0.19887417699071985</v>
      </c>
      <c r="F75" s="2">
        <v>1288</v>
      </c>
      <c r="G75" s="2">
        <v>6.92</v>
      </c>
      <c r="H75" s="2">
        <v>6.5235519452023301</v>
      </c>
      <c r="I75" s="6">
        <f>(G75-H75)</f>
        <v>0.39644805479766987</v>
      </c>
      <c r="K75" s="2">
        <v>1293</v>
      </c>
      <c r="L75" s="2">
        <v>1.93</v>
      </c>
      <c r="M75" s="2">
        <v>2.1727429421278801</v>
      </c>
      <c r="N75" s="6">
        <f>(L75-M75)</f>
        <v>-0.24274294212788017</v>
      </c>
      <c r="P75" s="2">
        <v>1386</v>
      </c>
      <c r="Q75" s="2">
        <v>3.3</v>
      </c>
      <c r="R75" s="2">
        <v>3.8753673416025798</v>
      </c>
      <c r="S75" s="6">
        <f>(Q75-R75)</f>
        <v>-0.57536734160257996</v>
      </c>
      <c r="U75" s="2">
        <v>1379</v>
      </c>
      <c r="V75" s="2">
        <v>4.09</v>
      </c>
      <c r="W75" s="2">
        <v>3.2452304723737302</v>
      </c>
      <c r="X75" s="6">
        <f t="shared" si="0"/>
        <v>0.84476952762626967</v>
      </c>
    </row>
    <row r="76" spans="1:24" x14ac:dyDescent="0.25">
      <c r="A76" s="2">
        <v>1285</v>
      </c>
      <c r="B76" s="2">
        <v>6.9</v>
      </c>
      <c r="C76" s="2">
        <v>6.4413339972104096</v>
      </c>
      <c r="D76" s="6">
        <f>(B76-C76)</f>
        <v>0.4586660027895908</v>
      </c>
      <c r="F76" s="2">
        <v>1290</v>
      </c>
      <c r="G76" s="2">
        <v>5.22</v>
      </c>
      <c r="H76" s="2">
        <v>4.82289218858776</v>
      </c>
      <c r="I76" s="6">
        <f>(G76-H76)</f>
        <v>0.39710781141223972</v>
      </c>
      <c r="K76" s="2">
        <v>1379</v>
      </c>
      <c r="L76" s="2">
        <v>2.27</v>
      </c>
      <c r="M76" s="2">
        <v>2.0542546663606398</v>
      </c>
      <c r="N76" s="6">
        <f>(L76-M76)</f>
        <v>0.21574533363936022</v>
      </c>
      <c r="P76" s="2">
        <v>1388</v>
      </c>
      <c r="Q76" s="2">
        <v>6.41</v>
      </c>
      <c r="R76" s="2">
        <v>5.9634748640633202</v>
      </c>
      <c r="S76" s="6">
        <f>(Q76-R76)</f>
        <v>0.44652513593667997</v>
      </c>
      <c r="U76" s="2">
        <v>1380</v>
      </c>
      <c r="V76" s="2">
        <v>5.66</v>
      </c>
      <c r="W76" s="2">
        <v>4.8287129102840796</v>
      </c>
      <c r="X76" s="6">
        <f t="shared" si="0"/>
        <v>0.83128708971592058</v>
      </c>
    </row>
    <row r="77" spans="1:24" x14ac:dyDescent="0.25">
      <c r="A77" s="2">
        <v>1287</v>
      </c>
      <c r="B77" s="2">
        <v>8.4</v>
      </c>
      <c r="C77" s="2">
        <v>7.17674081152414</v>
      </c>
      <c r="D77" s="6">
        <f>(B77-C77)</f>
        <v>1.2232591884758603</v>
      </c>
      <c r="F77" s="2">
        <v>1291</v>
      </c>
      <c r="G77" s="2">
        <v>4.9800000000000004</v>
      </c>
      <c r="H77" s="2">
        <v>4.9488137467731299</v>
      </c>
      <c r="I77" s="6">
        <f>(G77-H77)</f>
        <v>3.1186253226870519E-2</v>
      </c>
      <c r="K77" s="2">
        <v>1384</v>
      </c>
      <c r="L77" s="2">
        <v>1.54</v>
      </c>
      <c r="M77" s="2">
        <v>1.66382405269213</v>
      </c>
      <c r="N77" s="6">
        <f>(L77-M77)</f>
        <v>-0.12382405269212993</v>
      </c>
      <c r="P77" s="2">
        <v>1401</v>
      </c>
      <c r="Q77" s="2">
        <v>7.91</v>
      </c>
      <c r="R77" s="2">
        <v>7.1715728892447599</v>
      </c>
      <c r="S77" s="6">
        <f>(Q77-R77)</f>
        <v>0.73842711075524026</v>
      </c>
      <c r="U77" s="2">
        <v>1384</v>
      </c>
      <c r="V77" s="2">
        <v>4.0199999999999996</v>
      </c>
      <c r="W77" s="2">
        <v>3.3727764840790102</v>
      </c>
      <c r="X77" s="6">
        <f t="shared" si="0"/>
        <v>0.64722351592098937</v>
      </c>
    </row>
    <row r="78" spans="1:24" x14ac:dyDescent="0.25">
      <c r="A78" s="2">
        <v>1288</v>
      </c>
      <c r="B78" s="2">
        <v>8.5</v>
      </c>
      <c r="C78" s="2">
        <v>7.4290901503011497</v>
      </c>
      <c r="D78" s="6">
        <f>(B78-C78)</f>
        <v>1.0709098496988503</v>
      </c>
      <c r="F78" s="2">
        <v>1293</v>
      </c>
      <c r="G78" s="2">
        <v>5.51</v>
      </c>
      <c r="H78" s="2">
        <v>5.3338024450527204</v>
      </c>
      <c r="I78" s="6">
        <f>(G78-H78)</f>
        <v>0.1761975549472794</v>
      </c>
      <c r="K78" s="2">
        <v>1385</v>
      </c>
      <c r="L78" s="2">
        <v>2.02</v>
      </c>
      <c r="M78" s="2">
        <v>2.1159351434268201</v>
      </c>
      <c r="N78" s="6">
        <f>(L78-M78)</f>
        <v>-9.593514342682008E-2</v>
      </c>
      <c r="P78" s="2">
        <v>1402</v>
      </c>
      <c r="Q78" s="2">
        <v>5.65</v>
      </c>
      <c r="R78" s="2">
        <v>6.5286793690750597</v>
      </c>
      <c r="S78" s="6">
        <f>(Q78-R78)</f>
        <v>-0.87867936907505939</v>
      </c>
      <c r="U78" s="2">
        <v>1385</v>
      </c>
      <c r="V78" s="2">
        <v>2.4</v>
      </c>
      <c r="W78" s="2">
        <v>2.4017553921995498</v>
      </c>
      <c r="X78" s="6">
        <f t="shared" si="0"/>
        <v>-1.7553921995498989E-3</v>
      </c>
    </row>
    <row r="79" spans="1:24" x14ac:dyDescent="0.25">
      <c r="A79" s="2">
        <v>1290</v>
      </c>
      <c r="B79" s="2">
        <v>9.3000000000000007</v>
      </c>
      <c r="C79" s="2">
        <v>8.9047827520554392</v>
      </c>
      <c r="D79" s="6">
        <f>(B79-C79)</f>
        <v>0.39521724794456148</v>
      </c>
      <c r="F79" s="2">
        <v>1379</v>
      </c>
      <c r="G79" s="2">
        <v>5.68</v>
      </c>
      <c r="H79" s="2">
        <v>4.9918372684012304</v>
      </c>
      <c r="I79" s="6">
        <f>(G79-H79)</f>
        <v>0.68816273159876928</v>
      </c>
      <c r="K79" s="2">
        <v>1386</v>
      </c>
      <c r="L79" s="2">
        <v>1.81</v>
      </c>
      <c r="M79" s="2">
        <v>1.8720441343738199</v>
      </c>
      <c r="N79" s="6">
        <f>(L79-M79)</f>
        <v>-6.2044134373819837E-2</v>
      </c>
      <c r="P79" s="2">
        <v>1405</v>
      </c>
      <c r="Q79" s="2">
        <v>8.73</v>
      </c>
      <c r="R79" s="2">
        <v>7.3195886780489801</v>
      </c>
      <c r="S79" s="6">
        <f>(Q79-R79)</f>
        <v>1.4104113219510204</v>
      </c>
      <c r="U79" s="2">
        <v>1387</v>
      </c>
      <c r="V79" s="2">
        <v>2.6</v>
      </c>
      <c r="W79" s="2">
        <v>2.9462778055252898</v>
      </c>
      <c r="X79" s="6">
        <f t="shared" si="0"/>
        <v>-0.34627780552528975</v>
      </c>
    </row>
    <row r="80" spans="1:24" x14ac:dyDescent="0.25">
      <c r="A80" s="2">
        <v>1291</v>
      </c>
      <c r="B80" s="2">
        <v>6.6</v>
      </c>
      <c r="C80" s="2">
        <v>7.12879296022298</v>
      </c>
      <c r="D80" s="6">
        <f>(B80-C80)</f>
        <v>-0.52879296022298039</v>
      </c>
      <c r="F80" s="2">
        <v>1380</v>
      </c>
      <c r="G80" s="2">
        <v>6.87</v>
      </c>
      <c r="H80" s="2">
        <v>6.5185158451228098</v>
      </c>
      <c r="I80" s="6">
        <f>(G80-H80)</f>
        <v>0.35148415487719031</v>
      </c>
      <c r="K80" s="2">
        <v>1387</v>
      </c>
      <c r="L80" s="2">
        <v>2.04</v>
      </c>
      <c r="M80" s="2">
        <v>2.05181483352162</v>
      </c>
      <c r="N80" s="6">
        <f>(L80-M80)</f>
        <v>-1.1814833521619938E-2</v>
      </c>
      <c r="P80" s="2">
        <v>1407</v>
      </c>
      <c r="Q80" s="2">
        <v>6.53</v>
      </c>
      <c r="R80" s="2">
        <v>6.5987910987023799</v>
      </c>
      <c r="S80" s="6">
        <f>(Q80-R80)</f>
        <v>-6.8791098702379649E-2</v>
      </c>
      <c r="U80" s="2">
        <v>1388</v>
      </c>
      <c r="V80" s="2">
        <v>4.72</v>
      </c>
      <c r="W80" s="2">
        <v>3.6429317082666</v>
      </c>
      <c r="X80" s="6">
        <f t="shared" ref="X80:X143" si="1">(V80-W80)</f>
        <v>1.0770682917333998</v>
      </c>
    </row>
    <row r="81" spans="1:24" x14ac:dyDescent="0.25">
      <c r="A81" s="2">
        <v>1293</v>
      </c>
      <c r="B81" s="2">
        <v>6.4</v>
      </c>
      <c r="C81" s="2">
        <v>6.3091292303626796</v>
      </c>
      <c r="D81" s="6">
        <f>(B81-C81)</f>
        <v>9.087076963732077E-2</v>
      </c>
      <c r="F81" s="2">
        <v>1384</v>
      </c>
      <c r="G81" s="2">
        <v>5.37</v>
      </c>
      <c r="H81" s="2">
        <v>4.7246575683027903</v>
      </c>
      <c r="I81" s="6">
        <f>(G81-H81)</f>
        <v>0.64534243169720984</v>
      </c>
      <c r="K81" s="2">
        <v>1388</v>
      </c>
      <c r="L81" s="2">
        <v>3.06</v>
      </c>
      <c r="M81" s="2">
        <v>2.6753932538190401</v>
      </c>
      <c r="N81" s="6">
        <f>(L81-M81)</f>
        <v>0.38460674618095991</v>
      </c>
      <c r="P81" s="2">
        <v>1409</v>
      </c>
      <c r="Q81" s="2">
        <v>3.85</v>
      </c>
      <c r="R81" s="2">
        <v>5.9381730036200198</v>
      </c>
      <c r="S81" s="6">
        <f>(Q81-R81)</f>
        <v>-2.0881730036200197</v>
      </c>
      <c r="U81" s="2">
        <v>1401</v>
      </c>
      <c r="V81" s="2">
        <v>3.42</v>
      </c>
      <c r="W81" s="2">
        <v>3.2759553243142099</v>
      </c>
      <c r="X81" s="6">
        <f t="shared" si="1"/>
        <v>0.14404467568579005</v>
      </c>
    </row>
    <row r="82" spans="1:24" x14ac:dyDescent="0.25">
      <c r="A82" s="2">
        <v>1379</v>
      </c>
      <c r="B82" s="2">
        <v>7.7</v>
      </c>
      <c r="C82" s="2">
        <v>7.5126082236254099</v>
      </c>
      <c r="D82" s="6">
        <f>(B82-C82)</f>
        <v>0.18739177637459026</v>
      </c>
      <c r="F82" s="2">
        <v>1385</v>
      </c>
      <c r="G82" s="2">
        <v>4.5599999999999996</v>
      </c>
      <c r="H82" s="2">
        <v>5.1050043944769303</v>
      </c>
      <c r="I82" s="6">
        <f>(G82-H82)</f>
        <v>-0.54500439447693072</v>
      </c>
      <c r="K82" s="2">
        <v>1401</v>
      </c>
      <c r="L82" s="2">
        <v>1.48</v>
      </c>
      <c r="M82" s="2">
        <v>2.1891849631340601</v>
      </c>
      <c r="N82" s="6">
        <f>(L82-M82)</f>
        <v>-0.7091849631340601</v>
      </c>
      <c r="P82" s="2">
        <v>1410</v>
      </c>
      <c r="Q82" s="2">
        <v>4.5599999999999996</v>
      </c>
      <c r="R82" s="2">
        <v>4.9975241066798102</v>
      </c>
      <c r="S82" s="6">
        <f>(Q82-R82)</f>
        <v>-0.43752410667981056</v>
      </c>
      <c r="U82" s="2">
        <v>1402</v>
      </c>
      <c r="V82" s="2">
        <v>3.54</v>
      </c>
      <c r="W82" s="2">
        <v>3.2828538068905901</v>
      </c>
      <c r="X82" s="6">
        <f t="shared" si="1"/>
        <v>0.25714619310940989</v>
      </c>
    </row>
    <row r="83" spans="1:24" x14ac:dyDescent="0.25">
      <c r="A83" s="2">
        <v>1380</v>
      </c>
      <c r="B83" s="2">
        <v>9.1999999999999993</v>
      </c>
      <c r="C83" s="2">
        <v>7.6646336642181101</v>
      </c>
      <c r="D83" s="6">
        <f>(B83-C83)</f>
        <v>1.5353663357818892</v>
      </c>
      <c r="F83" s="2">
        <v>1387</v>
      </c>
      <c r="G83" s="2">
        <v>4.3499999999999996</v>
      </c>
      <c r="H83" s="2">
        <v>4.4297592266047197</v>
      </c>
      <c r="I83" s="6">
        <f>(G83-H83)</f>
        <v>-7.9759226604720013E-2</v>
      </c>
      <c r="K83" s="2">
        <v>1402</v>
      </c>
      <c r="L83" s="2">
        <v>2.41</v>
      </c>
      <c r="M83" s="2">
        <v>2.1992370333763098</v>
      </c>
      <c r="N83" s="6">
        <f>(L83-M83)</f>
        <v>0.21076296662369032</v>
      </c>
      <c r="P83" s="2">
        <v>1422</v>
      </c>
      <c r="Q83" s="2">
        <v>7.11</v>
      </c>
      <c r="R83" s="2">
        <v>6.7121690229394098</v>
      </c>
      <c r="S83" s="6">
        <f>(Q83-R83)</f>
        <v>0.39783097706059056</v>
      </c>
      <c r="U83" s="2">
        <v>1405</v>
      </c>
      <c r="V83" s="2">
        <v>4.2</v>
      </c>
      <c r="W83" s="2">
        <v>4.0678508055769402</v>
      </c>
      <c r="X83" s="6">
        <f t="shared" si="1"/>
        <v>0.13214919442305995</v>
      </c>
    </row>
    <row r="84" spans="1:24" x14ac:dyDescent="0.25">
      <c r="A84" s="2">
        <v>1382</v>
      </c>
      <c r="B84" s="2">
        <v>11</v>
      </c>
      <c r="C84" s="2">
        <v>11.2983498736083</v>
      </c>
      <c r="D84" s="6">
        <f>(B84-C84)</f>
        <v>-0.29834987360830034</v>
      </c>
      <c r="F84" s="2">
        <v>1388</v>
      </c>
      <c r="G84" s="2">
        <v>7.01</v>
      </c>
      <c r="H84" s="2">
        <v>5.8575729750135102</v>
      </c>
      <c r="I84" s="6">
        <f>(G84-H84)</f>
        <v>1.1524270249864896</v>
      </c>
      <c r="K84" s="2">
        <v>1405</v>
      </c>
      <c r="L84" s="2">
        <v>3.78</v>
      </c>
      <c r="M84" s="2">
        <v>3.7324056883252701</v>
      </c>
      <c r="N84" s="6">
        <f>(L84-M84)</f>
        <v>4.7594311674729717E-2</v>
      </c>
      <c r="P84" s="2">
        <v>1423</v>
      </c>
      <c r="Q84" s="2">
        <v>8.01</v>
      </c>
      <c r="R84" s="2">
        <v>7.42180577074196</v>
      </c>
      <c r="S84" s="6">
        <f>(Q84-R84)</f>
        <v>0.58819422925803977</v>
      </c>
      <c r="U84" s="2">
        <v>1406</v>
      </c>
      <c r="V84" s="2">
        <v>3.5</v>
      </c>
      <c r="W84" s="2">
        <v>3.90743998803078</v>
      </c>
      <c r="X84" s="6">
        <f t="shared" si="1"/>
        <v>-0.40743998803077996</v>
      </c>
    </row>
    <row r="85" spans="1:24" x14ac:dyDescent="0.25">
      <c r="A85" s="2">
        <v>1384</v>
      </c>
      <c r="B85" s="2">
        <v>6</v>
      </c>
      <c r="C85" s="2">
        <v>5.2832681515083602</v>
      </c>
      <c r="D85" s="6">
        <f>(B85-C85)</f>
        <v>0.71673184849163984</v>
      </c>
      <c r="F85" s="2">
        <v>1401</v>
      </c>
      <c r="G85" s="2">
        <v>6.01</v>
      </c>
      <c r="H85" s="2">
        <v>6.0048191170886698</v>
      </c>
      <c r="I85" s="6">
        <f>(G85-H85)</f>
        <v>5.1808829113300092E-3</v>
      </c>
      <c r="K85" s="2">
        <v>1406</v>
      </c>
      <c r="L85" s="2">
        <v>3.79</v>
      </c>
      <c r="M85" s="2">
        <v>3.5684317111341901</v>
      </c>
      <c r="N85" s="6">
        <f>(L85-M85)</f>
        <v>0.22156828886580993</v>
      </c>
      <c r="P85" s="2">
        <v>1426</v>
      </c>
      <c r="Q85" s="2">
        <v>6.87</v>
      </c>
      <c r="R85" s="2">
        <v>5.8735864057351197</v>
      </c>
      <c r="S85" s="6">
        <f>(Q85-R85)</f>
        <v>0.99641359426488041</v>
      </c>
      <c r="U85" s="2">
        <v>1407</v>
      </c>
      <c r="V85" s="2">
        <v>4.04</v>
      </c>
      <c r="W85" s="2">
        <v>4.1594123141713002</v>
      </c>
      <c r="X85" s="6">
        <f t="shared" si="1"/>
        <v>-0.11941231417130016</v>
      </c>
    </row>
    <row r="86" spans="1:24" x14ac:dyDescent="0.25">
      <c r="A86" s="2">
        <v>1385</v>
      </c>
      <c r="B86" s="2">
        <v>8.1</v>
      </c>
      <c r="C86" s="2">
        <v>9.7135256295628505</v>
      </c>
      <c r="D86" s="6">
        <f>(B86-C86)</f>
        <v>-1.6135256295628508</v>
      </c>
      <c r="F86" s="2">
        <v>1402</v>
      </c>
      <c r="G86" s="2">
        <v>6.34</v>
      </c>
      <c r="H86" s="2">
        <v>5.5561101428867099</v>
      </c>
      <c r="I86" s="6">
        <f>(G86-H86)</f>
        <v>0.78388985711328996</v>
      </c>
      <c r="K86" s="2">
        <v>1407</v>
      </c>
      <c r="L86" s="2">
        <v>2.79</v>
      </c>
      <c r="M86" s="2">
        <v>2.4758046316222999</v>
      </c>
      <c r="N86" s="6">
        <f>(L86-M86)</f>
        <v>0.31419536837770012</v>
      </c>
      <c r="P86" s="2">
        <v>1429</v>
      </c>
      <c r="Q86" s="2">
        <v>5.49</v>
      </c>
      <c r="R86" s="2">
        <v>5.44074618514143</v>
      </c>
      <c r="S86" s="6">
        <f>(Q86-R86)</f>
        <v>4.9253814858570166E-2</v>
      </c>
      <c r="U86" s="2">
        <v>1409</v>
      </c>
      <c r="V86" s="2">
        <v>4.18</v>
      </c>
      <c r="W86" s="2">
        <v>4.1645626406538696</v>
      </c>
      <c r="X86" s="6">
        <f t="shared" si="1"/>
        <v>1.5437359346130108E-2</v>
      </c>
    </row>
    <row r="87" spans="1:24" x14ac:dyDescent="0.25">
      <c r="A87" s="2">
        <v>1387</v>
      </c>
      <c r="B87" s="2">
        <v>6</v>
      </c>
      <c r="C87" s="2">
        <v>5.6966867071890803</v>
      </c>
      <c r="D87" s="6">
        <f>(B87-C87)</f>
        <v>0.30331329281091968</v>
      </c>
      <c r="F87" s="2">
        <v>1405</v>
      </c>
      <c r="G87" s="2">
        <v>7.66</v>
      </c>
      <c r="H87" s="2">
        <v>7.1501955833207296</v>
      </c>
      <c r="I87" s="6">
        <f>(G87-H87)</f>
        <v>0.50980441667927057</v>
      </c>
      <c r="K87" s="2">
        <v>1410</v>
      </c>
      <c r="L87" s="2">
        <v>1.39</v>
      </c>
      <c r="M87" s="2">
        <v>1.6930941255268399</v>
      </c>
      <c r="N87" s="6">
        <f>(L87-M87)</f>
        <v>-0.30309412552684001</v>
      </c>
      <c r="P87" s="2">
        <v>1456</v>
      </c>
      <c r="Q87" s="2">
        <v>6.01</v>
      </c>
      <c r="R87" s="2">
        <v>6.6976572962081402</v>
      </c>
      <c r="S87" s="6">
        <f>(Q87-R87)</f>
        <v>-0.68765729620814042</v>
      </c>
      <c r="U87" s="2">
        <v>1410</v>
      </c>
      <c r="V87" s="2">
        <v>2.0699999999999998</v>
      </c>
      <c r="W87" s="2">
        <v>2.6045603522794298</v>
      </c>
      <c r="X87" s="6">
        <f t="shared" si="1"/>
        <v>-0.53456035227943</v>
      </c>
    </row>
    <row r="88" spans="1:24" x14ac:dyDescent="0.25">
      <c r="A88" s="2">
        <v>1388</v>
      </c>
      <c r="B88" s="2">
        <v>8.9</v>
      </c>
      <c r="C88" s="2">
        <v>8.5068634480824095</v>
      </c>
      <c r="D88" s="6">
        <f>(B88-C88)</f>
        <v>0.39313655191759089</v>
      </c>
      <c r="F88" s="2">
        <v>1406</v>
      </c>
      <c r="G88" s="2">
        <v>4.83</v>
      </c>
      <c r="H88" s="2">
        <v>6.0193475160054097</v>
      </c>
      <c r="I88" s="6">
        <f>(G88-H88)</f>
        <v>-1.1893475160054097</v>
      </c>
      <c r="K88" s="2">
        <v>1421</v>
      </c>
      <c r="L88" s="2">
        <v>3.03</v>
      </c>
      <c r="M88" s="2">
        <v>2.8235902478544399</v>
      </c>
      <c r="N88" s="6">
        <f>(L88-M88)</f>
        <v>0.2064097521455599</v>
      </c>
      <c r="P88" s="2">
        <v>1460</v>
      </c>
      <c r="Q88" s="2">
        <v>4.93</v>
      </c>
      <c r="R88" s="2">
        <v>4.9999527641292003</v>
      </c>
      <c r="S88" s="6">
        <f>(Q88-R88)</f>
        <v>-6.9952764129200595E-2</v>
      </c>
      <c r="U88" s="2">
        <v>1421</v>
      </c>
      <c r="V88" s="2">
        <v>5.0199999999999996</v>
      </c>
      <c r="W88" s="2">
        <v>3.86175132793807</v>
      </c>
      <c r="X88" s="6">
        <f t="shared" si="1"/>
        <v>1.1582486720619296</v>
      </c>
    </row>
    <row r="89" spans="1:24" x14ac:dyDescent="0.25">
      <c r="A89" s="2">
        <v>1401</v>
      </c>
      <c r="B89" s="2">
        <v>8.5</v>
      </c>
      <c r="C89" s="2">
        <v>8.1976408510151408</v>
      </c>
      <c r="D89" s="6">
        <f>(B89-C89)</f>
        <v>0.30235914898485916</v>
      </c>
      <c r="F89" s="2">
        <v>1407</v>
      </c>
      <c r="G89" s="2">
        <v>6.52</v>
      </c>
      <c r="H89" s="2">
        <v>5.8233372640183099</v>
      </c>
      <c r="I89" s="6">
        <f>(G89-H89)</f>
        <v>0.69666273598168971</v>
      </c>
      <c r="K89" s="2">
        <v>1422</v>
      </c>
      <c r="L89" s="2">
        <v>2.4300000000000002</v>
      </c>
      <c r="M89" s="2">
        <v>2.5559779162768601</v>
      </c>
      <c r="N89" s="6">
        <f>(L89-M89)</f>
        <v>-0.12597791627685995</v>
      </c>
      <c r="P89" s="2">
        <v>1461</v>
      </c>
      <c r="Q89" s="2">
        <v>4.79</v>
      </c>
      <c r="R89" s="2">
        <v>4.8589458091975297</v>
      </c>
      <c r="S89" s="6">
        <f>(Q89-R89)</f>
        <v>-6.8945809197529684E-2</v>
      </c>
      <c r="U89" s="2">
        <v>1422</v>
      </c>
      <c r="V89" s="2">
        <v>2.5099999999999998</v>
      </c>
      <c r="W89" s="2">
        <v>2.94568100496027</v>
      </c>
      <c r="X89" s="6">
        <f t="shared" si="1"/>
        <v>-0.43568100496027018</v>
      </c>
    </row>
    <row r="90" spans="1:24" x14ac:dyDescent="0.25">
      <c r="A90" s="2">
        <v>1402</v>
      </c>
      <c r="B90" s="2">
        <v>8</v>
      </c>
      <c r="C90" s="2">
        <v>6.6489326937353797</v>
      </c>
      <c r="D90" s="6">
        <f>(B90-C90)</f>
        <v>1.3510673062646203</v>
      </c>
      <c r="F90" s="2">
        <v>1409</v>
      </c>
      <c r="G90" s="2">
        <v>7.31</v>
      </c>
      <c r="H90" s="2">
        <v>6.6445673166651602</v>
      </c>
      <c r="I90" s="6">
        <f>(G90-H90)</f>
        <v>0.6654326833348394</v>
      </c>
      <c r="K90" s="2">
        <v>1423</v>
      </c>
      <c r="L90" s="2">
        <v>3.36</v>
      </c>
      <c r="M90" s="2">
        <v>3.2995433793906899</v>
      </c>
      <c r="N90" s="6">
        <f>(L90-M90)</f>
        <v>6.0456620609310008E-2</v>
      </c>
      <c r="P90" s="2">
        <v>1464</v>
      </c>
      <c r="Q90" s="2">
        <v>5.35</v>
      </c>
      <c r="R90" s="2">
        <v>4.8584030509524503</v>
      </c>
      <c r="S90" s="6">
        <f>(Q90-R90)</f>
        <v>0.49159694904754936</v>
      </c>
      <c r="U90" s="2">
        <v>1423</v>
      </c>
      <c r="V90" s="2">
        <v>4.1399999999999997</v>
      </c>
      <c r="W90" s="2">
        <v>3.9788330296331802</v>
      </c>
      <c r="X90" s="6">
        <f t="shared" si="1"/>
        <v>0.16116697036681948</v>
      </c>
    </row>
    <row r="91" spans="1:24" x14ac:dyDescent="0.25">
      <c r="A91" s="2">
        <v>1405</v>
      </c>
      <c r="B91" s="2">
        <v>14</v>
      </c>
      <c r="C91" s="2">
        <v>12.6095944815959</v>
      </c>
      <c r="D91" s="6">
        <f>(B91-C91)</f>
        <v>1.3904055184040995</v>
      </c>
      <c r="F91" s="2">
        <v>1410</v>
      </c>
      <c r="G91" s="2">
        <v>3.61</v>
      </c>
      <c r="H91" s="2">
        <v>4.5027333169893202</v>
      </c>
      <c r="I91" s="6">
        <f>(G91-H91)</f>
        <v>-0.89273331698932035</v>
      </c>
      <c r="K91" s="2">
        <v>1426</v>
      </c>
      <c r="L91" s="2">
        <v>2.02</v>
      </c>
      <c r="M91" s="2">
        <v>2.0228514426786099</v>
      </c>
      <c r="N91" s="6">
        <f>(L91-M91)</f>
        <v>-2.8514426786099278E-3</v>
      </c>
      <c r="P91" s="2">
        <v>1518</v>
      </c>
      <c r="Q91" s="2">
        <v>4.37</v>
      </c>
      <c r="R91" s="2">
        <v>4.3612303197506899</v>
      </c>
      <c r="S91" s="6">
        <f>(Q91-R91)</f>
        <v>8.769680249310241E-3</v>
      </c>
      <c r="U91" s="2">
        <v>1426</v>
      </c>
      <c r="V91" s="2">
        <v>3.63</v>
      </c>
      <c r="W91" s="2">
        <v>3.21030373776397</v>
      </c>
      <c r="X91" s="6">
        <f t="shared" si="1"/>
        <v>0.41969626223602985</v>
      </c>
    </row>
    <row r="92" spans="1:24" x14ac:dyDescent="0.25">
      <c r="A92" s="2">
        <v>1407</v>
      </c>
      <c r="B92" s="2">
        <v>7.4</v>
      </c>
      <c r="C92" s="2">
        <v>7.0119879888534298</v>
      </c>
      <c r="D92" s="6">
        <f>(B92-C92)</f>
        <v>0.38801201114657058</v>
      </c>
      <c r="F92" s="2">
        <v>1421</v>
      </c>
      <c r="G92" s="2">
        <v>7.54</v>
      </c>
      <c r="H92" s="2">
        <v>6.2907927305875901</v>
      </c>
      <c r="I92" s="6">
        <f>(G92-H92)</f>
        <v>1.2492072694124099</v>
      </c>
      <c r="K92" s="2">
        <v>1456</v>
      </c>
      <c r="L92" s="2">
        <v>3.55</v>
      </c>
      <c r="M92" s="2">
        <v>3.2219136560778598</v>
      </c>
      <c r="N92" s="6">
        <f>(L92-M92)</f>
        <v>0.32808634392213998</v>
      </c>
      <c r="P92" s="2">
        <v>1519</v>
      </c>
      <c r="Q92" s="2">
        <v>7.29</v>
      </c>
      <c r="R92" s="2">
        <v>6.5482357995107696</v>
      </c>
      <c r="S92" s="6">
        <f>(Q92-R92)</f>
        <v>0.74176420048923042</v>
      </c>
      <c r="U92" s="2">
        <v>1429</v>
      </c>
      <c r="V92" s="2">
        <v>2.61</v>
      </c>
      <c r="W92" s="2">
        <v>2.3584006541518798</v>
      </c>
      <c r="X92" s="6">
        <f t="shared" si="1"/>
        <v>0.25159934584812005</v>
      </c>
    </row>
    <row r="93" spans="1:24" x14ac:dyDescent="0.25">
      <c r="A93" s="2">
        <v>1409</v>
      </c>
      <c r="B93" s="2">
        <v>11</v>
      </c>
      <c r="C93" s="2">
        <v>10.073154443776</v>
      </c>
      <c r="D93" s="6">
        <f>(B93-C93)</f>
        <v>0.92684555622400033</v>
      </c>
      <c r="F93" s="2">
        <v>1422</v>
      </c>
      <c r="G93" s="2">
        <v>5.3</v>
      </c>
      <c r="H93" s="2">
        <v>5.7191190350670498</v>
      </c>
      <c r="I93" s="6">
        <f>(G93-H93)</f>
        <v>-0.41911903506704995</v>
      </c>
      <c r="K93" s="2">
        <v>1460</v>
      </c>
      <c r="L93" s="2">
        <v>1.24</v>
      </c>
      <c r="M93" s="2">
        <v>1.6855029134589901</v>
      </c>
      <c r="N93" s="6">
        <f>(L93-M93)</f>
        <v>-0.44550291345899007</v>
      </c>
      <c r="P93" s="2">
        <v>1523</v>
      </c>
      <c r="Q93" s="2">
        <v>4.78</v>
      </c>
      <c r="R93" s="2">
        <v>4.4616999924031404</v>
      </c>
      <c r="S93" s="6">
        <f>(Q93-R93)</f>
        <v>0.31830000759685984</v>
      </c>
      <c r="U93" s="2">
        <v>1456</v>
      </c>
      <c r="V93" s="2">
        <v>3.02</v>
      </c>
      <c r="W93" s="2">
        <v>3.6560697944682001</v>
      </c>
      <c r="X93" s="6">
        <f t="shared" si="1"/>
        <v>-0.63606979446820011</v>
      </c>
    </row>
    <row r="94" spans="1:24" x14ac:dyDescent="0.25">
      <c r="A94" s="2">
        <v>1410</v>
      </c>
      <c r="B94" s="2">
        <v>7.3</v>
      </c>
      <c r="C94" s="2">
        <v>6.7952959208226096</v>
      </c>
      <c r="D94" s="6">
        <f>(B94-C94)</f>
        <v>0.50470407917739024</v>
      </c>
      <c r="F94" s="2">
        <v>1423</v>
      </c>
      <c r="G94" s="2">
        <v>6.7</v>
      </c>
      <c r="H94" s="2">
        <v>6.6037266557822996</v>
      </c>
      <c r="I94" s="6">
        <f>(G94-H94)</f>
        <v>9.6273344217700618E-2</v>
      </c>
      <c r="K94" s="2">
        <v>1461</v>
      </c>
      <c r="L94" s="2">
        <v>1.25</v>
      </c>
      <c r="M94" s="2">
        <v>1.3703414419025599</v>
      </c>
      <c r="N94" s="6">
        <f>(L94-M94)</f>
        <v>-0.12034144190255991</v>
      </c>
      <c r="P94" s="2">
        <v>1526</v>
      </c>
      <c r="Q94" s="2">
        <v>5.98</v>
      </c>
      <c r="R94" s="2">
        <v>4.7940456869588202</v>
      </c>
      <c r="S94" s="6">
        <f>(Q94-R94)</f>
        <v>1.1859543130411803</v>
      </c>
      <c r="U94" s="2">
        <v>1461</v>
      </c>
      <c r="V94" s="2">
        <v>1.86</v>
      </c>
      <c r="W94" s="2">
        <v>1.9630755768691299</v>
      </c>
      <c r="X94" s="6">
        <f t="shared" si="1"/>
        <v>-0.10307557686912983</v>
      </c>
    </row>
    <row r="95" spans="1:24" x14ac:dyDescent="0.25">
      <c r="A95" s="2">
        <v>1421</v>
      </c>
      <c r="B95" s="2">
        <v>8.6</v>
      </c>
      <c r="C95" s="2">
        <v>7.5129061523365701</v>
      </c>
      <c r="D95" s="6">
        <f>(B95-C95)</f>
        <v>1.0870938476634295</v>
      </c>
      <c r="F95" s="2">
        <v>1426</v>
      </c>
      <c r="G95" s="2">
        <v>5.0199999999999996</v>
      </c>
      <c r="H95" s="2">
        <v>4.9801432758480004</v>
      </c>
      <c r="I95" s="6">
        <f>(G95-H95)</f>
        <v>3.9856724151999146E-2</v>
      </c>
      <c r="K95" s="2">
        <v>1518</v>
      </c>
      <c r="L95" s="2">
        <v>1.04</v>
      </c>
      <c r="M95" s="2">
        <v>0.93601408119727703</v>
      </c>
      <c r="N95" s="6">
        <f>(L95-M95)</f>
        <v>0.10398591880272301</v>
      </c>
      <c r="P95" s="2">
        <v>1527</v>
      </c>
      <c r="Q95" s="2">
        <v>6.09</v>
      </c>
      <c r="R95" s="2">
        <v>4.42937330456013</v>
      </c>
      <c r="S95" s="6">
        <f>(Q95-R95)</f>
        <v>1.6606266954398698</v>
      </c>
      <c r="U95" s="2">
        <v>1464</v>
      </c>
      <c r="V95" s="2">
        <v>2.0499999999999998</v>
      </c>
      <c r="W95" s="2">
        <v>2.0448143429305601</v>
      </c>
      <c r="X95" s="6">
        <f t="shared" si="1"/>
        <v>5.1856570694397419E-3</v>
      </c>
    </row>
    <row r="96" spans="1:24" x14ac:dyDescent="0.25">
      <c r="A96" s="2">
        <v>1422</v>
      </c>
      <c r="B96" s="2">
        <v>11</v>
      </c>
      <c r="C96" s="2">
        <v>11.152518252097501</v>
      </c>
      <c r="D96" s="6">
        <f>(B96-C96)</f>
        <v>-0.15251825209750081</v>
      </c>
      <c r="F96" s="2">
        <v>1429</v>
      </c>
      <c r="G96" s="2">
        <v>4.76</v>
      </c>
      <c r="H96" s="2">
        <v>4.6332246504271497</v>
      </c>
      <c r="I96" s="6">
        <f>(G96-H96)</f>
        <v>0.12677534957285008</v>
      </c>
      <c r="K96" s="2">
        <v>1519</v>
      </c>
      <c r="L96" s="2">
        <v>2.4</v>
      </c>
      <c r="M96" s="2">
        <v>2.7852503952997498</v>
      </c>
      <c r="N96" s="6">
        <f>(L96-M96)</f>
        <v>-0.38525039529974991</v>
      </c>
      <c r="P96" s="2">
        <v>3785</v>
      </c>
      <c r="Q96" s="2">
        <v>7.45</v>
      </c>
      <c r="R96" s="2">
        <v>7.0124912553718604</v>
      </c>
      <c r="S96" s="6">
        <f>(Q96-R96)</f>
        <v>0.43750874462813982</v>
      </c>
      <c r="U96" s="2">
        <v>1518</v>
      </c>
      <c r="V96" s="2">
        <v>2.31</v>
      </c>
      <c r="W96" s="2">
        <v>2.3859972141077499</v>
      </c>
      <c r="X96" s="6">
        <f t="shared" si="1"/>
        <v>-7.5997214107749844E-2</v>
      </c>
    </row>
    <row r="97" spans="1:24" x14ac:dyDescent="0.25">
      <c r="A97" s="2">
        <v>1423</v>
      </c>
      <c r="B97" s="2">
        <v>15</v>
      </c>
      <c r="C97" s="2">
        <v>13.389979516208699</v>
      </c>
      <c r="D97" s="6">
        <f>(B97-C97)</f>
        <v>1.6100204837913008</v>
      </c>
      <c r="F97" s="2">
        <v>1461</v>
      </c>
      <c r="G97" s="2">
        <v>3.48</v>
      </c>
      <c r="H97" s="2">
        <v>3.8509517466923899</v>
      </c>
      <c r="I97" s="6">
        <f>(G97-H97)</f>
        <v>-0.37095174669238995</v>
      </c>
      <c r="K97" s="2">
        <v>1520</v>
      </c>
      <c r="L97" s="2">
        <v>1.1299999999999999</v>
      </c>
      <c r="M97" s="2">
        <v>1.1357339338790999</v>
      </c>
      <c r="N97" s="6">
        <f>(L97-M97)</f>
        <v>-5.7339338791000394E-3</v>
      </c>
      <c r="P97" s="2">
        <v>3794</v>
      </c>
      <c r="Q97" s="2">
        <v>7.32</v>
      </c>
      <c r="R97" s="2">
        <v>7.2254912983958901</v>
      </c>
      <c r="S97" s="6">
        <f>(Q97-R97)</f>
        <v>9.4508701604110179E-2</v>
      </c>
      <c r="U97" s="2">
        <v>1519</v>
      </c>
      <c r="V97" s="2">
        <v>3.47</v>
      </c>
      <c r="W97" s="2">
        <v>4.0293164472067398</v>
      </c>
      <c r="X97" s="6">
        <f t="shared" si="1"/>
        <v>-0.55931644720673956</v>
      </c>
    </row>
    <row r="98" spans="1:24" x14ac:dyDescent="0.25">
      <c r="A98" s="2">
        <v>1426</v>
      </c>
      <c r="B98" s="2">
        <v>7.5</v>
      </c>
      <c r="C98" s="2">
        <v>7.8924056706734698</v>
      </c>
      <c r="D98" s="6">
        <f>(B98-C98)</f>
        <v>-0.39240567067346976</v>
      </c>
      <c r="F98" s="2">
        <v>1464</v>
      </c>
      <c r="G98" s="2">
        <v>3.96</v>
      </c>
      <c r="H98" s="2">
        <v>3.7667087932735202</v>
      </c>
      <c r="I98" s="6">
        <f>(G98-H98)</f>
        <v>0.19329120672647981</v>
      </c>
      <c r="K98" s="2">
        <v>1523</v>
      </c>
      <c r="L98" s="2">
        <v>1.06</v>
      </c>
      <c r="M98" s="2">
        <v>1.05935100669758</v>
      </c>
      <c r="N98" s="6">
        <f>(L98-M98)</f>
        <v>6.4899330242007558E-4</v>
      </c>
      <c r="P98" s="2">
        <v>3794</v>
      </c>
      <c r="Q98" s="2">
        <v>7.32</v>
      </c>
      <c r="R98" s="2">
        <v>7.2254912983958901</v>
      </c>
      <c r="S98" s="6">
        <f>(Q98-R98)</f>
        <v>9.4508701604110179E-2</v>
      </c>
      <c r="U98" s="2">
        <v>1520</v>
      </c>
      <c r="V98" s="2">
        <v>2.0499999999999998</v>
      </c>
      <c r="W98" s="2">
        <v>2.0040822624894301</v>
      </c>
      <c r="X98" s="6">
        <f t="shared" si="1"/>
        <v>4.5917737510569712E-2</v>
      </c>
    </row>
    <row r="99" spans="1:24" x14ac:dyDescent="0.25">
      <c r="A99" s="2">
        <v>1429</v>
      </c>
      <c r="B99" s="2">
        <v>9.3000000000000007</v>
      </c>
      <c r="C99" s="2">
        <v>8.2725314353650905</v>
      </c>
      <c r="D99" s="6">
        <f>(B99-C99)</f>
        <v>1.0274685646349102</v>
      </c>
      <c r="F99" s="2">
        <v>1518</v>
      </c>
      <c r="G99" s="2">
        <v>3.67</v>
      </c>
      <c r="H99" s="2">
        <v>4.02883181590318</v>
      </c>
      <c r="I99" s="6">
        <f>(G99-H99)</f>
        <v>-0.35883181590318003</v>
      </c>
      <c r="K99" s="2">
        <v>1525</v>
      </c>
      <c r="L99" s="2">
        <v>1.7</v>
      </c>
      <c r="M99" s="2">
        <v>1.7499832026145099</v>
      </c>
      <c r="N99" s="6">
        <f>(L99-M99)</f>
        <v>-4.9983202614509947E-2</v>
      </c>
      <c r="P99" s="2">
        <v>11</v>
      </c>
      <c r="Q99" s="2">
        <v>4.82</v>
      </c>
      <c r="R99" s="2">
        <v>5.2633568619438096</v>
      </c>
      <c r="S99" s="6">
        <f>(Q99-R99)</f>
        <v>-0.4433568619438093</v>
      </c>
      <c r="U99" s="2">
        <v>1523</v>
      </c>
      <c r="V99" s="2">
        <v>2.29</v>
      </c>
      <c r="W99" s="2">
        <v>2.15210625214901</v>
      </c>
      <c r="X99" s="6">
        <f t="shared" si="1"/>
        <v>0.13789374785099007</v>
      </c>
    </row>
    <row r="100" spans="1:24" x14ac:dyDescent="0.25">
      <c r="A100" s="2">
        <v>1456</v>
      </c>
      <c r="B100" s="2">
        <v>9.5</v>
      </c>
      <c r="C100" s="2">
        <v>10.3396744964394</v>
      </c>
      <c r="D100" s="6">
        <f>(B100-C100)</f>
        <v>-0.83967449643940029</v>
      </c>
      <c r="F100" s="2">
        <v>1519</v>
      </c>
      <c r="G100" s="2">
        <v>5.64</v>
      </c>
      <c r="H100" s="2">
        <v>6.2392551475145703</v>
      </c>
      <c r="I100" s="6">
        <f>(G100-H100)</f>
        <v>-0.59925514751457065</v>
      </c>
      <c r="K100" s="2">
        <v>1526</v>
      </c>
      <c r="L100" s="2">
        <v>0.93</v>
      </c>
      <c r="M100" s="2">
        <v>0.93380829500602103</v>
      </c>
      <c r="N100" s="6">
        <f>(L100-M100)</f>
        <v>-3.8082950060209786E-3</v>
      </c>
      <c r="P100" s="2">
        <v>12</v>
      </c>
      <c r="Q100" s="2">
        <v>5.86</v>
      </c>
      <c r="R100" s="2">
        <v>5.1290226409605202</v>
      </c>
      <c r="S100" s="6">
        <f>(Q100-R100)</f>
        <v>0.73097735903948013</v>
      </c>
      <c r="U100" s="2">
        <v>3785</v>
      </c>
      <c r="V100" s="2">
        <v>2.85</v>
      </c>
      <c r="W100" s="2">
        <v>3.3368936537631302</v>
      </c>
      <c r="X100" s="6">
        <f t="shared" si="1"/>
        <v>-0.4868936537631301</v>
      </c>
    </row>
    <row r="101" spans="1:24" x14ac:dyDescent="0.25">
      <c r="A101" s="2">
        <v>1460</v>
      </c>
      <c r="B101" s="2">
        <v>6</v>
      </c>
      <c r="C101" s="2">
        <v>6.9410604172202097</v>
      </c>
      <c r="D101" s="6">
        <f>(B101-C101)</f>
        <v>-0.94106041722020972</v>
      </c>
      <c r="F101" s="2">
        <v>1520</v>
      </c>
      <c r="G101" s="2">
        <v>3.98</v>
      </c>
      <c r="H101" s="2">
        <v>3.7926469244931398</v>
      </c>
      <c r="I101" s="6">
        <f>(G101-H101)</f>
        <v>0.1873530755068602</v>
      </c>
      <c r="K101" s="2">
        <v>1527</v>
      </c>
      <c r="L101" s="2">
        <v>0.9</v>
      </c>
      <c r="M101" s="2">
        <v>0.90428786265279604</v>
      </c>
      <c r="N101" s="6">
        <f>(L101-M101)</f>
        <v>-4.2878626527960151E-3</v>
      </c>
      <c r="P101" s="2">
        <v>13</v>
      </c>
      <c r="Q101" s="2">
        <v>4.8</v>
      </c>
      <c r="R101" s="2">
        <v>5.0779356117191599</v>
      </c>
      <c r="S101" s="6">
        <f>(Q101-R101)</f>
        <v>-0.27793561171916004</v>
      </c>
      <c r="U101" s="2">
        <v>3794</v>
      </c>
      <c r="V101" s="2">
        <v>2.9</v>
      </c>
      <c r="W101" s="2">
        <v>2.8129254457330299</v>
      </c>
      <c r="X101" s="6">
        <f t="shared" si="1"/>
        <v>8.7074554266969972E-2</v>
      </c>
    </row>
    <row r="102" spans="1:24" x14ac:dyDescent="0.25">
      <c r="A102" s="2">
        <v>1461</v>
      </c>
      <c r="B102" s="2">
        <v>5.8</v>
      </c>
      <c r="C102" s="2">
        <v>6.5610211459442196</v>
      </c>
      <c r="D102" s="6">
        <f>(B102-C102)</f>
        <v>-0.76102114594421977</v>
      </c>
      <c r="F102" s="2">
        <v>1523</v>
      </c>
      <c r="G102" s="2">
        <v>3.53</v>
      </c>
      <c r="H102" s="2">
        <v>3.4120102393714702</v>
      </c>
      <c r="I102" s="6">
        <f>(G102-H102)</f>
        <v>0.11798976062852962</v>
      </c>
      <c r="K102" s="2">
        <v>3785</v>
      </c>
      <c r="L102" s="2">
        <v>1.67</v>
      </c>
      <c r="M102" s="2">
        <v>1.7749906611059201</v>
      </c>
      <c r="N102" s="6">
        <f>(L102-M102)</f>
        <v>-0.10499066110592015</v>
      </c>
      <c r="P102" s="2">
        <v>14</v>
      </c>
      <c r="Q102" s="2">
        <v>5.13</v>
      </c>
      <c r="R102" s="2">
        <v>5.1684956818441599</v>
      </c>
      <c r="S102" s="6">
        <f>(Q102-R102)</f>
        <v>-3.8495681844159968E-2</v>
      </c>
      <c r="U102" s="2">
        <v>3794</v>
      </c>
      <c r="V102" s="2">
        <v>2.9</v>
      </c>
      <c r="W102" s="2">
        <v>2.8129254457330299</v>
      </c>
      <c r="X102" s="6">
        <f t="shared" si="1"/>
        <v>8.7074554266969972E-2</v>
      </c>
    </row>
    <row r="103" spans="1:24" x14ac:dyDescent="0.25">
      <c r="A103" s="2">
        <v>1464</v>
      </c>
      <c r="B103" s="2">
        <v>4.5999999999999996</v>
      </c>
      <c r="C103" s="2">
        <v>4.9915955006687396</v>
      </c>
      <c r="D103" s="6">
        <f>(B103-C103)</f>
        <v>-0.39159550066873994</v>
      </c>
      <c r="F103" s="2">
        <v>3785</v>
      </c>
      <c r="G103" s="2">
        <v>4.16</v>
      </c>
      <c r="H103" s="2">
        <v>4.9635840449647901</v>
      </c>
      <c r="I103" s="6">
        <f>(G103-H103)</f>
        <v>-0.80358404496478997</v>
      </c>
      <c r="K103" s="2">
        <v>3794</v>
      </c>
      <c r="L103" s="2">
        <v>2.04</v>
      </c>
      <c r="M103" s="2">
        <v>1.74710552295702</v>
      </c>
      <c r="N103" s="6">
        <f>(L103-M103)</f>
        <v>0.29289447704297999</v>
      </c>
      <c r="P103" s="2">
        <v>15</v>
      </c>
      <c r="Q103" s="2">
        <v>6.5</v>
      </c>
      <c r="R103" s="2">
        <v>6.2973469235267903</v>
      </c>
      <c r="S103" s="6">
        <f>(Q103-R103)</f>
        <v>0.20265307647320974</v>
      </c>
      <c r="U103" s="2">
        <v>11</v>
      </c>
      <c r="V103" s="2">
        <v>2.0099999999999998</v>
      </c>
      <c r="W103" s="2">
        <v>3.1219919700582102</v>
      </c>
      <c r="X103" s="6">
        <f t="shared" si="1"/>
        <v>-1.1119919700582104</v>
      </c>
    </row>
    <row r="104" spans="1:24" x14ac:dyDescent="0.25">
      <c r="A104" s="2">
        <v>1519</v>
      </c>
      <c r="B104" s="2">
        <v>6.7</v>
      </c>
      <c r="C104" s="2">
        <v>7.2659994768247298</v>
      </c>
      <c r="D104" s="6">
        <f>(B104-C104)</f>
        <v>-0.56599947682472962</v>
      </c>
      <c r="F104" s="2">
        <v>3794</v>
      </c>
      <c r="G104" s="2">
        <v>4.1500000000000004</v>
      </c>
      <c r="H104" s="2">
        <v>4.1629328656713902</v>
      </c>
      <c r="I104" s="6">
        <f>(G104-H104)</f>
        <v>-1.2932865671389848E-2</v>
      </c>
      <c r="K104" s="2">
        <v>3794</v>
      </c>
      <c r="L104" s="2">
        <v>2.04</v>
      </c>
      <c r="M104" s="2">
        <v>1.74710552295702</v>
      </c>
      <c r="N104" s="6">
        <f>(L104-M104)</f>
        <v>0.29289447704297999</v>
      </c>
      <c r="P104" s="2">
        <v>3785</v>
      </c>
      <c r="Q104" s="2">
        <v>7.45</v>
      </c>
      <c r="R104" s="2">
        <v>7.0124912553718604</v>
      </c>
      <c r="S104" s="6">
        <f>(Q104-R104)</f>
        <v>0.43750874462813982</v>
      </c>
      <c r="U104" s="2">
        <v>12</v>
      </c>
      <c r="V104" s="2">
        <v>2.31</v>
      </c>
      <c r="W104" s="2">
        <v>2.18530562623716</v>
      </c>
      <c r="X104" s="6">
        <f t="shared" si="1"/>
        <v>0.12469437376284009</v>
      </c>
    </row>
    <row r="105" spans="1:24" x14ac:dyDescent="0.25">
      <c r="A105" s="2">
        <v>1520</v>
      </c>
      <c r="B105" s="2">
        <v>5.5</v>
      </c>
      <c r="C105" s="2">
        <v>5.0748892988833196</v>
      </c>
      <c r="D105" s="6">
        <f>(B105-C105)</f>
        <v>0.42511070111668037</v>
      </c>
      <c r="F105" s="2">
        <v>3794</v>
      </c>
      <c r="G105" s="2">
        <v>4.1500000000000004</v>
      </c>
      <c r="H105" s="2">
        <v>4.1629328656713902</v>
      </c>
      <c r="I105" s="6">
        <f>(G105-H105)</f>
        <v>-1.2932865671389848E-2</v>
      </c>
      <c r="K105" s="2">
        <v>11</v>
      </c>
      <c r="L105" s="2">
        <v>1.57</v>
      </c>
      <c r="M105" s="2">
        <v>1.8037144925085</v>
      </c>
      <c r="N105" s="6">
        <f>(L105-M105)</f>
        <v>-0.23371449250849996</v>
      </c>
      <c r="P105" s="2">
        <v>3790</v>
      </c>
      <c r="Q105" s="2">
        <v>7.45</v>
      </c>
      <c r="R105" s="2">
        <v>6.5692473847554496</v>
      </c>
      <c r="S105" s="6">
        <f>(Q105-R105)</f>
        <v>0.88075261524455062</v>
      </c>
      <c r="U105" s="2">
        <v>13</v>
      </c>
      <c r="V105" s="2">
        <v>2.09</v>
      </c>
      <c r="W105" s="2">
        <v>2.1172586119486998</v>
      </c>
      <c r="X105" s="6">
        <f t="shared" si="1"/>
        <v>-2.725861194869994E-2</v>
      </c>
    </row>
    <row r="106" spans="1:24" x14ac:dyDescent="0.25">
      <c r="A106" s="2">
        <v>1523</v>
      </c>
      <c r="B106" s="2">
        <v>4.5999999999999996</v>
      </c>
      <c r="C106" s="2">
        <v>4.7720243929580102</v>
      </c>
      <c r="D106" s="6">
        <f>(B106-C106)</f>
        <v>-0.17202439295801053</v>
      </c>
      <c r="F106" s="2">
        <v>11</v>
      </c>
      <c r="G106" s="2">
        <v>3.65</v>
      </c>
      <c r="H106" s="2">
        <v>4.9944451838298196</v>
      </c>
      <c r="I106" s="6">
        <f>(G106-H106)</f>
        <v>-1.3444451838298197</v>
      </c>
      <c r="K106" s="2">
        <v>12</v>
      </c>
      <c r="L106" s="2">
        <v>1.52</v>
      </c>
      <c r="M106" s="2">
        <v>1.41007380341144</v>
      </c>
      <c r="N106" s="6">
        <f>(L106-M106)</f>
        <v>0.10992619658856007</v>
      </c>
      <c r="P106" s="2">
        <v>4570</v>
      </c>
      <c r="Q106" s="2">
        <v>6.01</v>
      </c>
      <c r="R106" s="2">
        <v>5.2817993182623901</v>
      </c>
      <c r="S106" s="6">
        <f>(Q106-R106)</f>
        <v>0.72820068173760966</v>
      </c>
      <c r="U106" s="2">
        <v>14</v>
      </c>
      <c r="V106" s="2">
        <v>2.2000000000000002</v>
      </c>
      <c r="W106" s="2">
        <v>2.9586422734410101</v>
      </c>
      <c r="X106" s="6">
        <f t="shared" si="1"/>
        <v>-0.75864227344100987</v>
      </c>
    </row>
    <row r="107" spans="1:24" x14ac:dyDescent="0.25">
      <c r="A107" s="2">
        <v>1525</v>
      </c>
      <c r="B107" s="2">
        <v>5.0999999999999996</v>
      </c>
      <c r="C107" s="2">
        <v>4.2416591001475998</v>
      </c>
      <c r="D107" s="6">
        <f>(B107-C107)</f>
        <v>0.85834089985239981</v>
      </c>
      <c r="F107" s="2">
        <v>12</v>
      </c>
      <c r="G107" s="2">
        <v>3.88</v>
      </c>
      <c r="H107" s="2">
        <v>4.0602545777624899</v>
      </c>
      <c r="I107" s="6">
        <f>(G107-H107)</f>
        <v>-0.18025457776248999</v>
      </c>
      <c r="K107" s="2">
        <v>13</v>
      </c>
      <c r="L107" s="2">
        <v>1.35</v>
      </c>
      <c r="M107" s="2">
        <v>1.3507832134778699</v>
      </c>
      <c r="N107" s="6">
        <f>(L107-M107)</f>
        <v>-7.8321347786980411E-4</v>
      </c>
      <c r="P107" s="2">
        <v>4571</v>
      </c>
      <c r="Q107" s="2">
        <v>7.31</v>
      </c>
      <c r="R107" s="2">
        <v>6.5030155244156704</v>
      </c>
      <c r="S107" s="6">
        <f>(Q107-R107)</f>
        <v>0.80698447558432918</v>
      </c>
      <c r="U107" s="2">
        <v>15</v>
      </c>
      <c r="V107" s="2">
        <v>3.15</v>
      </c>
      <c r="W107" s="2">
        <v>3.21814930684226</v>
      </c>
      <c r="X107" s="6">
        <f t="shared" si="1"/>
        <v>-6.814930684226006E-2</v>
      </c>
    </row>
    <row r="108" spans="1:24" x14ac:dyDescent="0.25">
      <c r="A108" s="2">
        <v>1526</v>
      </c>
      <c r="B108" s="2">
        <v>3.6</v>
      </c>
      <c r="C108" s="2">
        <v>3.8796526865819301</v>
      </c>
      <c r="D108" s="6">
        <f>(B108-C108)</f>
        <v>-0.27965268658192999</v>
      </c>
      <c r="F108" s="2">
        <v>13</v>
      </c>
      <c r="G108" s="2">
        <v>3.62</v>
      </c>
      <c r="H108" s="2">
        <v>3.6710540638357001</v>
      </c>
      <c r="I108" s="6">
        <f>(G108-H108)</f>
        <v>-5.1054063835699992E-2</v>
      </c>
      <c r="K108" s="2">
        <v>14</v>
      </c>
      <c r="L108" s="2">
        <v>1.68</v>
      </c>
      <c r="M108" s="2">
        <v>2.0879713048060502</v>
      </c>
      <c r="N108" s="6">
        <f>(L108-M108)</f>
        <v>-0.40797130480605026</v>
      </c>
      <c r="P108" s="2">
        <v>4574</v>
      </c>
      <c r="Q108" s="2">
        <v>5.81</v>
      </c>
      <c r="R108" s="2">
        <v>4.7546814272123301</v>
      </c>
      <c r="S108" s="6">
        <f>(Q108-R108)</f>
        <v>1.0553185727876695</v>
      </c>
      <c r="U108" s="2">
        <v>3785</v>
      </c>
      <c r="V108" s="2">
        <v>2.85</v>
      </c>
      <c r="W108" s="2">
        <v>3.3368936537631302</v>
      </c>
      <c r="X108" s="6">
        <f t="shared" si="1"/>
        <v>-0.4868936537631301</v>
      </c>
    </row>
    <row r="109" spans="1:24" x14ac:dyDescent="0.25">
      <c r="A109" s="2">
        <v>1527</v>
      </c>
      <c r="B109" s="2">
        <v>3.5</v>
      </c>
      <c r="C109" s="2">
        <v>3.6916076791568599</v>
      </c>
      <c r="D109" s="6">
        <f>(B109-C109)</f>
        <v>-0.19160767915685994</v>
      </c>
      <c r="F109" s="2">
        <v>14</v>
      </c>
      <c r="G109" s="2">
        <v>3.96</v>
      </c>
      <c r="H109" s="2">
        <v>4.9315927782106401</v>
      </c>
      <c r="I109" s="6">
        <f>(G109-H109)</f>
        <v>-0.97159277821064016</v>
      </c>
      <c r="K109" s="2">
        <v>15</v>
      </c>
      <c r="L109" s="2">
        <v>2.67</v>
      </c>
      <c r="M109" s="2">
        <v>2.7287625905363102</v>
      </c>
      <c r="N109" s="6">
        <f>(L109-M109)</f>
        <v>-5.8762590536310277E-2</v>
      </c>
      <c r="P109" s="2">
        <v>4575</v>
      </c>
      <c r="Q109" s="2">
        <v>6.14</v>
      </c>
      <c r="R109" s="2">
        <v>7.3155957911493701</v>
      </c>
      <c r="S109" s="6">
        <f>(Q109-R109)</f>
        <v>-1.1755957911493704</v>
      </c>
      <c r="U109" s="2">
        <v>3790</v>
      </c>
      <c r="V109" s="2">
        <v>2.85</v>
      </c>
      <c r="W109" s="2">
        <v>2.9870687186654301</v>
      </c>
      <c r="X109" s="6">
        <f t="shared" si="1"/>
        <v>-0.13706871866543002</v>
      </c>
    </row>
    <row r="110" spans="1:24" x14ac:dyDescent="0.25">
      <c r="A110" s="2">
        <v>3785</v>
      </c>
      <c r="B110" s="2">
        <v>4.5</v>
      </c>
      <c r="C110" s="2">
        <v>6.0262424364870704</v>
      </c>
      <c r="D110" s="6">
        <f>(B110-C110)</f>
        <v>-1.5262424364870704</v>
      </c>
      <c r="F110" s="2">
        <v>15</v>
      </c>
      <c r="G110" s="2">
        <v>5.23</v>
      </c>
      <c r="H110" s="2">
        <v>5.2848240720274804</v>
      </c>
      <c r="I110" s="6">
        <f>(G110-H110)</f>
        <v>-5.4824072027479964E-2</v>
      </c>
      <c r="K110" s="2">
        <v>3785</v>
      </c>
      <c r="L110" s="2">
        <v>1.67</v>
      </c>
      <c r="M110" s="2">
        <v>1.7749906611059201</v>
      </c>
      <c r="N110" s="6">
        <f>(L110-M110)</f>
        <v>-0.10499066110592015</v>
      </c>
      <c r="P110" s="2">
        <v>4578</v>
      </c>
      <c r="Q110" s="2">
        <v>4.1399999999999997</v>
      </c>
      <c r="R110" s="2">
        <v>4.5121927697818096</v>
      </c>
      <c r="S110" s="6">
        <f>(Q110-R110)</f>
        <v>-0.37219276978180993</v>
      </c>
      <c r="U110" s="2">
        <v>4570</v>
      </c>
      <c r="V110" s="2">
        <v>4.55</v>
      </c>
      <c r="W110" s="2">
        <v>3.7034791343950202</v>
      </c>
      <c r="X110" s="6">
        <f t="shared" si="1"/>
        <v>0.84652086560497963</v>
      </c>
    </row>
    <row r="111" spans="1:24" x14ac:dyDescent="0.25">
      <c r="A111" s="2">
        <v>3794</v>
      </c>
      <c r="B111" s="2">
        <v>5.5</v>
      </c>
      <c r="C111" s="2">
        <v>5.3038116131794304</v>
      </c>
      <c r="D111" s="6">
        <f>(B111-C111)</f>
        <v>0.1961883868205696</v>
      </c>
      <c r="F111" s="2">
        <v>3785</v>
      </c>
      <c r="G111" s="2">
        <v>4.16</v>
      </c>
      <c r="H111" s="2">
        <v>4.9635840449647901</v>
      </c>
      <c r="I111" s="6">
        <f>(G111-H111)</f>
        <v>-0.80358404496478997</v>
      </c>
      <c r="K111" s="2">
        <v>3790</v>
      </c>
      <c r="L111" s="2">
        <v>1.45</v>
      </c>
      <c r="M111" s="2">
        <v>1.49577558932918</v>
      </c>
      <c r="N111" s="6">
        <f>(L111-M111)</f>
        <v>-4.5775589329180022E-2</v>
      </c>
      <c r="P111" s="2">
        <v>4579</v>
      </c>
      <c r="Q111" s="2">
        <v>7.76</v>
      </c>
      <c r="R111" s="2">
        <v>6.8619515254160399</v>
      </c>
      <c r="S111" s="6">
        <f>(Q111-R111)</f>
        <v>0.89804847458395987</v>
      </c>
      <c r="U111" s="2">
        <v>4571</v>
      </c>
      <c r="V111" s="2">
        <v>3.74</v>
      </c>
      <c r="W111" s="2">
        <v>3.7834547264400298</v>
      </c>
      <c r="X111" s="6">
        <f t="shared" si="1"/>
        <v>-4.3454726440029567E-2</v>
      </c>
    </row>
    <row r="112" spans="1:24" x14ac:dyDescent="0.25">
      <c r="A112" s="2">
        <v>3794</v>
      </c>
      <c r="B112" s="2">
        <v>5.5</v>
      </c>
      <c r="C112" s="2">
        <v>5.3038116131794304</v>
      </c>
      <c r="D112" s="6">
        <f>(B112-C112)</f>
        <v>0.1961883868205696</v>
      </c>
      <c r="F112" s="2">
        <v>3790</v>
      </c>
      <c r="G112" s="2">
        <v>4.2300000000000004</v>
      </c>
      <c r="H112" s="2">
        <v>4.3383541004822099</v>
      </c>
      <c r="I112" s="6">
        <f>(G112-H112)</f>
        <v>-0.1083541004822095</v>
      </c>
      <c r="K112" s="2">
        <v>4570</v>
      </c>
      <c r="L112" s="2">
        <v>3.01</v>
      </c>
      <c r="M112" s="2">
        <v>2.5633048519260502</v>
      </c>
      <c r="N112" s="6">
        <f>(L112-M112)</f>
        <v>0.44669514807394961</v>
      </c>
      <c r="P112" s="2">
        <v>4580</v>
      </c>
      <c r="Q112" s="2">
        <v>7.28</v>
      </c>
      <c r="R112" s="2">
        <v>7.3506450356343196</v>
      </c>
      <c r="S112" s="6">
        <f>(Q112-R112)</f>
        <v>-7.0645035634319342E-2</v>
      </c>
      <c r="U112" s="2">
        <v>4574</v>
      </c>
      <c r="V112" s="2">
        <v>2.85</v>
      </c>
      <c r="W112" s="2">
        <v>3.3115565530322302</v>
      </c>
      <c r="X112" s="6">
        <f t="shared" si="1"/>
        <v>-0.46155655303223009</v>
      </c>
    </row>
    <row r="113" spans="1:24" x14ac:dyDescent="0.25">
      <c r="A113" s="2">
        <v>11</v>
      </c>
      <c r="B113" s="2">
        <v>5.19</v>
      </c>
      <c r="C113" s="2">
        <v>5.8534392028484996</v>
      </c>
      <c r="D113" s="6">
        <f>(B113-C113)</f>
        <v>-0.66343920284849922</v>
      </c>
      <c r="F113" s="2">
        <v>4570</v>
      </c>
      <c r="G113" s="2">
        <v>5.93</v>
      </c>
      <c r="H113" s="2">
        <v>5.5742835322949604</v>
      </c>
      <c r="I113" s="6">
        <f>(G113-H113)</f>
        <v>0.35571646770503929</v>
      </c>
      <c r="K113" s="2">
        <v>4571</v>
      </c>
      <c r="L113" s="2">
        <v>2.95</v>
      </c>
      <c r="M113" s="2">
        <v>3.0069152849193301</v>
      </c>
      <c r="N113" s="6">
        <f>(L113-M113)</f>
        <v>-5.6915284919329956E-2</v>
      </c>
      <c r="P113" s="2">
        <v>4581</v>
      </c>
      <c r="Q113" s="2">
        <v>6.64</v>
      </c>
      <c r="R113" s="2">
        <v>5.8342083857746401</v>
      </c>
      <c r="S113" s="6">
        <f>(Q113-R113)</f>
        <v>0.80579161422535961</v>
      </c>
      <c r="U113" s="2">
        <v>4575</v>
      </c>
      <c r="V113" s="2">
        <v>4.3499999999999996</v>
      </c>
      <c r="W113" s="2">
        <v>4.1354611331226199</v>
      </c>
      <c r="X113" s="6">
        <f t="shared" si="1"/>
        <v>0.21453886687737977</v>
      </c>
    </row>
    <row r="114" spans="1:24" x14ac:dyDescent="0.25">
      <c r="A114" s="2">
        <v>12</v>
      </c>
      <c r="B114" s="2">
        <v>5.38</v>
      </c>
      <c r="C114" s="2">
        <v>5.5578615788541397</v>
      </c>
      <c r="D114" s="6">
        <f>(B114-C114)</f>
        <v>-0.17786157885413978</v>
      </c>
      <c r="F114" s="2">
        <v>4571</v>
      </c>
      <c r="G114" s="2">
        <v>6.57</v>
      </c>
      <c r="H114" s="2">
        <v>7.01366387781722</v>
      </c>
      <c r="I114" s="6">
        <f>(G114-H114)</f>
        <v>-0.44366387781721972</v>
      </c>
      <c r="K114" s="2">
        <v>4574</v>
      </c>
      <c r="L114" s="2">
        <v>1.99</v>
      </c>
      <c r="M114" s="2">
        <v>2.3363144171990902</v>
      </c>
      <c r="N114" s="6">
        <f>(L114-M114)</f>
        <v>-0.34631441719909017</v>
      </c>
      <c r="P114" s="2">
        <v>4582</v>
      </c>
      <c r="Q114" s="2">
        <v>3.96</v>
      </c>
      <c r="R114" s="2">
        <v>4.9366834595284397</v>
      </c>
      <c r="S114" s="6">
        <f>(Q114-R114)</f>
        <v>-0.97668345952843971</v>
      </c>
      <c r="U114" s="2">
        <v>4578</v>
      </c>
      <c r="V114" s="2">
        <v>1.43</v>
      </c>
      <c r="W114" s="2">
        <v>1.80156278917651</v>
      </c>
      <c r="X114" s="6">
        <f t="shared" si="1"/>
        <v>-0.37156278917651009</v>
      </c>
    </row>
    <row r="115" spans="1:24" x14ac:dyDescent="0.25">
      <c r="A115" s="2">
        <v>13</v>
      </c>
      <c r="B115" s="2">
        <v>4.71</v>
      </c>
      <c r="C115" s="2">
        <v>5.1160932024487602</v>
      </c>
      <c r="D115" s="6">
        <f>(B115-C115)</f>
        <v>-0.40609320244876024</v>
      </c>
      <c r="F115" s="2">
        <v>4574</v>
      </c>
      <c r="G115" s="2">
        <v>4.63</v>
      </c>
      <c r="H115" s="2">
        <v>4.9248721452345503</v>
      </c>
      <c r="I115" s="6">
        <f>(G115-H115)</f>
        <v>-0.29487214523455041</v>
      </c>
      <c r="K115" s="2">
        <v>4575</v>
      </c>
      <c r="L115" s="2">
        <v>4.04</v>
      </c>
      <c r="M115" s="2">
        <v>3.5017774750189199</v>
      </c>
      <c r="N115" s="6">
        <f>(L115-M115)</f>
        <v>0.53822252498108014</v>
      </c>
      <c r="P115" s="2">
        <v>4583</v>
      </c>
      <c r="Q115" s="2">
        <v>4.87</v>
      </c>
      <c r="R115" s="2">
        <v>4.5779876978099603</v>
      </c>
      <c r="S115" s="6">
        <f>(Q115-R115)</f>
        <v>0.29201230219003982</v>
      </c>
      <c r="U115" s="2">
        <v>4579</v>
      </c>
      <c r="V115" s="2">
        <v>3.99</v>
      </c>
      <c r="W115" s="2">
        <v>4.00007474349262</v>
      </c>
      <c r="X115" s="6">
        <f t="shared" si="1"/>
        <v>-1.0074743492619831E-2</v>
      </c>
    </row>
    <row r="116" spans="1:24" x14ac:dyDescent="0.25">
      <c r="A116" s="2">
        <v>14</v>
      </c>
      <c r="B116" s="2">
        <v>6.22</v>
      </c>
      <c r="C116" s="2">
        <v>6.6272203091393402</v>
      </c>
      <c r="D116" s="6">
        <f>(B116-C116)</f>
        <v>-0.40722030913934049</v>
      </c>
      <c r="F116" s="2">
        <v>4575</v>
      </c>
      <c r="G116" s="2">
        <v>6.32</v>
      </c>
      <c r="H116" s="2">
        <v>6.29996122425817</v>
      </c>
      <c r="I116" s="6">
        <f>(G116-H116)</f>
        <v>2.0038775741830328E-2</v>
      </c>
      <c r="K116" s="2">
        <v>4578</v>
      </c>
      <c r="L116" s="2">
        <v>1.34</v>
      </c>
      <c r="M116" s="2">
        <v>1.29081149037145</v>
      </c>
      <c r="N116" s="6">
        <f>(L116-M116)</f>
        <v>4.9188509628550037E-2</v>
      </c>
      <c r="P116" s="2">
        <v>4584</v>
      </c>
      <c r="Q116" s="2">
        <v>7.45</v>
      </c>
      <c r="R116" s="2">
        <v>6.5692473847554496</v>
      </c>
      <c r="S116" s="6">
        <f>(Q116-R116)</f>
        <v>0.88075261524455062</v>
      </c>
      <c r="U116" s="2">
        <v>4580</v>
      </c>
      <c r="V116" s="2">
        <v>4.9800000000000004</v>
      </c>
      <c r="W116" s="2">
        <v>4.3965631968907699</v>
      </c>
      <c r="X116" s="6">
        <f t="shared" si="1"/>
        <v>0.58343680310923052</v>
      </c>
    </row>
    <row r="117" spans="1:24" x14ac:dyDescent="0.25">
      <c r="A117" s="2">
        <v>15</v>
      </c>
      <c r="B117" s="2">
        <v>9.4499999999999993</v>
      </c>
      <c r="C117" s="2">
        <v>10.1186452229454</v>
      </c>
      <c r="D117" s="6">
        <f>(B117-C117)</f>
        <v>-0.66864522294540052</v>
      </c>
      <c r="F117" s="2">
        <v>4578</v>
      </c>
      <c r="G117" s="2">
        <v>2.84</v>
      </c>
      <c r="H117" s="2">
        <v>3.3897016513181502</v>
      </c>
      <c r="I117" s="6">
        <f>(G117-H117)</f>
        <v>-0.5497016513181503</v>
      </c>
      <c r="K117" s="2">
        <v>4579</v>
      </c>
      <c r="L117" s="2">
        <v>2.9</v>
      </c>
      <c r="M117" s="2">
        <v>2.8569504618328501</v>
      </c>
      <c r="N117" s="6">
        <f>(L117-M117)</f>
        <v>4.3049538167149848E-2</v>
      </c>
      <c r="P117" s="2">
        <v>5133</v>
      </c>
      <c r="Q117" s="2">
        <v>3.62</v>
      </c>
      <c r="R117" s="2">
        <v>4.9363823561846703</v>
      </c>
      <c r="S117" s="6">
        <f>(Q117-R117)</f>
        <v>-1.3163823561846701</v>
      </c>
      <c r="U117" s="2">
        <v>4581</v>
      </c>
      <c r="V117" s="2">
        <v>3.71</v>
      </c>
      <c r="W117" s="2">
        <v>3.6111966355662202</v>
      </c>
      <c r="X117" s="6">
        <f t="shared" si="1"/>
        <v>9.8803364433779794E-2</v>
      </c>
    </row>
    <row r="118" spans="1:24" x14ac:dyDescent="0.25">
      <c r="A118" s="2">
        <v>3785</v>
      </c>
      <c r="B118" s="2">
        <v>4.5</v>
      </c>
      <c r="C118" s="2">
        <v>6.0262424364870704</v>
      </c>
      <c r="D118" s="6">
        <f>(B118-C118)</f>
        <v>-1.5262424364870704</v>
      </c>
      <c r="F118" s="2">
        <v>4579</v>
      </c>
      <c r="G118" s="2">
        <v>7.87</v>
      </c>
      <c r="H118" s="2">
        <v>7.5730876411651904</v>
      </c>
      <c r="I118" s="6">
        <f>(G118-H118)</f>
        <v>0.29691235883480971</v>
      </c>
      <c r="K118" s="2">
        <v>4580</v>
      </c>
      <c r="L118" s="2">
        <v>4.47</v>
      </c>
      <c r="M118" s="2">
        <v>3.4889022427466201</v>
      </c>
      <c r="N118" s="6">
        <f>(L118-M118)</f>
        <v>0.98109775725337967</v>
      </c>
      <c r="P118" s="2">
        <v>5134</v>
      </c>
      <c r="Q118" s="2">
        <v>4.71</v>
      </c>
      <c r="R118" s="2">
        <v>5.2353917581929501</v>
      </c>
      <c r="S118" s="6">
        <f>(Q118-R118)</f>
        <v>-0.52539175819295014</v>
      </c>
      <c r="U118" s="2">
        <v>4583</v>
      </c>
      <c r="V118" s="2">
        <v>2.52</v>
      </c>
      <c r="W118" s="2">
        <v>2.28116978101699</v>
      </c>
      <c r="X118" s="6">
        <f t="shared" si="1"/>
        <v>0.23883021898301005</v>
      </c>
    </row>
    <row r="119" spans="1:24" x14ac:dyDescent="0.25">
      <c r="A119" s="2">
        <v>3790</v>
      </c>
      <c r="B119" s="2">
        <v>4.2</v>
      </c>
      <c r="C119" s="2">
        <v>5.3461476808962001</v>
      </c>
      <c r="D119" s="6">
        <f>(B119-C119)</f>
        <v>-1.1461476808961999</v>
      </c>
      <c r="F119" s="2">
        <v>4580</v>
      </c>
      <c r="G119" s="2">
        <v>8.4600000000000009</v>
      </c>
      <c r="H119" s="2">
        <v>6.4827343604870702</v>
      </c>
      <c r="I119" s="6">
        <f>(G119-H119)</f>
        <v>1.9772656395129307</v>
      </c>
      <c r="K119" s="2">
        <v>4581</v>
      </c>
      <c r="L119" s="2">
        <v>3.11</v>
      </c>
      <c r="M119" s="2">
        <v>2.6063121524234201</v>
      </c>
      <c r="N119" s="6">
        <f>(L119-M119)</f>
        <v>0.50368784757657981</v>
      </c>
      <c r="P119" s="2">
        <v>5135</v>
      </c>
      <c r="Q119" s="2">
        <v>7.04</v>
      </c>
      <c r="R119" s="2">
        <v>5.9526953984545701</v>
      </c>
      <c r="S119" s="6">
        <f>(Q119-R119)</f>
        <v>1.08730460154543</v>
      </c>
      <c r="U119" s="2">
        <v>4584</v>
      </c>
      <c r="V119" s="2">
        <v>2.85</v>
      </c>
      <c r="W119" s="2">
        <v>2.9870687186654301</v>
      </c>
      <c r="X119" s="6">
        <f t="shared" si="1"/>
        <v>-0.13706871866543002</v>
      </c>
    </row>
    <row r="120" spans="1:24" x14ac:dyDescent="0.25">
      <c r="A120" s="2">
        <v>4570</v>
      </c>
      <c r="B120" s="2">
        <v>9.5</v>
      </c>
      <c r="C120" s="2">
        <v>8.1841532366689709</v>
      </c>
      <c r="D120" s="6">
        <f>(B120-C120)</f>
        <v>1.3158467633310291</v>
      </c>
      <c r="F120" s="2">
        <v>4581</v>
      </c>
      <c r="G120" s="2">
        <v>5.54</v>
      </c>
      <c r="H120" s="2">
        <v>6.4505623162740102</v>
      </c>
      <c r="I120" s="6">
        <f>(G120-H120)</f>
        <v>-0.91056231627401019</v>
      </c>
      <c r="K120" s="2">
        <v>4583</v>
      </c>
      <c r="L120" s="2">
        <v>2.06</v>
      </c>
      <c r="M120" s="2">
        <v>1.9297054108578799</v>
      </c>
      <c r="N120" s="6">
        <f>(L120-M120)</f>
        <v>0.13029458914212011</v>
      </c>
      <c r="P120" s="2">
        <v>5137</v>
      </c>
      <c r="Q120" s="2">
        <v>6.88</v>
      </c>
      <c r="R120" s="2">
        <v>6.22822825632419</v>
      </c>
      <c r="S120" s="6">
        <f>(Q120-R120)</f>
        <v>0.65177174367580992</v>
      </c>
      <c r="U120" s="2">
        <v>5133</v>
      </c>
      <c r="V120" s="2">
        <v>2.84</v>
      </c>
      <c r="W120" s="2">
        <v>3.0364811944875498</v>
      </c>
      <c r="X120" s="6">
        <f t="shared" si="1"/>
        <v>-0.19648119448754997</v>
      </c>
    </row>
    <row r="121" spans="1:24" x14ac:dyDescent="0.25">
      <c r="A121" s="2">
        <v>4571</v>
      </c>
      <c r="B121" s="2">
        <v>9.1</v>
      </c>
      <c r="C121" s="2">
        <v>9.6897662937534506</v>
      </c>
      <c r="D121" s="6">
        <f>(B121-C121)</f>
        <v>-0.58976629375345091</v>
      </c>
      <c r="F121" s="2">
        <v>4583</v>
      </c>
      <c r="G121" s="2">
        <v>4.26</v>
      </c>
      <c r="H121" s="2">
        <v>3.86125954765444</v>
      </c>
      <c r="I121" s="6">
        <f>(G121-H121)</f>
        <v>0.39874045234555977</v>
      </c>
      <c r="K121" s="2">
        <v>4584</v>
      </c>
      <c r="L121" s="2">
        <v>1.45</v>
      </c>
      <c r="M121" s="2">
        <v>1.49577558932918</v>
      </c>
      <c r="N121" s="6">
        <f>(L121-M121)</f>
        <v>-4.5775589329180022E-2</v>
      </c>
      <c r="P121" s="2">
        <v>5138</v>
      </c>
      <c r="Q121" s="2">
        <v>6.41</v>
      </c>
      <c r="R121" s="2">
        <v>5.4248830770650898</v>
      </c>
      <c r="S121" s="6">
        <f>(Q121-R121)</f>
        <v>0.98511692293491038</v>
      </c>
      <c r="U121" s="2">
        <v>5134</v>
      </c>
      <c r="V121" s="2">
        <v>2.34</v>
      </c>
      <c r="W121" s="2">
        <v>2.5299025095738301</v>
      </c>
      <c r="X121" s="6">
        <f t="shared" si="1"/>
        <v>-0.18990250957383026</v>
      </c>
    </row>
    <row r="122" spans="1:24" x14ac:dyDescent="0.25">
      <c r="A122" s="2">
        <v>4574</v>
      </c>
      <c r="B122" s="2">
        <v>7.3</v>
      </c>
      <c r="C122" s="2">
        <v>7.4672786734575798</v>
      </c>
      <c r="D122" s="6">
        <f>(B122-C122)</f>
        <v>-0.16727867345757996</v>
      </c>
      <c r="F122" s="2">
        <v>4584</v>
      </c>
      <c r="G122" s="2">
        <v>4.2300000000000004</v>
      </c>
      <c r="H122" s="2">
        <v>4.3383541004822099</v>
      </c>
      <c r="I122" s="6">
        <f>(G122-H122)</f>
        <v>-0.1083541004822095</v>
      </c>
      <c r="K122" s="2">
        <v>5133</v>
      </c>
      <c r="L122" s="2">
        <v>1.8</v>
      </c>
      <c r="M122" s="2">
        <v>2.0618275556870098</v>
      </c>
      <c r="N122" s="6">
        <f>(L122-M122)</f>
        <v>-0.26182755568700977</v>
      </c>
      <c r="P122" s="2">
        <v>5139</v>
      </c>
      <c r="Q122" s="2">
        <v>9.89</v>
      </c>
      <c r="R122" s="2">
        <v>9.2122525403979605</v>
      </c>
      <c r="S122" s="6">
        <f>(Q122-R122)</f>
        <v>0.67774745960204008</v>
      </c>
      <c r="U122" s="2">
        <v>5135</v>
      </c>
      <c r="V122" s="2">
        <v>3.63</v>
      </c>
      <c r="W122" s="2">
        <v>3.1102165386570402</v>
      </c>
      <c r="X122" s="6">
        <f t="shared" si="1"/>
        <v>0.51978346134295972</v>
      </c>
    </row>
    <row r="123" spans="1:24" x14ac:dyDescent="0.25">
      <c r="A123" s="2">
        <v>4575</v>
      </c>
      <c r="B123" s="2">
        <v>8.5</v>
      </c>
      <c r="C123" s="2">
        <v>7.8342158665572104</v>
      </c>
      <c r="D123" s="6">
        <f>(B123-C123)</f>
        <v>0.66578413344278964</v>
      </c>
      <c r="F123" s="2">
        <v>5133</v>
      </c>
      <c r="G123" s="2">
        <v>4.7965027039999999</v>
      </c>
      <c r="H123" s="2">
        <v>4.8979694485051102</v>
      </c>
      <c r="I123" s="6">
        <f>(G123-H123)</f>
        <v>-0.10146674450511028</v>
      </c>
      <c r="K123" s="2">
        <v>5134</v>
      </c>
      <c r="L123" s="2">
        <v>1.53</v>
      </c>
      <c r="M123" s="2">
        <v>1.57058182506618</v>
      </c>
      <c r="N123" s="6">
        <f>(L123-M123)</f>
        <v>-4.0581825066180022E-2</v>
      </c>
      <c r="P123" s="2">
        <v>5140</v>
      </c>
      <c r="Q123" s="2">
        <v>5.77</v>
      </c>
      <c r="R123" s="2">
        <v>5.7362955927061696</v>
      </c>
      <c r="S123" s="6">
        <f>(Q123-R123)</f>
        <v>3.3704407293829952E-2</v>
      </c>
      <c r="U123" s="2">
        <v>5137</v>
      </c>
      <c r="V123" s="2">
        <v>3.91</v>
      </c>
      <c r="W123" s="2">
        <v>3.8333692079896799</v>
      </c>
      <c r="X123" s="6">
        <f t="shared" si="1"/>
        <v>7.6630792010320192E-2</v>
      </c>
    </row>
    <row r="124" spans="1:24" x14ac:dyDescent="0.25">
      <c r="A124" s="2">
        <v>4578</v>
      </c>
      <c r="B124" s="2">
        <v>5.6</v>
      </c>
      <c r="C124" s="2">
        <v>4.7981059147196197</v>
      </c>
      <c r="D124" s="6">
        <f>(B124-C124)</f>
        <v>0.80189408528037998</v>
      </c>
      <c r="F124" s="2">
        <v>5134</v>
      </c>
      <c r="G124" s="2">
        <v>4.2310822029999997</v>
      </c>
      <c r="H124" s="2">
        <v>4.4111911109889297</v>
      </c>
      <c r="I124" s="6">
        <f>(G124-H124)</f>
        <v>-0.18010890798892998</v>
      </c>
      <c r="K124" s="2">
        <v>5135</v>
      </c>
      <c r="L124" s="2">
        <v>1.88</v>
      </c>
      <c r="M124" s="2">
        <v>1.85920356063017</v>
      </c>
      <c r="N124" s="6">
        <f>(L124-M124)</f>
        <v>2.0796439369829889E-2</v>
      </c>
      <c r="P124" s="2">
        <v>5141</v>
      </c>
      <c r="Q124" s="2">
        <v>5.81</v>
      </c>
      <c r="R124" s="2">
        <v>5.4170741414785901</v>
      </c>
      <c r="S124" s="6">
        <f>(Q124-R124)</f>
        <v>0.39292585852140949</v>
      </c>
      <c r="U124" s="2">
        <v>5138</v>
      </c>
      <c r="V124" s="2">
        <v>2.4</v>
      </c>
      <c r="W124" s="2">
        <v>2.2447994498571502</v>
      </c>
      <c r="X124" s="6">
        <f t="shared" si="1"/>
        <v>0.15520055014284972</v>
      </c>
    </row>
    <row r="125" spans="1:24" x14ac:dyDescent="0.25">
      <c r="A125" s="2">
        <v>4579</v>
      </c>
      <c r="B125" s="2">
        <v>12</v>
      </c>
      <c r="C125" s="2">
        <v>11.1064230915526</v>
      </c>
      <c r="D125" s="6">
        <f>(B125-C125)</f>
        <v>0.89357690844740034</v>
      </c>
      <c r="F125" s="2">
        <v>5135</v>
      </c>
      <c r="G125" s="2">
        <v>4.9000000000000004</v>
      </c>
      <c r="H125" s="2">
        <v>4.2972511684125498</v>
      </c>
      <c r="I125" s="6">
        <f>(G125-H125)</f>
        <v>0.60274883158745052</v>
      </c>
      <c r="K125" s="2">
        <v>5137</v>
      </c>
      <c r="L125" s="2">
        <v>3.29</v>
      </c>
      <c r="M125" s="2">
        <v>3.20952238376058</v>
      </c>
      <c r="N125" s="6">
        <f>(L125-M125)</f>
        <v>8.0477616239420069E-2</v>
      </c>
      <c r="P125" s="2">
        <v>5142</v>
      </c>
      <c r="Q125" s="2">
        <v>4.3</v>
      </c>
      <c r="R125" s="2">
        <v>5.0595785744826101</v>
      </c>
      <c r="S125" s="6">
        <f>(Q125-R125)</f>
        <v>-0.75957857448261024</v>
      </c>
      <c r="U125" s="2">
        <v>5139</v>
      </c>
      <c r="V125" s="2">
        <v>3.78</v>
      </c>
      <c r="W125" s="2">
        <v>3.7978381048218299</v>
      </c>
      <c r="X125" s="6">
        <f t="shared" si="1"/>
        <v>-1.7838104821830125E-2</v>
      </c>
    </row>
    <row r="126" spans="1:24" x14ac:dyDescent="0.25">
      <c r="A126" s="2">
        <v>4580</v>
      </c>
      <c r="B126" s="2">
        <v>10</v>
      </c>
      <c r="C126" s="2">
        <v>8.2961671398372694</v>
      </c>
      <c r="D126" s="6">
        <f>(B126-C126)</f>
        <v>1.7038328601627306</v>
      </c>
      <c r="F126" s="2">
        <v>5137</v>
      </c>
      <c r="G126" s="2">
        <v>6.51</v>
      </c>
      <c r="H126" s="2">
        <v>6.6332190383716698</v>
      </c>
      <c r="I126" s="6">
        <f>(G126-H126)</f>
        <v>-0.12321903837167003</v>
      </c>
      <c r="K126" s="2">
        <v>5138</v>
      </c>
      <c r="L126" s="2">
        <v>2.79</v>
      </c>
      <c r="M126" s="2">
        <v>2.6503825646714101</v>
      </c>
      <c r="N126" s="6">
        <f>(L126-M126)</f>
        <v>0.13961743532858994</v>
      </c>
      <c r="P126" s="2">
        <v>5183</v>
      </c>
      <c r="Q126" s="2">
        <v>6.16</v>
      </c>
      <c r="R126" s="2">
        <v>6.4788356087935499</v>
      </c>
      <c r="S126" s="6">
        <f>(Q126-R126)</f>
        <v>-0.31883560879354977</v>
      </c>
      <c r="U126" s="2">
        <v>5140</v>
      </c>
      <c r="V126" s="2">
        <v>2.1800000000000002</v>
      </c>
      <c r="W126" s="2">
        <v>2.6612124409267</v>
      </c>
      <c r="X126" s="6">
        <f t="shared" si="1"/>
        <v>-0.48121244092669979</v>
      </c>
    </row>
    <row r="127" spans="1:24" x14ac:dyDescent="0.25">
      <c r="A127" s="2">
        <v>4581</v>
      </c>
      <c r="B127" s="2">
        <v>9.5</v>
      </c>
      <c r="C127" s="2">
        <v>8.7039195637327396</v>
      </c>
      <c r="D127" s="6">
        <f>(B127-C127)</f>
        <v>0.79608043626726044</v>
      </c>
      <c r="F127" s="2">
        <v>5138</v>
      </c>
      <c r="G127" s="2">
        <v>4.88</v>
      </c>
      <c r="H127" s="2">
        <v>4.76699256664548</v>
      </c>
      <c r="I127" s="6">
        <f>(G127-H127)</f>
        <v>0.1130074333545199</v>
      </c>
      <c r="K127" s="2">
        <v>5139</v>
      </c>
      <c r="L127" s="2">
        <v>2.91</v>
      </c>
      <c r="M127" s="2">
        <v>2.9179069579888202</v>
      </c>
      <c r="N127" s="6">
        <f>(L127-M127)</f>
        <v>-7.9069579888200181E-3</v>
      </c>
      <c r="P127" s="2">
        <v>5187</v>
      </c>
      <c r="Q127" s="2">
        <v>6.15</v>
      </c>
      <c r="R127" s="2">
        <v>5.7557042048110798</v>
      </c>
      <c r="S127" s="6">
        <f>(Q127-R127)</f>
        <v>0.39429579518892055</v>
      </c>
      <c r="U127" s="2">
        <v>5141</v>
      </c>
      <c r="V127" s="2">
        <v>3.11</v>
      </c>
      <c r="W127" s="2">
        <v>2.8974077109030798</v>
      </c>
      <c r="X127" s="6">
        <f t="shared" si="1"/>
        <v>0.21259228909692007</v>
      </c>
    </row>
    <row r="128" spans="1:24" x14ac:dyDescent="0.25">
      <c r="A128" s="2">
        <v>4582</v>
      </c>
      <c r="B128" s="2">
        <v>2</v>
      </c>
      <c r="C128" s="2">
        <v>3.0513669470111702</v>
      </c>
      <c r="D128" s="6">
        <f>(B128-C128)</f>
        <v>-1.0513669470111702</v>
      </c>
      <c r="F128" s="2">
        <v>5139</v>
      </c>
      <c r="G128" s="2">
        <v>10.23</v>
      </c>
      <c r="H128" s="2">
        <v>9.8986701665197501</v>
      </c>
      <c r="I128" s="6">
        <f>(G128-H128)</f>
        <v>0.33132983348025036</v>
      </c>
      <c r="K128" s="2">
        <v>5140</v>
      </c>
      <c r="L128" s="2">
        <v>1.67</v>
      </c>
      <c r="M128" s="2">
        <v>1.70422804885815</v>
      </c>
      <c r="N128" s="6">
        <f>(L128-M128)</f>
        <v>-3.4228048858150117E-2</v>
      </c>
      <c r="P128" s="2">
        <v>5189</v>
      </c>
      <c r="Q128" s="2">
        <v>6.18</v>
      </c>
      <c r="R128" s="2">
        <v>6.0182270969411302</v>
      </c>
      <c r="S128" s="6">
        <f>(Q128-R128)</f>
        <v>0.16177290305886949</v>
      </c>
      <c r="U128" s="2">
        <v>5142</v>
      </c>
      <c r="V128" s="2">
        <v>2.59</v>
      </c>
      <c r="W128" s="2">
        <v>2.4969465978554899</v>
      </c>
      <c r="X128" s="6">
        <f t="shared" si="1"/>
        <v>9.3053402144509967E-2</v>
      </c>
    </row>
    <row r="129" spans="1:24" x14ac:dyDescent="0.25">
      <c r="A129" s="2">
        <v>4583</v>
      </c>
      <c r="B129" s="2">
        <v>5.6</v>
      </c>
      <c r="C129" s="2">
        <v>4.8247351719539298</v>
      </c>
      <c r="D129" s="6">
        <f>(B129-C129)</f>
        <v>0.77526482804606989</v>
      </c>
      <c r="F129" s="2">
        <v>5140</v>
      </c>
      <c r="G129" s="2">
        <v>3.7</v>
      </c>
      <c r="H129" s="2">
        <v>4.68189003274101</v>
      </c>
      <c r="I129" s="6">
        <f>(G129-H129)</f>
        <v>-0.98189003274100983</v>
      </c>
      <c r="K129" s="2">
        <v>5141</v>
      </c>
      <c r="L129" s="2">
        <v>1.65</v>
      </c>
      <c r="M129" s="2">
        <v>1.6829170300637499</v>
      </c>
      <c r="N129" s="6">
        <f>(L129-M129)</f>
        <v>-3.2917030063750019E-2</v>
      </c>
      <c r="P129" s="2">
        <v>5192</v>
      </c>
      <c r="Q129" s="2">
        <v>6.08</v>
      </c>
      <c r="R129" s="2">
        <v>6.2576045746304496</v>
      </c>
      <c r="S129" s="6">
        <f>(Q129-R129)</f>
        <v>-0.17760457463044954</v>
      </c>
      <c r="U129" s="2">
        <v>5183</v>
      </c>
      <c r="V129" s="2">
        <v>5.76</v>
      </c>
      <c r="W129" s="2">
        <v>4.8365566646892004</v>
      </c>
      <c r="X129" s="6">
        <f t="shared" si="1"/>
        <v>0.92344333531079936</v>
      </c>
    </row>
    <row r="130" spans="1:24" x14ac:dyDescent="0.25">
      <c r="A130" s="2">
        <v>4584</v>
      </c>
      <c r="B130" s="2">
        <v>4.2</v>
      </c>
      <c r="C130" s="2">
        <v>5.3461476808962001</v>
      </c>
      <c r="D130" s="6">
        <f>(B130-C130)</f>
        <v>-1.1461476808961999</v>
      </c>
      <c r="F130" s="2">
        <v>5141</v>
      </c>
      <c r="G130" s="2">
        <v>6.07</v>
      </c>
      <c r="H130" s="2">
        <v>5.1485075740429496</v>
      </c>
      <c r="I130" s="6">
        <f>(G130-H130)</f>
        <v>0.92149242595705072</v>
      </c>
      <c r="K130" s="2">
        <v>5142</v>
      </c>
      <c r="L130" s="2">
        <v>1.89</v>
      </c>
      <c r="M130" s="2">
        <v>1.7799692763666499</v>
      </c>
      <c r="N130" s="6">
        <f>(L130-M130)</f>
        <v>0.11003072363334998</v>
      </c>
      <c r="P130" s="2">
        <v>5316</v>
      </c>
      <c r="Q130" s="2">
        <v>5.17</v>
      </c>
      <c r="R130" s="2">
        <v>4.4250214731590596</v>
      </c>
      <c r="S130" s="6">
        <f>(Q130-R130)</f>
        <v>0.74497852684094035</v>
      </c>
      <c r="U130" s="2">
        <v>5187</v>
      </c>
      <c r="V130" s="2">
        <v>5.2</v>
      </c>
      <c r="W130" s="2">
        <v>4.82245391947757</v>
      </c>
      <c r="X130" s="6">
        <f t="shared" si="1"/>
        <v>0.37754608052243022</v>
      </c>
    </row>
    <row r="131" spans="1:24" x14ac:dyDescent="0.25">
      <c r="A131" s="2">
        <v>5133</v>
      </c>
      <c r="B131" s="2">
        <v>5.9</v>
      </c>
      <c r="C131" s="2">
        <v>6.8466517817134003</v>
      </c>
      <c r="D131" s="6">
        <f>(B131-C131)</f>
        <v>-0.94665178171339992</v>
      </c>
      <c r="F131" s="2">
        <v>5142</v>
      </c>
      <c r="G131" s="2">
        <v>4.17</v>
      </c>
      <c r="H131" s="2">
        <v>4.0739565278446204</v>
      </c>
      <c r="I131" s="6">
        <f>(G131-H131)</f>
        <v>9.6043472155379561E-2</v>
      </c>
      <c r="K131" s="2">
        <v>5183</v>
      </c>
      <c r="L131" s="2">
        <v>3.03</v>
      </c>
      <c r="M131" s="2">
        <v>2.8117391434158798</v>
      </c>
      <c r="N131" s="6">
        <f>(L131-M131)</f>
        <v>0.21826085658411998</v>
      </c>
      <c r="P131" s="2">
        <v>5317</v>
      </c>
      <c r="Q131" s="2">
        <v>6.85</v>
      </c>
      <c r="R131" s="2">
        <v>8.2868654674850806</v>
      </c>
      <c r="S131" s="6">
        <f>(Q131-R131)</f>
        <v>-1.4368654674850809</v>
      </c>
      <c r="U131" s="2">
        <v>5189</v>
      </c>
      <c r="V131" s="2">
        <v>5.73</v>
      </c>
      <c r="W131" s="2">
        <v>5.1139645397925202</v>
      </c>
      <c r="X131" s="6">
        <f t="shared" si="1"/>
        <v>0.61603546020748023</v>
      </c>
    </row>
    <row r="132" spans="1:24" x14ac:dyDescent="0.25">
      <c r="A132" s="2">
        <v>5134</v>
      </c>
      <c r="B132" s="2">
        <v>5.5</v>
      </c>
      <c r="C132" s="2">
        <v>5.7810257990742198</v>
      </c>
      <c r="D132" s="6">
        <f>(B132-C132)</f>
        <v>-0.28102579907421976</v>
      </c>
      <c r="F132" s="2">
        <v>5183</v>
      </c>
      <c r="G132" s="2">
        <v>7.68</v>
      </c>
      <c r="H132" s="2">
        <v>6.6510057321075404</v>
      </c>
      <c r="I132" s="6">
        <f>(G132-H132)</f>
        <v>1.0289942678924593</v>
      </c>
      <c r="K132" s="2">
        <v>5187</v>
      </c>
      <c r="L132" s="2">
        <v>2.68</v>
      </c>
      <c r="M132" s="2">
        <v>2.5907280694847299</v>
      </c>
      <c r="N132" s="6">
        <f>(L132-M132)</f>
        <v>8.927193051527027E-2</v>
      </c>
      <c r="P132" s="2">
        <v>5472</v>
      </c>
      <c r="Q132" s="2">
        <v>5.24</v>
      </c>
      <c r="R132" s="2">
        <v>5.9622964734158703</v>
      </c>
      <c r="S132" s="6">
        <f>(Q132-R132)</f>
        <v>-0.72229647341587011</v>
      </c>
      <c r="U132" s="2">
        <v>5192</v>
      </c>
      <c r="V132" s="2">
        <v>5.79</v>
      </c>
      <c r="W132" s="2">
        <v>5.0773511127448296</v>
      </c>
      <c r="X132" s="6">
        <f t="shared" si="1"/>
        <v>0.71264888725517039</v>
      </c>
    </row>
    <row r="133" spans="1:24" x14ac:dyDescent="0.25">
      <c r="A133" s="2">
        <v>5135</v>
      </c>
      <c r="B133" s="2">
        <v>5.3</v>
      </c>
      <c r="C133" s="2">
        <v>4.9753779762762704</v>
      </c>
      <c r="D133" s="6">
        <f>(B133-C133)</f>
        <v>0.32462202372372939</v>
      </c>
      <c r="F133" s="2">
        <v>5187</v>
      </c>
      <c r="G133" s="2">
        <v>7.39</v>
      </c>
      <c r="H133" s="2">
        <v>6.1994753306391797</v>
      </c>
      <c r="I133" s="6">
        <f>(G133-H133)</f>
        <v>1.19052466936082</v>
      </c>
      <c r="K133" s="2">
        <v>5189</v>
      </c>
      <c r="L133" s="2">
        <v>3.03</v>
      </c>
      <c r="M133" s="2">
        <v>2.69916625193963</v>
      </c>
      <c r="N133" s="6">
        <f>(L133-M133)</f>
        <v>0.3308337480603698</v>
      </c>
      <c r="P133" s="2">
        <v>5860</v>
      </c>
      <c r="Q133" s="2">
        <v>4.3499999999999996</v>
      </c>
      <c r="R133" s="2">
        <v>5.1742366974287499</v>
      </c>
      <c r="S133" s="6">
        <f>(Q133-R133)</f>
        <v>-0.82423669742875028</v>
      </c>
      <c r="U133" s="2">
        <v>5316</v>
      </c>
      <c r="V133" s="2">
        <v>2.0499999999999998</v>
      </c>
      <c r="W133" s="2">
        <v>2.1598381996634899</v>
      </c>
      <c r="X133" s="6">
        <f t="shared" si="1"/>
        <v>-0.10983819966349007</v>
      </c>
    </row>
    <row r="134" spans="1:24" x14ac:dyDescent="0.25">
      <c r="A134" s="2">
        <v>5137</v>
      </c>
      <c r="B134" s="2">
        <v>11</v>
      </c>
      <c r="C134" s="2">
        <v>11.0340241025655</v>
      </c>
      <c r="D134" s="6">
        <f>(B134-C134)</f>
        <v>-3.4024102565499703E-2</v>
      </c>
      <c r="F134" s="2">
        <v>5189</v>
      </c>
      <c r="G134" s="2">
        <v>7.69</v>
      </c>
      <c r="H134" s="2">
        <v>6.4291368816932399</v>
      </c>
      <c r="I134" s="6">
        <f>(G134-H134)</f>
        <v>1.2608631183067605</v>
      </c>
      <c r="K134" s="2">
        <v>5316</v>
      </c>
      <c r="L134" s="2">
        <v>0.85</v>
      </c>
      <c r="M134" s="2">
        <v>0.87937160028924399</v>
      </c>
      <c r="N134" s="6">
        <f>(L134-M134)</f>
        <v>-2.9371600289244015E-2</v>
      </c>
      <c r="P134" s="2">
        <v>5863</v>
      </c>
      <c r="Q134" s="2">
        <v>4.93</v>
      </c>
      <c r="R134" s="2">
        <v>4.9259347267829998</v>
      </c>
      <c r="S134" s="6">
        <f>(Q134-R134)</f>
        <v>4.0652732169998984E-3</v>
      </c>
      <c r="U134" s="2">
        <v>5317</v>
      </c>
      <c r="V134" s="2">
        <v>3.18</v>
      </c>
      <c r="W134" s="2">
        <v>4.2624713646872898</v>
      </c>
      <c r="X134" s="6">
        <f t="shared" si="1"/>
        <v>-1.0824713646872897</v>
      </c>
    </row>
    <row r="135" spans="1:24" x14ac:dyDescent="0.25">
      <c r="A135" s="2">
        <v>5138</v>
      </c>
      <c r="B135" s="2">
        <v>9.6</v>
      </c>
      <c r="C135" s="2">
        <v>9.6075495107214692</v>
      </c>
      <c r="D135" s="6">
        <f>(B135-C135)</f>
        <v>-7.5495107214695878E-3</v>
      </c>
      <c r="F135" s="2">
        <v>5192</v>
      </c>
      <c r="G135" s="2">
        <v>7.93</v>
      </c>
      <c r="H135" s="2">
        <v>6.8271069496507399</v>
      </c>
      <c r="I135" s="6">
        <f>(G135-H135)</f>
        <v>1.1028930503492598</v>
      </c>
      <c r="K135" s="2">
        <v>5317</v>
      </c>
      <c r="L135" s="2">
        <v>2.91</v>
      </c>
      <c r="M135" s="2">
        <v>3.80483689779801</v>
      </c>
      <c r="N135" s="6">
        <f>(L135-M135)</f>
        <v>-0.8948368977980099</v>
      </c>
      <c r="P135" s="2">
        <v>5864</v>
      </c>
      <c r="Q135" s="2">
        <v>5.98</v>
      </c>
      <c r="R135" s="2">
        <v>5.8173611316444802</v>
      </c>
      <c r="S135" s="6">
        <f>(Q135-R135)</f>
        <v>0.16263886835552022</v>
      </c>
      <c r="U135" s="2">
        <v>5471</v>
      </c>
      <c r="V135" s="2">
        <v>3.22</v>
      </c>
      <c r="W135" s="2">
        <v>3.1981191045280801</v>
      </c>
      <c r="X135" s="6">
        <f t="shared" si="1"/>
        <v>2.188089547192007E-2</v>
      </c>
    </row>
    <row r="136" spans="1:24" x14ac:dyDescent="0.25">
      <c r="A136" s="2">
        <v>5139</v>
      </c>
      <c r="B136" s="2">
        <v>17</v>
      </c>
      <c r="C136" s="2">
        <v>16.329338803928</v>
      </c>
      <c r="D136" s="6">
        <f>(B136-C136)</f>
        <v>0.67066119607200037</v>
      </c>
      <c r="F136" s="2">
        <v>5316</v>
      </c>
      <c r="G136" s="2">
        <v>3.32</v>
      </c>
      <c r="H136" s="2">
        <v>3.5780384347754102</v>
      </c>
      <c r="I136" s="6">
        <f>(G136-H136)</f>
        <v>-0.25803843477541033</v>
      </c>
      <c r="K136" s="2">
        <v>5471</v>
      </c>
      <c r="L136" s="2">
        <v>2.61</v>
      </c>
      <c r="M136" s="2">
        <v>2.3188685937827</v>
      </c>
      <c r="N136" s="6">
        <f>(L136-M136)</f>
        <v>0.29113140621729983</v>
      </c>
      <c r="P136" s="2">
        <v>5865</v>
      </c>
      <c r="Q136" s="2">
        <v>8.43</v>
      </c>
      <c r="R136" s="2">
        <v>8.5767580334021805</v>
      </c>
      <c r="S136" s="6">
        <f>(Q136-R136)</f>
        <v>-0.14675803340218074</v>
      </c>
      <c r="U136" s="2">
        <v>5472</v>
      </c>
      <c r="V136" s="2">
        <v>4.04</v>
      </c>
      <c r="W136" s="2">
        <v>4.2451494366185702</v>
      </c>
      <c r="X136" s="6">
        <f t="shared" si="1"/>
        <v>-0.20514943661857021</v>
      </c>
    </row>
    <row r="137" spans="1:24" x14ac:dyDescent="0.25">
      <c r="A137" s="2">
        <v>5140</v>
      </c>
      <c r="B137" s="2">
        <v>5.0999999999999996</v>
      </c>
      <c r="C137" s="2">
        <v>6.0389241901192898</v>
      </c>
      <c r="D137" s="6">
        <f>(B137-C137)</f>
        <v>-0.93892419011929018</v>
      </c>
      <c r="F137" s="2">
        <v>5317</v>
      </c>
      <c r="G137" s="2">
        <v>4.9400000000000004</v>
      </c>
      <c r="H137" s="2">
        <v>6.5588175976220402</v>
      </c>
      <c r="I137" s="6">
        <f>(G137-H137)</f>
        <v>-1.6188175976220398</v>
      </c>
      <c r="K137" s="2">
        <v>5472</v>
      </c>
      <c r="L137" s="2">
        <v>7.18</v>
      </c>
      <c r="M137" s="2">
        <v>7.0870572965274201</v>
      </c>
      <c r="N137" s="6">
        <f>(L137-M137)</f>
        <v>9.2942703472579602E-2</v>
      </c>
      <c r="P137" s="2">
        <v>5867</v>
      </c>
      <c r="Q137" s="2">
        <v>3.58</v>
      </c>
      <c r="R137" s="2">
        <v>4.1386076057852197</v>
      </c>
      <c r="S137" s="6">
        <f>(Q137-R137)</f>
        <v>-0.55860760578521962</v>
      </c>
      <c r="U137" s="2">
        <v>5860</v>
      </c>
      <c r="V137" s="2">
        <v>4.57</v>
      </c>
      <c r="W137" s="2">
        <v>4.3343522694822303</v>
      </c>
      <c r="X137" s="6">
        <f t="shared" si="1"/>
        <v>0.23564773051776999</v>
      </c>
    </row>
    <row r="138" spans="1:24" x14ac:dyDescent="0.25">
      <c r="A138" s="2">
        <v>5141</v>
      </c>
      <c r="B138" s="2">
        <v>7.9</v>
      </c>
      <c r="C138" s="2">
        <v>8.0872184646238896</v>
      </c>
      <c r="D138" s="6">
        <f>(B138-C138)</f>
        <v>-0.18721846462388925</v>
      </c>
      <c r="F138" s="2">
        <v>5471</v>
      </c>
      <c r="G138" s="2">
        <v>4.4400000000000004</v>
      </c>
      <c r="H138" s="2">
        <v>4.5588563842582399</v>
      </c>
      <c r="I138" s="6">
        <f>(G138-H138)</f>
        <v>-0.11885638425823952</v>
      </c>
      <c r="K138" s="2">
        <v>5860</v>
      </c>
      <c r="L138" s="2">
        <v>1.59</v>
      </c>
      <c r="M138" s="2">
        <v>2.5429234685372801</v>
      </c>
      <c r="N138" s="6">
        <f>(L138-M138)</f>
        <v>-0.95292346853728005</v>
      </c>
      <c r="P138" s="2">
        <v>5869</v>
      </c>
      <c r="Q138" s="2">
        <v>7.8</v>
      </c>
      <c r="R138" s="2">
        <v>5.23808561063061</v>
      </c>
      <c r="S138" s="6">
        <f>(Q138-R138)</f>
        <v>2.5619143893693899</v>
      </c>
      <c r="U138" s="2">
        <v>5863</v>
      </c>
      <c r="V138" s="2">
        <v>2.63</v>
      </c>
      <c r="W138" s="2">
        <v>2.2893289579952998</v>
      </c>
      <c r="X138" s="6">
        <f t="shared" si="1"/>
        <v>0.34067104200470011</v>
      </c>
    </row>
    <row r="139" spans="1:24" x14ac:dyDescent="0.25">
      <c r="A139" s="2">
        <v>5142</v>
      </c>
      <c r="B139" s="2">
        <v>6.2</v>
      </c>
      <c r="C139" s="2">
        <v>5.5906461074521898</v>
      </c>
      <c r="D139" s="6">
        <f>(B139-C139)</f>
        <v>0.60935389254781036</v>
      </c>
      <c r="F139" s="2">
        <v>5472</v>
      </c>
      <c r="G139" s="2">
        <v>7.07</v>
      </c>
      <c r="H139" s="2">
        <v>7.4048720470026597</v>
      </c>
      <c r="I139" s="6">
        <f>(G139-H139)</f>
        <v>-0.33487204700265938</v>
      </c>
      <c r="K139" s="2">
        <v>5863</v>
      </c>
      <c r="L139" s="2">
        <v>1.26</v>
      </c>
      <c r="M139" s="2">
        <v>1.2991491546068401</v>
      </c>
      <c r="N139" s="6">
        <f>(L139-M139)</f>
        <v>-3.9149154606840098E-2</v>
      </c>
      <c r="P139" s="2">
        <v>5870</v>
      </c>
      <c r="Q139" s="2">
        <v>8.98</v>
      </c>
      <c r="R139" s="2">
        <v>8.9745264858025902</v>
      </c>
      <c r="S139" s="6">
        <f>(Q139-R139)</f>
        <v>5.4735141974102675E-3</v>
      </c>
      <c r="U139" s="2">
        <v>5864</v>
      </c>
      <c r="V139" s="2">
        <v>5.37</v>
      </c>
      <c r="W139" s="2">
        <v>4.4198608327688804</v>
      </c>
      <c r="X139" s="6">
        <f t="shared" si="1"/>
        <v>0.95013916723111969</v>
      </c>
    </row>
    <row r="140" spans="1:24" x14ac:dyDescent="0.25">
      <c r="A140" s="2">
        <v>5183</v>
      </c>
      <c r="B140" s="2">
        <v>7.2</v>
      </c>
      <c r="C140" s="2">
        <v>8.8937017917527204</v>
      </c>
      <c r="D140" s="6">
        <f>(B140-C140)</f>
        <v>-1.6937017917527202</v>
      </c>
      <c r="F140" s="2">
        <v>5860</v>
      </c>
      <c r="G140" s="2">
        <v>5.64</v>
      </c>
      <c r="H140" s="2">
        <v>6.1153298710386403</v>
      </c>
      <c r="I140" s="6">
        <f>(G140-H140)</f>
        <v>-0.47532987103864066</v>
      </c>
      <c r="K140" s="2">
        <v>5864</v>
      </c>
      <c r="L140" s="2">
        <v>3.35</v>
      </c>
      <c r="M140" s="2">
        <v>2.3206774977904598</v>
      </c>
      <c r="N140" s="6">
        <f>(L140-M140)</f>
        <v>1.0293225022095402</v>
      </c>
      <c r="P140" s="2">
        <v>5871</v>
      </c>
      <c r="Q140" s="2">
        <v>6.13</v>
      </c>
      <c r="R140" s="2">
        <v>6.0807999386574796</v>
      </c>
      <c r="S140" s="6">
        <f>(Q140-R140)</f>
        <v>4.9200061342520307E-2</v>
      </c>
      <c r="U140" s="2">
        <v>5865</v>
      </c>
      <c r="V140" s="2">
        <v>4.83</v>
      </c>
      <c r="W140" s="2">
        <v>5.0487942392096796</v>
      </c>
      <c r="X140" s="6">
        <f t="shared" si="1"/>
        <v>-0.21879423920967955</v>
      </c>
    </row>
    <row r="141" spans="1:24" x14ac:dyDescent="0.25">
      <c r="A141" s="2">
        <v>5187</v>
      </c>
      <c r="B141" s="2">
        <v>6</v>
      </c>
      <c r="C141" s="2">
        <v>6.7220693716799396</v>
      </c>
      <c r="D141" s="6">
        <f>(B141-C141)</f>
        <v>-0.72206937167993956</v>
      </c>
      <c r="F141" s="2">
        <v>5863</v>
      </c>
      <c r="G141" s="2">
        <v>3.73</v>
      </c>
      <c r="H141" s="2">
        <v>3.3375164337344998</v>
      </c>
      <c r="I141" s="6">
        <f>(G141-H141)</f>
        <v>0.39248356626550018</v>
      </c>
      <c r="K141" s="2">
        <v>5865</v>
      </c>
      <c r="L141" s="2">
        <v>5.46</v>
      </c>
      <c r="M141" s="2">
        <v>4.7537174031168004</v>
      </c>
      <c r="N141" s="6">
        <f>(L141-M141)</f>
        <v>0.70628259688319961</v>
      </c>
      <c r="P141" s="2">
        <v>5872</v>
      </c>
      <c r="Q141" s="2">
        <v>4.54</v>
      </c>
      <c r="R141" s="2">
        <v>5.23083143903514</v>
      </c>
      <c r="S141" s="6">
        <f>(Q141-R141)</f>
        <v>-0.69083143903513999</v>
      </c>
      <c r="U141" s="2">
        <v>5867</v>
      </c>
      <c r="V141" s="2">
        <v>2.59</v>
      </c>
      <c r="W141" s="2">
        <v>2.5698396998675301</v>
      </c>
      <c r="X141" s="6">
        <f t="shared" si="1"/>
        <v>2.0160300132469722E-2</v>
      </c>
    </row>
    <row r="142" spans="1:24" x14ac:dyDescent="0.25">
      <c r="A142" s="2">
        <v>5189</v>
      </c>
      <c r="B142" s="2">
        <v>7.3</v>
      </c>
      <c r="C142" s="2">
        <v>6.7891980861767802</v>
      </c>
      <c r="D142" s="6">
        <f>(B142-C142)</f>
        <v>0.5108019138232196</v>
      </c>
      <c r="F142" s="2">
        <v>5864</v>
      </c>
      <c r="G142" s="2">
        <v>6.79</v>
      </c>
      <c r="H142" s="2">
        <v>5.9595246825124502</v>
      </c>
      <c r="I142" s="6">
        <f>(G142-H142)</f>
        <v>0.83047531748754988</v>
      </c>
      <c r="K142" s="2">
        <v>5867</v>
      </c>
      <c r="L142" s="2">
        <v>1.52</v>
      </c>
      <c r="M142" s="2">
        <v>1.3573037801538199</v>
      </c>
      <c r="N142" s="6">
        <f>(L142-M142)</f>
        <v>0.1626962198461801</v>
      </c>
      <c r="P142" s="2">
        <v>5873</v>
      </c>
      <c r="Q142" s="2">
        <v>4.43</v>
      </c>
      <c r="R142" s="2">
        <v>3.6373958792630301</v>
      </c>
      <c r="S142" s="6">
        <f>(Q142-R142)</f>
        <v>0.79260412073696962</v>
      </c>
      <c r="U142" s="2">
        <v>5869</v>
      </c>
      <c r="V142" s="2">
        <v>3.84</v>
      </c>
      <c r="W142" s="2">
        <v>3.3624410513204199</v>
      </c>
      <c r="X142" s="6">
        <f t="shared" si="1"/>
        <v>0.47755894867957993</v>
      </c>
    </row>
    <row r="143" spans="1:24" x14ac:dyDescent="0.25">
      <c r="A143" s="2">
        <v>5192</v>
      </c>
      <c r="B143" s="2">
        <v>8</v>
      </c>
      <c r="C143" s="2">
        <v>7.6561504655345498</v>
      </c>
      <c r="D143" s="6">
        <f>(B143-C143)</f>
        <v>0.34384953446545019</v>
      </c>
      <c r="F143" s="2">
        <v>5865</v>
      </c>
      <c r="G143" s="2">
        <v>7.39</v>
      </c>
      <c r="H143" s="2">
        <v>7.2299416890257602</v>
      </c>
      <c r="I143" s="6">
        <f>(G143-H143)</f>
        <v>0.1600583109742395</v>
      </c>
      <c r="K143" s="2">
        <v>5869</v>
      </c>
      <c r="L143" s="2">
        <v>0.8</v>
      </c>
      <c r="M143" s="2">
        <v>1.12885577402314</v>
      </c>
      <c r="N143" s="6">
        <f>(L143-M143)</f>
        <v>-0.32885577402313992</v>
      </c>
      <c r="P143" s="2">
        <v>5874</v>
      </c>
      <c r="Q143" s="2">
        <v>7.99</v>
      </c>
      <c r="R143" s="2">
        <v>6.9862095024877204</v>
      </c>
      <c r="S143" s="6">
        <f>(Q143-R143)</f>
        <v>1.0037904975122798</v>
      </c>
      <c r="U143" s="2">
        <v>5870</v>
      </c>
      <c r="V143" s="2">
        <v>5.79</v>
      </c>
      <c r="W143" s="2">
        <v>5.5699254984768496</v>
      </c>
      <c r="X143" s="6">
        <f t="shared" si="1"/>
        <v>0.22007450152315045</v>
      </c>
    </row>
    <row r="144" spans="1:24" x14ac:dyDescent="0.25">
      <c r="A144" s="2">
        <v>5316</v>
      </c>
      <c r="B144" s="2">
        <v>4.0999999999999996</v>
      </c>
      <c r="C144" s="2">
        <v>4.6004835144092198</v>
      </c>
      <c r="D144" s="6">
        <f>(B144-C144)</f>
        <v>-0.50048351440922012</v>
      </c>
      <c r="F144" s="2">
        <v>5867</v>
      </c>
      <c r="G144" s="2">
        <v>3.25</v>
      </c>
      <c r="H144" s="2">
        <v>3.2826955959970698</v>
      </c>
      <c r="I144" s="6">
        <f>(G144-H144)</f>
        <v>-3.2695595997069837E-2</v>
      </c>
      <c r="K144" s="2">
        <v>5870</v>
      </c>
      <c r="L144" s="2">
        <v>6.07</v>
      </c>
      <c r="M144" s="2">
        <v>5.3907762225153304</v>
      </c>
      <c r="N144" s="6">
        <f>(L144-M144)</f>
        <v>0.67922377748466989</v>
      </c>
      <c r="P144" s="2">
        <v>5875</v>
      </c>
      <c r="Q144" s="2">
        <v>8.07</v>
      </c>
      <c r="R144" s="2">
        <v>7.9003920949303899</v>
      </c>
      <c r="S144" s="6">
        <f>(Q144-R144)</f>
        <v>0.16960790506961043</v>
      </c>
      <c r="U144" s="2">
        <v>5871</v>
      </c>
      <c r="V144" s="2">
        <v>3.81</v>
      </c>
      <c r="W144" s="2">
        <v>4.5373000825959204</v>
      </c>
      <c r="X144" s="6">
        <f t="shared" ref="X144:X169" si="2">(V144-W144)</f>
        <v>-0.72730008259592038</v>
      </c>
    </row>
    <row r="145" spans="1:24" x14ac:dyDescent="0.25">
      <c r="A145" s="2">
        <v>5317</v>
      </c>
      <c r="B145" s="2">
        <v>9.5</v>
      </c>
      <c r="C145" s="2">
        <v>8.5321632753107401</v>
      </c>
      <c r="D145" s="6">
        <f>(B145-C145)</f>
        <v>0.96783672468925985</v>
      </c>
      <c r="F145" s="2">
        <v>5869</v>
      </c>
      <c r="G145" s="2">
        <v>5.16</v>
      </c>
      <c r="H145" s="2">
        <v>4.7341582208803699</v>
      </c>
      <c r="I145" s="6">
        <f>(G145-H145)</f>
        <v>0.42584177911963028</v>
      </c>
      <c r="K145" s="2">
        <v>5871</v>
      </c>
      <c r="L145" s="2">
        <v>2.04</v>
      </c>
      <c r="M145" s="2">
        <v>2.3285408003548702</v>
      </c>
      <c r="N145" s="6">
        <f>(L145-M145)</f>
        <v>-0.28854080035487017</v>
      </c>
      <c r="P145" s="2">
        <v>5878</v>
      </c>
      <c r="Q145" s="2">
        <v>3.43</v>
      </c>
      <c r="R145" s="2">
        <v>4.6436254868898796</v>
      </c>
      <c r="S145" s="6">
        <f>(Q145-R145)</f>
        <v>-1.2136254868898795</v>
      </c>
      <c r="U145" s="2">
        <v>5872</v>
      </c>
      <c r="V145" s="2">
        <v>3.07</v>
      </c>
      <c r="W145" s="2">
        <v>3.0715714661598899</v>
      </c>
      <c r="X145" s="6">
        <f t="shared" si="2"/>
        <v>-1.5714661598900115E-3</v>
      </c>
    </row>
    <row r="146" spans="1:24" x14ac:dyDescent="0.25">
      <c r="A146" s="2">
        <v>5471</v>
      </c>
      <c r="B146" s="2">
        <v>6.1</v>
      </c>
      <c r="C146" s="2">
        <v>6.3837590490336602</v>
      </c>
      <c r="D146" s="6">
        <f>(B146-C146)</f>
        <v>-0.28375904903366056</v>
      </c>
      <c r="F146" s="2">
        <v>5870</v>
      </c>
      <c r="G146" s="2">
        <v>7.34</v>
      </c>
      <c r="H146" s="2">
        <v>7.3080054143309603</v>
      </c>
      <c r="I146" s="6">
        <f>(G146-H146)</f>
        <v>3.1994585669039566E-2</v>
      </c>
      <c r="K146" s="2">
        <v>5872</v>
      </c>
      <c r="L146" s="2">
        <v>2.68</v>
      </c>
      <c r="M146" s="2">
        <v>2.4873195468742</v>
      </c>
      <c r="N146" s="6">
        <f>(L146-M146)</f>
        <v>0.19268045312580018</v>
      </c>
      <c r="P146" s="2">
        <v>5879</v>
      </c>
      <c r="Q146" s="2">
        <v>8.7899999999999991</v>
      </c>
      <c r="R146" s="2">
        <v>8.6703511155680602</v>
      </c>
      <c r="S146" s="6">
        <f>(Q146-R146)</f>
        <v>0.119648884431939</v>
      </c>
      <c r="U146" s="2">
        <v>5873</v>
      </c>
      <c r="V146" s="2">
        <v>2.35</v>
      </c>
      <c r="W146" s="2">
        <v>2.58923930952685</v>
      </c>
      <c r="X146" s="6">
        <f t="shared" si="2"/>
        <v>-0.23923930952684991</v>
      </c>
    </row>
    <row r="147" spans="1:24" x14ac:dyDescent="0.25">
      <c r="A147" s="2">
        <v>5472</v>
      </c>
      <c r="B147" s="2">
        <v>15</v>
      </c>
      <c r="C147" s="2">
        <v>13.4492403718498</v>
      </c>
      <c r="D147" s="6">
        <f>(B147-C147)</f>
        <v>1.5507596281501996</v>
      </c>
      <c r="F147" s="2">
        <v>5871</v>
      </c>
      <c r="G147" s="2">
        <v>5.8</v>
      </c>
      <c r="H147" s="2">
        <v>6.0805543942135296</v>
      </c>
      <c r="I147" s="6">
        <f>(G147-H147)</f>
        <v>-0.28055439421352979</v>
      </c>
      <c r="K147" s="2">
        <v>5873</v>
      </c>
      <c r="L147" s="2">
        <v>1.39</v>
      </c>
      <c r="M147" s="2">
        <v>1.4143491521334599</v>
      </c>
      <c r="N147" s="6">
        <f>(L147-M147)</f>
        <v>-2.4349152133460006E-2</v>
      </c>
      <c r="P147" s="2">
        <v>6387</v>
      </c>
      <c r="Q147" s="2">
        <v>7.33</v>
      </c>
      <c r="R147" s="2">
        <v>7.3565862755658502</v>
      </c>
      <c r="S147" s="6">
        <f>(Q147-R147)</f>
        <v>-2.6586275565850137E-2</v>
      </c>
      <c r="U147" s="2">
        <v>5874</v>
      </c>
      <c r="V147" s="2">
        <v>4.2</v>
      </c>
      <c r="W147" s="2">
        <v>4.43727439434522</v>
      </c>
      <c r="X147" s="6">
        <f t="shared" si="2"/>
        <v>-0.2372743943452198</v>
      </c>
    </row>
    <row r="148" spans="1:24" x14ac:dyDescent="0.25">
      <c r="A148" s="2">
        <v>5860</v>
      </c>
      <c r="B148" s="2">
        <v>5.3</v>
      </c>
      <c r="C148" s="2">
        <v>7.3098345044345896</v>
      </c>
      <c r="D148" s="6">
        <f>(B148-C148)</f>
        <v>-2.0098345044345898</v>
      </c>
      <c r="F148" s="2">
        <v>5872</v>
      </c>
      <c r="G148" s="2">
        <v>4.3099999999999996</v>
      </c>
      <c r="H148" s="2">
        <v>4.7798691282378201</v>
      </c>
      <c r="I148" s="6">
        <f>(G148-H148)</f>
        <v>-0.46986912823782045</v>
      </c>
      <c r="K148" s="2">
        <v>5874</v>
      </c>
      <c r="L148" s="2">
        <v>3.46</v>
      </c>
      <c r="M148" s="2">
        <v>3.17518965527228</v>
      </c>
      <c r="N148" s="6">
        <f>(L148-M148)</f>
        <v>0.28481034472771993</v>
      </c>
      <c r="P148" s="2">
        <v>6388</v>
      </c>
      <c r="Q148" s="2">
        <v>6.8</v>
      </c>
      <c r="R148" s="2">
        <v>6.28856187293104</v>
      </c>
      <c r="S148" s="6">
        <f>(Q148-R148)</f>
        <v>0.51143812706895986</v>
      </c>
      <c r="U148" s="2">
        <v>5875</v>
      </c>
      <c r="V148" s="2">
        <v>4.32</v>
      </c>
      <c r="W148" s="2">
        <v>4.4674713897686802</v>
      </c>
      <c r="X148" s="6">
        <f t="shared" si="2"/>
        <v>-0.14747138976867991</v>
      </c>
    </row>
    <row r="149" spans="1:24" x14ac:dyDescent="0.25">
      <c r="A149" s="2">
        <v>5863</v>
      </c>
      <c r="B149" s="2">
        <v>3.8</v>
      </c>
      <c r="C149" s="2">
        <v>4.1768195156669599</v>
      </c>
      <c r="D149" s="6">
        <f>(B149-C149)</f>
        <v>-0.37681951566696004</v>
      </c>
      <c r="F149" s="2">
        <v>5873</v>
      </c>
      <c r="G149" s="2">
        <v>3.55</v>
      </c>
      <c r="H149" s="2">
        <v>4.1433310493558704</v>
      </c>
      <c r="I149" s="6">
        <f>(G149-H149)</f>
        <v>-0.59333104935587055</v>
      </c>
      <c r="K149" s="2">
        <v>5875</v>
      </c>
      <c r="L149" s="2">
        <v>2.2000000000000002</v>
      </c>
      <c r="M149" s="2">
        <v>2.2653612255876299</v>
      </c>
      <c r="N149" s="6">
        <f>(L149-M149)</f>
        <v>-6.536122558762969E-2</v>
      </c>
      <c r="P149" s="2">
        <v>6389</v>
      </c>
      <c r="Q149" s="2">
        <v>4.82</v>
      </c>
      <c r="R149" s="2">
        <v>5.3524919590076099</v>
      </c>
      <c r="S149" s="6">
        <f>(Q149-R149)</f>
        <v>-0.53249195900760959</v>
      </c>
      <c r="U149" s="2">
        <v>5878</v>
      </c>
      <c r="V149" s="2">
        <v>1.81</v>
      </c>
      <c r="W149" s="2">
        <v>2.1640133079332999</v>
      </c>
      <c r="X149" s="6">
        <f t="shared" si="2"/>
        <v>-0.35401330793329988</v>
      </c>
    </row>
    <row r="150" spans="1:24" x14ac:dyDescent="0.25">
      <c r="A150" s="2">
        <v>5864</v>
      </c>
      <c r="B150" s="2">
        <v>7.1</v>
      </c>
      <c r="C150" s="2">
        <v>7.3225278724958001</v>
      </c>
      <c r="D150" s="6">
        <f>(B150-C150)</f>
        <v>-0.22252787249580042</v>
      </c>
      <c r="F150" s="2">
        <v>5874</v>
      </c>
      <c r="G150" s="2">
        <v>5.9</v>
      </c>
      <c r="H150" s="2">
        <v>6.4213539270138602</v>
      </c>
      <c r="I150" s="6">
        <f>(G150-H150)</f>
        <v>-0.52135392701385985</v>
      </c>
      <c r="K150" s="2">
        <v>5878</v>
      </c>
      <c r="L150" s="2">
        <v>1.1599999999999999</v>
      </c>
      <c r="M150" s="2">
        <v>1.1904471886466801</v>
      </c>
      <c r="N150" s="6">
        <f>(L150-M150)</f>
        <v>-3.0447188646680168E-2</v>
      </c>
      <c r="P150" s="2">
        <v>6438</v>
      </c>
      <c r="Q150" s="2">
        <v>4.79</v>
      </c>
      <c r="R150" s="2">
        <v>5.6045928556406697</v>
      </c>
      <c r="S150" s="6">
        <f>(Q150-R150)</f>
        <v>-0.81459285564066963</v>
      </c>
      <c r="U150" s="2">
        <v>5879</v>
      </c>
      <c r="V150" s="2">
        <v>5.86</v>
      </c>
      <c r="W150" s="2">
        <v>5.5603557858522104</v>
      </c>
      <c r="X150" s="6">
        <f t="shared" si="2"/>
        <v>0.29964421414778997</v>
      </c>
    </row>
    <row r="151" spans="1:24" x14ac:dyDescent="0.25">
      <c r="A151" s="2">
        <v>5865</v>
      </c>
      <c r="B151" s="2">
        <v>13</v>
      </c>
      <c r="C151" s="2">
        <v>9.0112385169528597</v>
      </c>
      <c r="D151" s="6">
        <f>(B151-C151)</f>
        <v>3.9887614830471403</v>
      </c>
      <c r="F151" s="2">
        <v>5875</v>
      </c>
      <c r="G151" s="2">
        <v>5.22</v>
      </c>
      <c r="H151" s="2">
        <v>6.1577085753590604</v>
      </c>
      <c r="I151" s="6">
        <f>(G151-H151)</f>
        <v>-0.9377085753590606</v>
      </c>
      <c r="K151" s="2">
        <v>5879</v>
      </c>
      <c r="L151" s="2">
        <v>5.85</v>
      </c>
      <c r="M151" s="2">
        <v>5.3412248889344696</v>
      </c>
      <c r="N151" s="6">
        <f>(L151-M151)</f>
        <v>0.50877511106553008</v>
      </c>
      <c r="P151" s="2">
        <v>6439</v>
      </c>
      <c r="Q151" s="2">
        <v>3.31</v>
      </c>
      <c r="R151" s="2">
        <v>3.4880312276530301</v>
      </c>
      <c r="S151" s="6">
        <f>(Q151-R151)</f>
        <v>-0.17803122765303003</v>
      </c>
      <c r="U151" s="2">
        <v>6387</v>
      </c>
      <c r="V151" s="2">
        <v>5.66</v>
      </c>
      <c r="W151" s="2">
        <v>5.6682847988141498</v>
      </c>
      <c r="X151" s="6">
        <f t="shared" si="2"/>
        <v>-8.2847988141496742E-3</v>
      </c>
    </row>
    <row r="152" spans="1:24" x14ac:dyDescent="0.25">
      <c r="A152" s="2">
        <v>5867</v>
      </c>
      <c r="B152" s="2">
        <v>3.5</v>
      </c>
      <c r="C152" s="2">
        <v>2.9604336630362602</v>
      </c>
      <c r="D152" s="6">
        <f>(B152-C152)</f>
        <v>0.53956633696373979</v>
      </c>
      <c r="F152" s="2">
        <v>5878</v>
      </c>
      <c r="G152" s="2">
        <v>2.65</v>
      </c>
      <c r="H152" s="2">
        <v>3.41468906829656</v>
      </c>
      <c r="I152" s="6">
        <f>(G152-H152)</f>
        <v>-0.76468906829656014</v>
      </c>
      <c r="K152" s="2">
        <v>6387</v>
      </c>
      <c r="L152" s="2">
        <v>2.27</v>
      </c>
      <c r="M152" s="2">
        <v>2.5650558970586501</v>
      </c>
      <c r="N152" s="6">
        <f>(L152-M152)</f>
        <v>-0.2950558970586501</v>
      </c>
      <c r="P152" s="2">
        <v>6440</v>
      </c>
      <c r="Q152" s="2">
        <v>3.05</v>
      </c>
      <c r="R152" s="2">
        <v>4.3482130938086296</v>
      </c>
      <c r="S152" s="6">
        <f>(Q152-R152)</f>
        <v>-1.2982130938086298</v>
      </c>
      <c r="U152" s="2">
        <v>6388</v>
      </c>
      <c r="V152" s="2">
        <v>5.33</v>
      </c>
      <c r="W152" s="2">
        <v>5.1773258917712601</v>
      </c>
      <c r="X152" s="6">
        <f t="shared" si="2"/>
        <v>0.15267410822873995</v>
      </c>
    </row>
    <row r="153" spans="1:24" x14ac:dyDescent="0.25">
      <c r="A153" s="2">
        <v>5869</v>
      </c>
      <c r="B153" s="2">
        <v>4.9000000000000004</v>
      </c>
      <c r="C153" s="2">
        <v>6.2271805446103601</v>
      </c>
      <c r="D153" s="6">
        <f>(B153-C153)</f>
        <v>-1.3271805446103597</v>
      </c>
      <c r="F153" s="2">
        <v>5879</v>
      </c>
      <c r="G153" s="2">
        <v>7.42</v>
      </c>
      <c r="H153" s="2">
        <v>7.30481757273719</v>
      </c>
      <c r="I153" s="6">
        <f>(G153-H153)</f>
        <v>0.11518242726280992</v>
      </c>
      <c r="K153" s="2">
        <v>6388</v>
      </c>
      <c r="L153" s="2">
        <v>2.04</v>
      </c>
      <c r="M153" s="2">
        <v>2.6006306692363199</v>
      </c>
      <c r="N153" s="6">
        <f>(L153-M153)</f>
        <v>-0.56063066923631988</v>
      </c>
      <c r="P153" s="2">
        <v>7439</v>
      </c>
      <c r="Q153" s="2">
        <v>1.4</v>
      </c>
      <c r="R153" s="2">
        <v>1.3769858440377001</v>
      </c>
      <c r="S153" s="6">
        <f>(Q153-R153)</f>
        <v>2.3014155962299832E-2</v>
      </c>
      <c r="U153" s="2">
        <v>6389</v>
      </c>
      <c r="V153" s="2">
        <v>3.78</v>
      </c>
      <c r="W153" s="2">
        <v>4.0685793224635596</v>
      </c>
      <c r="X153" s="6">
        <f t="shared" si="2"/>
        <v>-0.28857932246355977</v>
      </c>
    </row>
    <row r="154" spans="1:24" x14ac:dyDescent="0.25">
      <c r="A154" s="2">
        <v>5870</v>
      </c>
      <c r="B154" s="2">
        <v>9.1</v>
      </c>
      <c r="C154" s="2">
        <v>9.2420727797279092</v>
      </c>
      <c r="D154" s="6">
        <f>(B154-C154)</f>
        <v>-0.14207277972790955</v>
      </c>
      <c r="F154" s="2">
        <v>6387</v>
      </c>
      <c r="G154" s="2">
        <v>7.62</v>
      </c>
      <c r="H154" s="2">
        <v>7.2470007852185603</v>
      </c>
      <c r="I154" s="6">
        <f>(G154-H154)</f>
        <v>0.37299921478143983</v>
      </c>
      <c r="K154" s="2">
        <v>6389</v>
      </c>
      <c r="L154" s="2">
        <v>1.71</v>
      </c>
      <c r="M154" s="2">
        <v>1.960732510805</v>
      </c>
      <c r="N154" s="6">
        <f>(L154-M154)</f>
        <v>-0.25073251080500003</v>
      </c>
      <c r="P154" s="2">
        <v>7443</v>
      </c>
      <c r="Q154" s="2">
        <v>2</v>
      </c>
      <c r="R154" s="2">
        <v>3.2341781457771299</v>
      </c>
      <c r="S154" s="6">
        <f>(Q154-R154)</f>
        <v>-1.2341781457771299</v>
      </c>
      <c r="U154" s="2">
        <v>6437</v>
      </c>
      <c r="V154" s="2">
        <v>4.08</v>
      </c>
      <c r="W154" s="2">
        <v>3.9487854783358198</v>
      </c>
      <c r="X154" s="6">
        <f t="shared" si="2"/>
        <v>0.13121452166418024</v>
      </c>
    </row>
    <row r="155" spans="1:24" x14ac:dyDescent="0.25">
      <c r="A155" s="2">
        <v>5871</v>
      </c>
      <c r="B155" s="2">
        <v>7.9</v>
      </c>
      <c r="C155" s="2">
        <v>7.5156041227305597</v>
      </c>
      <c r="D155" s="6">
        <f>(B155-C155)</f>
        <v>0.38439587726944069</v>
      </c>
      <c r="F155" s="2">
        <v>6388</v>
      </c>
      <c r="G155" s="2">
        <v>7.29</v>
      </c>
      <c r="H155" s="2">
        <v>6.8296489212563802</v>
      </c>
      <c r="I155" s="6">
        <f>(G155-H155)</f>
        <v>0.4603510787436198</v>
      </c>
      <c r="K155" s="2">
        <v>6437</v>
      </c>
      <c r="L155" s="2">
        <v>1.22</v>
      </c>
      <c r="M155" s="2">
        <v>1.0542849506893199</v>
      </c>
      <c r="N155" s="6">
        <f>(L155-M155)</f>
        <v>0.16571504931068004</v>
      </c>
      <c r="P155" s="2">
        <v>7446</v>
      </c>
      <c r="Q155" s="2">
        <v>2.6</v>
      </c>
      <c r="R155" s="2">
        <v>3.4523976985783502</v>
      </c>
      <c r="S155" s="6">
        <f>(Q155-R155)</f>
        <v>-0.85239769857835013</v>
      </c>
      <c r="U155" s="2">
        <v>6439</v>
      </c>
      <c r="V155" s="2">
        <v>2.83</v>
      </c>
      <c r="W155" s="2">
        <v>2.5235232963880101</v>
      </c>
      <c r="X155" s="6">
        <f t="shared" si="2"/>
        <v>0.30647670361198998</v>
      </c>
    </row>
    <row r="156" spans="1:24" x14ac:dyDescent="0.25">
      <c r="A156" s="2">
        <v>5872</v>
      </c>
      <c r="B156" s="2">
        <v>5.8</v>
      </c>
      <c r="C156" s="2">
        <v>7.0771828399327799</v>
      </c>
      <c r="D156" s="6">
        <f>(B156-C156)</f>
        <v>-1.27718283993278</v>
      </c>
      <c r="F156" s="2">
        <v>6389</v>
      </c>
      <c r="G156" s="2">
        <v>5.04</v>
      </c>
      <c r="H156" s="2">
        <v>5.6055378001862</v>
      </c>
      <c r="I156" s="6">
        <f>(G156-H156)</f>
        <v>-0.56553780018619992</v>
      </c>
      <c r="K156" s="2">
        <v>6438</v>
      </c>
      <c r="L156" s="2">
        <v>1.98</v>
      </c>
      <c r="M156" s="2">
        <v>2.0348268785746102</v>
      </c>
      <c r="N156" s="6">
        <f>(L156-M156)</f>
        <v>-5.4826878574610216E-2</v>
      </c>
      <c r="P156" s="2">
        <v>7448</v>
      </c>
      <c r="Q156" s="2">
        <v>2.1</v>
      </c>
      <c r="R156" s="2">
        <v>3.6443388997058599</v>
      </c>
      <c r="S156" s="6">
        <f>(Q156-R156)</f>
        <v>-1.5443388997058598</v>
      </c>
      <c r="U156" s="2">
        <v>6440</v>
      </c>
      <c r="V156" s="2">
        <v>2.39</v>
      </c>
      <c r="W156" s="2">
        <v>3.3963989946039899</v>
      </c>
      <c r="X156" s="6">
        <f t="shared" si="2"/>
        <v>-1.0063989946039897</v>
      </c>
    </row>
    <row r="157" spans="1:24" x14ac:dyDescent="0.25">
      <c r="A157" s="2">
        <v>5873</v>
      </c>
      <c r="B157" s="2">
        <v>6</v>
      </c>
      <c r="C157" s="2">
        <v>5.5279176187177903</v>
      </c>
      <c r="D157" s="6">
        <f>(B157-C157)</f>
        <v>0.4720823812822097</v>
      </c>
      <c r="F157" s="2">
        <v>6437</v>
      </c>
      <c r="G157" s="2">
        <v>6.1</v>
      </c>
      <c r="H157" s="2">
        <v>5.38428460877165</v>
      </c>
      <c r="I157" s="6">
        <f>(G157-H157)</f>
        <v>0.7157153912283496</v>
      </c>
      <c r="K157" s="2">
        <v>6439</v>
      </c>
      <c r="L157" s="2">
        <v>1.46</v>
      </c>
      <c r="M157" s="2">
        <v>1.5146161309485899</v>
      </c>
      <c r="N157" s="6">
        <f>(L157-M157)</f>
        <v>-5.4616130948589969E-2</v>
      </c>
      <c r="P157" s="2">
        <v>8563</v>
      </c>
      <c r="Q157" s="2">
        <v>4.72</v>
      </c>
      <c r="R157" s="2">
        <v>5.1186251077703897</v>
      </c>
      <c r="S157" s="6">
        <f>(Q157-R157)</f>
        <v>-0.39862510777038995</v>
      </c>
      <c r="U157" s="2">
        <v>7439</v>
      </c>
      <c r="V157" s="2">
        <v>0.4</v>
      </c>
      <c r="W157" s="2">
        <v>0.47946745277719799</v>
      </c>
      <c r="X157" s="6">
        <f t="shared" si="2"/>
        <v>-7.9467452777197967E-2</v>
      </c>
    </row>
    <row r="158" spans="1:24" x14ac:dyDescent="0.25">
      <c r="A158" s="2">
        <v>5874</v>
      </c>
      <c r="B158" s="2">
        <v>9.1999999999999993</v>
      </c>
      <c r="C158" s="2">
        <v>8.3967465258714906</v>
      </c>
      <c r="D158" s="6">
        <f>(B158-C158)</f>
        <v>0.80325347412850867</v>
      </c>
      <c r="F158" s="2">
        <v>6439</v>
      </c>
      <c r="G158" s="2">
        <v>3.71</v>
      </c>
      <c r="H158" s="2">
        <v>3.4902696904549799</v>
      </c>
      <c r="I158" s="6">
        <f>(G158-H158)</f>
        <v>0.21973030954502004</v>
      </c>
      <c r="K158" s="2">
        <v>6440</v>
      </c>
      <c r="L158" s="2">
        <v>1.49</v>
      </c>
      <c r="M158" s="2">
        <v>1.70936696972637</v>
      </c>
      <c r="N158" s="6">
        <f>(L158-M158)</f>
        <v>-0.21936696972637004</v>
      </c>
      <c r="P158" s="2">
        <v>8564</v>
      </c>
      <c r="Q158" s="2">
        <v>8.8800000000000008</v>
      </c>
      <c r="R158" s="2">
        <v>7.5977404797208603</v>
      </c>
      <c r="S158" s="6">
        <f>(Q158-R158)</f>
        <v>1.2822595202791405</v>
      </c>
      <c r="U158" s="2">
        <v>7443</v>
      </c>
      <c r="V158" s="2">
        <v>0.7</v>
      </c>
      <c r="W158" s="2">
        <v>0.84760695428739896</v>
      </c>
      <c r="X158" s="6">
        <f t="shared" si="2"/>
        <v>-0.14760695428739901</v>
      </c>
    </row>
    <row r="159" spans="1:24" x14ac:dyDescent="0.25">
      <c r="A159" s="2">
        <v>5875</v>
      </c>
      <c r="B159" s="2">
        <v>7.1</v>
      </c>
      <c r="C159" s="2">
        <v>8.19927004215001</v>
      </c>
      <c r="D159" s="6">
        <f>(B159-C159)</f>
        <v>-1.0992700421500103</v>
      </c>
      <c r="F159" s="2">
        <v>6440</v>
      </c>
      <c r="G159" s="2">
        <v>3.67</v>
      </c>
      <c r="H159" s="2">
        <v>4.9533860811717298</v>
      </c>
      <c r="I159" s="6">
        <f>(G159-H159)</f>
        <v>-1.2833860811717299</v>
      </c>
      <c r="K159" s="2">
        <v>7439</v>
      </c>
      <c r="L159" s="2">
        <v>0.18</v>
      </c>
      <c r="M159" s="2">
        <v>0.174797502888277</v>
      </c>
      <c r="N159" s="6">
        <f>(L159-M159)</f>
        <v>5.2024971117229923E-3</v>
      </c>
      <c r="P159" s="2">
        <v>8566</v>
      </c>
      <c r="Q159" s="2">
        <v>4.76</v>
      </c>
      <c r="R159" s="2">
        <v>4.6485786787026999</v>
      </c>
      <c r="S159" s="6">
        <f>(Q159-R159)</f>
        <v>0.11142132129729987</v>
      </c>
      <c r="U159" s="2">
        <v>7446</v>
      </c>
      <c r="V159" s="2">
        <v>0.9</v>
      </c>
      <c r="W159" s="2">
        <v>0.84529336082631801</v>
      </c>
      <c r="X159" s="6">
        <f t="shared" si="2"/>
        <v>5.4706639173682015E-2</v>
      </c>
    </row>
    <row r="160" spans="1:24" x14ac:dyDescent="0.25">
      <c r="A160" s="2">
        <v>5878</v>
      </c>
      <c r="B160" s="2">
        <v>3.9</v>
      </c>
      <c r="C160" s="2">
        <v>4.22012279947677</v>
      </c>
      <c r="D160" s="6">
        <f>(B160-C160)</f>
        <v>-0.32012279947677014</v>
      </c>
      <c r="F160" s="2">
        <v>7439</v>
      </c>
      <c r="G160" s="2">
        <v>2.2999999999999998</v>
      </c>
      <c r="H160" s="2">
        <v>2.4237728062976802</v>
      </c>
      <c r="I160" s="6">
        <f>(G160-H160)</f>
        <v>-0.12377280629768039</v>
      </c>
      <c r="K160" s="2">
        <v>7443</v>
      </c>
      <c r="L160" s="2">
        <v>0.36</v>
      </c>
      <c r="M160" s="2">
        <v>0.46799531502688901</v>
      </c>
      <c r="N160" s="6">
        <f>(L160-M160)</f>
        <v>-0.10799531502688903</v>
      </c>
      <c r="P160" s="2">
        <v>8567</v>
      </c>
      <c r="Q160" s="2">
        <v>6.84</v>
      </c>
      <c r="R160" s="2">
        <v>6.7478151809655804</v>
      </c>
      <c r="S160" s="6">
        <f>(Q160-R160)</f>
        <v>9.2184819034419441E-2</v>
      </c>
      <c r="U160" s="2">
        <v>7448</v>
      </c>
      <c r="V160" s="2">
        <v>0.8</v>
      </c>
      <c r="W160" s="2">
        <v>0.92276141886325902</v>
      </c>
      <c r="X160" s="6">
        <f t="shared" si="2"/>
        <v>-0.12276141886325898</v>
      </c>
    </row>
    <row r="161" spans="1:24" x14ac:dyDescent="0.25">
      <c r="A161" s="2">
        <v>5879</v>
      </c>
      <c r="B161" s="2">
        <v>8.9</v>
      </c>
      <c r="C161" s="2">
        <v>9.1924307677219197</v>
      </c>
      <c r="D161" s="6">
        <f>(B161-C161)</f>
        <v>-0.29243076772191934</v>
      </c>
      <c r="F161" s="2">
        <v>7443</v>
      </c>
      <c r="G161" s="2">
        <v>1.79</v>
      </c>
      <c r="H161" s="2">
        <v>2.1652856674069101</v>
      </c>
      <c r="I161" s="6">
        <f>(G161-H161)</f>
        <v>-0.37528566740691005</v>
      </c>
      <c r="K161" s="2">
        <v>7446</v>
      </c>
      <c r="L161" s="2">
        <v>0.35</v>
      </c>
      <c r="M161" s="2">
        <v>0.32982302774264199</v>
      </c>
      <c r="N161" s="6">
        <f>(L161-M161)</f>
        <v>2.0176972257357983E-2</v>
      </c>
      <c r="P161" s="2">
        <v>8753</v>
      </c>
      <c r="Q161" s="2">
        <v>5.57</v>
      </c>
      <c r="R161" s="2">
        <v>5.8188356402825097</v>
      </c>
      <c r="S161" s="6">
        <f>(Q161-R161)</f>
        <v>-0.24883564028250937</v>
      </c>
      <c r="U161" s="2">
        <v>8563</v>
      </c>
      <c r="V161" s="2">
        <v>2.87</v>
      </c>
      <c r="W161" s="2">
        <v>3.2083520956637201</v>
      </c>
      <c r="X161" s="6">
        <f t="shared" si="2"/>
        <v>-0.33835209566372004</v>
      </c>
    </row>
    <row r="162" spans="1:24" x14ac:dyDescent="0.25">
      <c r="A162" s="2">
        <v>6386</v>
      </c>
      <c r="B162" s="2">
        <v>4.7</v>
      </c>
      <c r="C162" s="2">
        <v>4.4516754685353996</v>
      </c>
      <c r="D162" s="6">
        <f>(B162-C162)</f>
        <v>0.24832453146460054</v>
      </c>
      <c r="F162" s="2">
        <v>7446</v>
      </c>
      <c r="G162" s="2">
        <v>2.64</v>
      </c>
      <c r="H162" s="2">
        <v>2.4589377992929902</v>
      </c>
      <c r="I162" s="6">
        <f>(G162-H162)</f>
        <v>0.18106220070700996</v>
      </c>
      <c r="K162" s="2">
        <v>7448</v>
      </c>
      <c r="L162" s="2">
        <v>0.15</v>
      </c>
      <c r="M162" s="2">
        <v>0.17681301691891199</v>
      </c>
      <c r="N162" s="6">
        <f>(L162-M162)</f>
        <v>-2.6813016918911997E-2</v>
      </c>
      <c r="P162" s="2">
        <v>8754</v>
      </c>
      <c r="Q162" s="2">
        <v>6.88</v>
      </c>
      <c r="R162" s="2">
        <v>6.1588759396180004</v>
      </c>
      <c r="S162" s="6">
        <f>(Q162-R162)</f>
        <v>0.7211240603819995</v>
      </c>
      <c r="U162" s="2">
        <v>8564</v>
      </c>
      <c r="V162" s="2">
        <v>6.59</v>
      </c>
      <c r="W162" s="2">
        <v>5.8373569259867102</v>
      </c>
      <c r="X162" s="6">
        <f t="shared" si="2"/>
        <v>0.75264307401328967</v>
      </c>
    </row>
    <row r="163" spans="1:24" x14ac:dyDescent="0.25">
      <c r="A163" s="2">
        <v>6387</v>
      </c>
      <c r="B163" s="2">
        <v>9</v>
      </c>
      <c r="C163" s="2">
        <v>8.7899113213195594</v>
      </c>
      <c r="D163" s="6">
        <f>(B163-C163)</f>
        <v>0.21008867868044057</v>
      </c>
      <c r="F163" s="2">
        <v>7448</v>
      </c>
      <c r="G163" s="2">
        <v>2.5499999999999998</v>
      </c>
      <c r="H163" s="2">
        <v>2.7306684642997801</v>
      </c>
      <c r="I163" s="6">
        <f>(G163-H163)</f>
        <v>-0.18066846429978023</v>
      </c>
      <c r="K163" s="2">
        <v>8563</v>
      </c>
      <c r="L163" s="2">
        <v>2.25</v>
      </c>
      <c r="M163" s="2">
        <v>2.48657850320477</v>
      </c>
      <c r="N163" s="6">
        <f>(L163-M163)</f>
        <v>-0.23657850320477003</v>
      </c>
      <c r="P163" s="2">
        <v>8755</v>
      </c>
      <c r="Q163" s="2">
        <v>5.0199999999999996</v>
      </c>
      <c r="R163" s="2">
        <v>3.5293603349057201</v>
      </c>
      <c r="S163" s="6">
        <f>(Q163-R163)</f>
        <v>1.4906396650942795</v>
      </c>
      <c r="U163" s="2">
        <v>8565</v>
      </c>
      <c r="V163" s="2">
        <v>5.25</v>
      </c>
      <c r="W163" s="2">
        <v>5.4456688553611796</v>
      </c>
      <c r="X163" s="6">
        <f t="shared" si="2"/>
        <v>-0.19566885536117962</v>
      </c>
    </row>
    <row r="164" spans="1:24" x14ac:dyDescent="0.25">
      <c r="A164" s="2">
        <v>6388</v>
      </c>
      <c r="B164" s="2">
        <v>8.5</v>
      </c>
      <c r="C164" s="2">
        <v>8.4008917290456306</v>
      </c>
      <c r="D164" s="6">
        <f>(B164-C164)</f>
        <v>9.910827095436936E-2</v>
      </c>
      <c r="F164" s="2">
        <v>8563</v>
      </c>
      <c r="G164" s="2">
        <v>4.3</v>
      </c>
      <c r="H164" s="2">
        <v>4.5319088987282701</v>
      </c>
      <c r="I164" s="6">
        <f>(G164-H164)</f>
        <v>-0.23190889872827025</v>
      </c>
      <c r="K164" s="2">
        <v>8564</v>
      </c>
      <c r="L164" s="2">
        <v>3.2</v>
      </c>
      <c r="M164" s="2">
        <v>3.2108775343186999</v>
      </c>
      <c r="N164" s="6">
        <f>(L164-M164)</f>
        <v>-1.0877534318699755E-2</v>
      </c>
      <c r="P164" s="2">
        <v>8756</v>
      </c>
      <c r="Q164" s="2">
        <v>2.4</v>
      </c>
      <c r="R164" s="2">
        <v>4.1345374289704804</v>
      </c>
      <c r="S164" s="6">
        <f>(Q164-R164)</f>
        <v>-1.7345374289704805</v>
      </c>
      <c r="U164" s="2">
        <v>8566</v>
      </c>
      <c r="V164" s="2">
        <v>4.3899999999999997</v>
      </c>
      <c r="W164" s="2">
        <v>4.03058104888256</v>
      </c>
      <c r="X164" s="6">
        <f t="shared" si="2"/>
        <v>0.35941895111743971</v>
      </c>
    </row>
    <row r="165" spans="1:24" x14ac:dyDescent="0.25">
      <c r="A165" s="2">
        <v>6389</v>
      </c>
      <c r="B165" s="2">
        <v>6.1</v>
      </c>
      <c r="C165" s="2">
        <v>6.9833425645557998</v>
      </c>
      <c r="D165" s="6">
        <f>(B165-C165)</f>
        <v>-0.88334256455580018</v>
      </c>
      <c r="F165" s="2">
        <v>8564</v>
      </c>
      <c r="G165" s="2">
        <v>8.43</v>
      </c>
      <c r="H165" s="2">
        <v>7.7918170187195503</v>
      </c>
      <c r="I165" s="6">
        <f>(G165-H165)</f>
        <v>0.63818298128044937</v>
      </c>
      <c r="K165" s="2">
        <v>8565</v>
      </c>
      <c r="L165" s="2">
        <v>4.3600000000000003</v>
      </c>
      <c r="M165" s="2">
        <v>5.45791251638774</v>
      </c>
      <c r="N165" s="6">
        <f>(L165-M165)</f>
        <v>-1.0979125163877397</v>
      </c>
      <c r="P165" s="2">
        <v>8943</v>
      </c>
      <c r="Q165" s="2">
        <v>9.3800000000000008</v>
      </c>
      <c r="R165" s="2">
        <v>9.1691573913059798</v>
      </c>
      <c r="S165" s="6">
        <f>(Q165-R165)</f>
        <v>0.21084260869402094</v>
      </c>
      <c r="U165" s="2">
        <v>8567</v>
      </c>
      <c r="V165" s="2">
        <v>6.08</v>
      </c>
      <c r="W165" s="2">
        <v>5.9691385721144901</v>
      </c>
      <c r="X165" s="6">
        <f t="shared" si="2"/>
        <v>0.11086142788551001</v>
      </c>
    </row>
    <row r="166" spans="1:24" x14ac:dyDescent="0.25">
      <c r="A166" s="2">
        <v>6437</v>
      </c>
      <c r="B166" s="2">
        <v>4.3</v>
      </c>
      <c r="C166" s="2">
        <v>5.2911416926113004</v>
      </c>
      <c r="D166" s="6">
        <f>(B166-C166)</f>
        <v>-0.99114169261130058</v>
      </c>
      <c r="F166" s="2">
        <v>8565</v>
      </c>
      <c r="G166" s="2">
        <v>7.19</v>
      </c>
      <c r="H166" s="2">
        <v>7.4678727311777404</v>
      </c>
      <c r="I166" s="6">
        <f>(G166-H166)</f>
        <v>-0.27787273117774003</v>
      </c>
      <c r="K166" s="2">
        <v>8566</v>
      </c>
      <c r="L166" s="2">
        <v>3</v>
      </c>
      <c r="M166" s="2">
        <v>2.9754098441094801</v>
      </c>
      <c r="N166" s="6">
        <f>(L166-M166)</f>
        <v>2.4590155890519938E-2</v>
      </c>
      <c r="S166" s="6"/>
      <c r="U166" s="2">
        <v>8753</v>
      </c>
      <c r="V166" s="2">
        <v>3.16</v>
      </c>
      <c r="W166" s="2">
        <v>3.33778324254278</v>
      </c>
      <c r="X166" s="6">
        <f t="shared" si="2"/>
        <v>-0.17778324254277988</v>
      </c>
    </row>
    <row r="167" spans="1:24" x14ac:dyDescent="0.25">
      <c r="A167" s="2">
        <v>6439</v>
      </c>
      <c r="B167" s="2">
        <v>3.5</v>
      </c>
      <c r="C167" s="2">
        <v>4.6310066332732802</v>
      </c>
      <c r="D167" s="6">
        <f>(B167-C167)</f>
        <v>-1.1310066332732802</v>
      </c>
      <c r="F167" s="2">
        <v>8566</v>
      </c>
      <c r="G167" s="2">
        <v>6.44</v>
      </c>
      <c r="H167" s="2">
        <v>6.0498585986907099</v>
      </c>
      <c r="I167" s="6">
        <f>(G167-H167)</f>
        <v>0.39014140130929054</v>
      </c>
      <c r="K167" s="2">
        <v>8567</v>
      </c>
      <c r="L167" s="2">
        <v>4.63</v>
      </c>
      <c r="M167" s="2">
        <v>4.6095971293427498</v>
      </c>
      <c r="N167" s="6">
        <f>(L167-M167)</f>
        <v>2.0402870657250105E-2</v>
      </c>
      <c r="S167" s="6"/>
      <c r="U167" s="2">
        <v>8754</v>
      </c>
      <c r="V167" s="2">
        <v>4.2</v>
      </c>
      <c r="W167" s="2">
        <v>4.0054568609550403</v>
      </c>
      <c r="X167" s="6">
        <f t="shared" si="2"/>
        <v>0.1945431390449599</v>
      </c>
    </row>
    <row r="168" spans="1:24" x14ac:dyDescent="0.25">
      <c r="A168" s="2">
        <v>6440</v>
      </c>
      <c r="B168" s="2">
        <v>5.6</v>
      </c>
      <c r="C168" s="2">
        <v>6.2890968013740496</v>
      </c>
      <c r="D168" s="6">
        <f>(B168-C168)</f>
        <v>-0.68909680137404994</v>
      </c>
      <c r="F168" s="2">
        <v>8567</v>
      </c>
      <c r="G168" s="2">
        <v>7.99</v>
      </c>
      <c r="H168" s="2">
        <v>7.8107617908780496</v>
      </c>
      <c r="I168" s="6">
        <f>(G168-H168)</f>
        <v>0.17923820912195065</v>
      </c>
      <c r="K168" s="2">
        <v>8753</v>
      </c>
      <c r="L168" s="2">
        <v>2.4</v>
      </c>
      <c r="M168" s="2">
        <v>2.2401647130301301</v>
      </c>
      <c r="N168" s="6">
        <f>(L168-M168)</f>
        <v>0.15983528696986982</v>
      </c>
      <c r="S168" s="6"/>
      <c r="U168" s="2">
        <v>8755</v>
      </c>
      <c r="V168" s="2">
        <v>2.1800000000000002</v>
      </c>
      <c r="W168" s="2">
        <v>2.2248279774651798</v>
      </c>
      <c r="X168" s="6">
        <f t="shared" si="2"/>
        <v>-4.4827977465179636E-2</v>
      </c>
    </row>
    <row r="169" spans="1:24" x14ac:dyDescent="0.25">
      <c r="A169" s="2">
        <v>7439</v>
      </c>
      <c r="B169" s="2">
        <v>1.2</v>
      </c>
      <c r="C169" s="2">
        <v>1.55945617154052</v>
      </c>
      <c r="D169" s="6">
        <f>(B169-C169)</f>
        <v>-0.35945617154052001</v>
      </c>
      <c r="F169" s="2">
        <v>8753</v>
      </c>
      <c r="G169" s="2">
        <v>5.35</v>
      </c>
      <c r="H169" s="2">
        <v>5.42840513740581</v>
      </c>
      <c r="I169" s="6">
        <f>(G169-H169)</f>
        <v>-7.8405137405810343E-2</v>
      </c>
      <c r="K169" s="2">
        <v>8754</v>
      </c>
      <c r="L169" s="2">
        <v>1.74</v>
      </c>
      <c r="M169" s="2">
        <v>1.79927672654204</v>
      </c>
      <c r="N169" s="6">
        <f>(L169-M169)</f>
        <v>-5.927672654203997E-2</v>
      </c>
      <c r="U169" s="2">
        <v>8756</v>
      </c>
      <c r="V169" s="2">
        <v>4.17</v>
      </c>
      <c r="W169" s="2">
        <v>4.22412640451806</v>
      </c>
      <c r="X169" s="6">
        <f t="shared" si="2"/>
        <v>-5.4126404518060056E-2</v>
      </c>
    </row>
    <row r="170" spans="1:24" x14ac:dyDescent="0.25">
      <c r="A170" s="2">
        <v>7443</v>
      </c>
      <c r="B170" s="2">
        <v>1.6</v>
      </c>
      <c r="C170" s="2">
        <v>1.7129420272759399</v>
      </c>
      <c r="D170" s="6">
        <f>(B170-C170)</f>
        <v>-0.11294202727593983</v>
      </c>
      <c r="F170" s="2">
        <v>8754</v>
      </c>
      <c r="G170" s="2">
        <v>5.32</v>
      </c>
      <c r="H170" s="2">
        <v>4.93202175002952</v>
      </c>
      <c r="I170" s="6">
        <f>(G170-H170)</f>
        <v>0.38797824997048025</v>
      </c>
      <c r="K170" s="2">
        <v>8755</v>
      </c>
      <c r="L170" s="2">
        <v>0.91</v>
      </c>
      <c r="M170" s="2">
        <v>0.95336885898161405</v>
      </c>
      <c r="N170" s="6">
        <f>(L170-M170)</f>
        <v>-4.3368858981614022E-2</v>
      </c>
    </row>
    <row r="171" spans="1:24" x14ac:dyDescent="0.25">
      <c r="A171" s="2">
        <v>7446</v>
      </c>
      <c r="B171" s="2">
        <v>1.8</v>
      </c>
      <c r="C171" s="2">
        <v>1.7139751770948399</v>
      </c>
      <c r="D171" s="6">
        <f>(B171-C171)</f>
        <v>8.6024822905160114E-2</v>
      </c>
      <c r="F171" s="2">
        <v>8755</v>
      </c>
      <c r="G171" s="2">
        <v>3.71</v>
      </c>
      <c r="H171" s="2">
        <v>3.9133215440010001</v>
      </c>
      <c r="I171" s="6">
        <f>(G171-H171)</f>
        <v>-0.20332154400100011</v>
      </c>
      <c r="K171" s="2">
        <v>8756</v>
      </c>
      <c r="L171" s="2">
        <v>2.87</v>
      </c>
      <c r="M171" s="2">
        <v>2.7649171519676399</v>
      </c>
      <c r="N171" s="6">
        <f>(L171-M171)</f>
        <v>0.10508284803236023</v>
      </c>
    </row>
    <row r="172" spans="1:24" x14ac:dyDescent="0.25">
      <c r="A172" s="2">
        <v>7448</v>
      </c>
      <c r="B172" s="2">
        <v>1</v>
      </c>
      <c r="C172" s="2">
        <v>2.6745290992875601</v>
      </c>
      <c r="D172" s="6">
        <f>(B172-C172)</f>
        <v>-1.6745290992875601</v>
      </c>
      <c r="F172" s="2">
        <v>8756</v>
      </c>
      <c r="G172" s="2">
        <v>5.29</v>
      </c>
      <c r="H172" s="2">
        <v>5.5663285313341699</v>
      </c>
      <c r="I172" s="6">
        <f>(G172-H172)</f>
        <v>-0.2763285313341699</v>
      </c>
      <c r="K172" s="2">
        <v>8943</v>
      </c>
      <c r="L172" s="2">
        <v>4.22</v>
      </c>
      <c r="M172" s="2">
        <v>4.2659122919107197</v>
      </c>
      <c r="N172" s="6">
        <f>(L172-M172)</f>
        <v>-4.5912291910719993E-2</v>
      </c>
    </row>
    <row r="173" spans="1:24" x14ac:dyDescent="0.25">
      <c r="A173" s="2">
        <v>8563</v>
      </c>
      <c r="B173" s="2">
        <v>6.61</v>
      </c>
      <c r="C173" s="2">
        <v>6.3468261584516803</v>
      </c>
      <c r="D173" s="6">
        <f>(B173-C173)</f>
        <v>0.26317384154832002</v>
      </c>
      <c r="F173" s="2">
        <v>8943</v>
      </c>
      <c r="G173" s="2">
        <v>8.6</v>
      </c>
      <c r="H173" s="2">
        <v>7.9439402966238104</v>
      </c>
      <c r="I173" s="6">
        <f>(G173-H173)</f>
        <v>0.65605970337618924</v>
      </c>
    </row>
    <row r="174" spans="1:24" x14ac:dyDescent="0.25">
      <c r="A174" s="2">
        <v>8564</v>
      </c>
      <c r="B174" s="2">
        <v>6.8</v>
      </c>
      <c r="C174" s="2">
        <v>9.3480478176944306</v>
      </c>
      <c r="D174" s="6">
        <f>(B174-C174)</f>
        <v>-2.5480478176944308</v>
      </c>
    </row>
    <row r="175" spans="1:24" x14ac:dyDescent="0.25">
      <c r="A175" s="2">
        <v>8565</v>
      </c>
      <c r="B175" s="2">
        <v>9.0500000000000007</v>
      </c>
      <c r="C175" s="2">
        <v>9.4458561664848695</v>
      </c>
      <c r="D175" s="6">
        <f>(B175-C175)</f>
        <v>-0.39585616648486877</v>
      </c>
    </row>
    <row r="176" spans="1:24" x14ac:dyDescent="0.25">
      <c r="A176" s="2">
        <v>8566</v>
      </c>
      <c r="B176" s="2">
        <v>6.78</v>
      </c>
      <c r="C176" s="2">
        <v>7.0132835786473899</v>
      </c>
      <c r="D176" s="6">
        <f>(B176-C176)</f>
        <v>-0.23328357864738969</v>
      </c>
    </row>
    <row r="177" spans="1:4" x14ac:dyDescent="0.25">
      <c r="A177" s="2">
        <v>8567</v>
      </c>
      <c r="B177" s="2">
        <v>8.59</v>
      </c>
      <c r="C177" s="2">
        <v>10.4295986551941</v>
      </c>
      <c r="D177" s="6">
        <f>(B177-C177)</f>
        <v>-1.8395986551941004</v>
      </c>
    </row>
    <row r="178" spans="1:4" x14ac:dyDescent="0.25">
      <c r="A178" s="2">
        <v>8753</v>
      </c>
      <c r="B178" s="2">
        <v>7.64</v>
      </c>
      <c r="C178" s="2">
        <v>7.2432531218475997</v>
      </c>
      <c r="D178" s="6">
        <f>(B178-C178)</f>
        <v>0.39674687815239995</v>
      </c>
    </row>
    <row r="179" spans="1:4" x14ac:dyDescent="0.25">
      <c r="A179" s="2">
        <v>8754</v>
      </c>
      <c r="B179" s="2">
        <v>4.62</v>
      </c>
      <c r="C179" s="2">
        <v>4.1433493413229403</v>
      </c>
      <c r="D179" s="6">
        <f>(B179-C179)</f>
        <v>0.4766506586770598</v>
      </c>
    </row>
    <row r="180" spans="1:4" x14ac:dyDescent="0.25">
      <c r="A180" s="2">
        <v>8755</v>
      </c>
      <c r="B180" s="2">
        <v>4.3</v>
      </c>
      <c r="C180" s="2">
        <v>4.2312963678246902</v>
      </c>
      <c r="D180" s="6">
        <f>(B180-C180)</f>
        <v>6.8703632175309615E-2</v>
      </c>
    </row>
    <row r="181" spans="1:4" x14ac:dyDescent="0.25">
      <c r="A181" s="2">
        <v>8756</v>
      </c>
      <c r="B181" s="2">
        <v>5.04</v>
      </c>
      <c r="C181" s="2">
        <v>5.0232492684604999</v>
      </c>
      <c r="D181" s="6">
        <f>(B181-C181)</f>
        <v>1.675073153950013E-2</v>
      </c>
    </row>
    <row r="182" spans="1:4" x14ac:dyDescent="0.25">
      <c r="A182" s="2">
        <v>8943</v>
      </c>
      <c r="B182" s="2">
        <v>11.37</v>
      </c>
      <c r="C182" s="2">
        <v>9.0156981687748594</v>
      </c>
      <c r="D182" s="6">
        <f>(B182-C182)</f>
        <v>2.3543018312251398</v>
      </c>
    </row>
    <row r="183" spans="1:4" x14ac:dyDescent="0.25">
      <c r="D183" s="6"/>
    </row>
  </sheetData>
  <mergeCells count="5">
    <mergeCell ref="A1:D1"/>
    <mergeCell ref="F1:I1"/>
    <mergeCell ref="K1:N1"/>
    <mergeCell ref="P1:S1"/>
    <mergeCell ref="U1:X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"/>
  <sheetViews>
    <sheetView zoomScale="85" zoomScaleNormal="85" workbookViewId="0">
      <selection activeCell="J13" sqref="J13"/>
    </sheetView>
  </sheetViews>
  <sheetFormatPr defaultRowHeight="15" x14ac:dyDescent="0.25"/>
  <cols>
    <col min="2" max="2" width="13.85546875" bestFit="1" customWidth="1"/>
    <col min="6" max="7" width="14.85546875" customWidth="1"/>
    <col min="10" max="10" width="15.85546875" bestFit="1" customWidth="1"/>
    <col min="13" max="13" width="9.140625" customWidth="1"/>
    <col min="14" max="14" width="9.7109375" bestFit="1" customWidth="1"/>
    <col min="20" max="20" width="9.140625" customWidth="1"/>
    <col min="27" max="27" width="9.140625" customWidth="1"/>
    <col min="34" max="34" width="9.140625" customWidth="1"/>
  </cols>
  <sheetData>
    <row r="1" spans="1:40" x14ac:dyDescent="0.25">
      <c r="B1" s="1" t="s">
        <v>29</v>
      </c>
      <c r="C1" s="1"/>
      <c r="D1" s="1"/>
      <c r="E1" s="1"/>
      <c r="F1" s="1"/>
      <c r="G1" s="30"/>
      <c r="I1" s="1" t="s">
        <v>14</v>
      </c>
      <c r="J1" s="1"/>
      <c r="K1" s="1"/>
      <c r="L1" s="1"/>
      <c r="M1" s="1"/>
      <c r="N1" s="30"/>
      <c r="P1" s="1" t="s">
        <v>15</v>
      </c>
      <c r="Q1" s="1"/>
      <c r="R1" s="1"/>
      <c r="S1" s="1"/>
      <c r="T1" s="1"/>
      <c r="U1" s="30"/>
      <c r="W1" s="1" t="s">
        <v>16</v>
      </c>
      <c r="X1" s="1"/>
      <c r="Y1" s="1"/>
      <c r="Z1" s="1"/>
      <c r="AA1" s="1"/>
      <c r="AB1" s="30"/>
      <c r="AD1" s="1" t="s">
        <v>17</v>
      </c>
      <c r="AE1" s="1"/>
      <c r="AF1" s="1"/>
      <c r="AG1" s="1"/>
      <c r="AH1" s="1"/>
    </row>
    <row r="2" spans="1:40" x14ac:dyDescent="0.25">
      <c r="B2" s="31" t="s">
        <v>0</v>
      </c>
      <c r="C2">
        <f>SQRT(SUMSQ(E12:E1048576)/COUNTA(E12:E1048576))</f>
        <v>0.6814672828559919</v>
      </c>
      <c r="I2" s="31" t="s">
        <v>30</v>
      </c>
      <c r="J2" s="32">
        <f>SQRT(SUMSQ(L12:L1048576)/COUNTA(L12:L1048576))</f>
        <v>0.52134632569416894</v>
      </c>
      <c r="P2" s="31" t="s">
        <v>30</v>
      </c>
      <c r="Q2">
        <f>SQRT(SUMSQ(S12:S1048576)/COUNTA(S12:S1048576))</f>
        <v>0.51403711685012943</v>
      </c>
      <c r="W2" s="31" t="s">
        <v>30</v>
      </c>
      <c r="X2">
        <f>SQRT(SUMSQ(Z12:Z1048576)/COUNTA(Z12:Z1048576))</f>
        <v>0.68145758870984896</v>
      </c>
      <c r="AD2" s="31" t="s">
        <v>30</v>
      </c>
      <c r="AE2">
        <f>SQRT(SUMSQ(AG12:AG1048576)/COUNTA(AG12:AG1048576))</f>
        <v>0.47281191219241808</v>
      </c>
      <c r="AL2" s="2"/>
      <c r="AM2" s="2"/>
      <c r="AN2" s="33"/>
    </row>
    <row r="3" spans="1:40" x14ac:dyDescent="0.25">
      <c r="B3" s="31" t="s">
        <v>1</v>
      </c>
      <c r="C3">
        <f>AVERAGE(E12:E1048576)</f>
        <v>-2.1911653295044117E-2</v>
      </c>
      <c r="I3" s="31" t="s">
        <v>1</v>
      </c>
      <c r="J3" s="32">
        <f>AVERAGE(L12:L1048576)</f>
        <v>-9.3819740585033534E-2</v>
      </c>
      <c r="P3" s="31" t="s">
        <v>1</v>
      </c>
      <c r="Q3">
        <f>AVERAGE(S12:S1048576)</f>
        <v>-5.6643114593182435E-2</v>
      </c>
      <c r="W3" s="31" t="s">
        <v>1</v>
      </c>
      <c r="X3">
        <f>AVERAGE(Z12:Z1048576)</f>
        <v>0.2185537353522371</v>
      </c>
      <c r="AD3" s="31" t="s">
        <v>1</v>
      </c>
      <c r="AE3">
        <f>AVERAGE(AG12:AG1048576)</f>
        <v>-3.2426337832241282E-2</v>
      </c>
    </row>
    <row r="4" spans="1:40" x14ac:dyDescent="0.25">
      <c r="B4" s="31" t="s">
        <v>2</v>
      </c>
      <c r="C4">
        <f>CORREL(C12:C1048576,D12:D1048576)^2</f>
        <v>0.8465926705511112</v>
      </c>
      <c r="I4" s="31" t="s">
        <v>2</v>
      </c>
      <c r="J4" s="32">
        <f>CORREL(J12:J1048576,K12:K1048576)^2</f>
        <v>0.72212749169023227</v>
      </c>
      <c r="P4" s="31" t="s">
        <v>2</v>
      </c>
      <c r="Q4">
        <f>CORREL(Q12:Q1048576,R12:R1048576)^2</f>
        <v>0.67798695099471828</v>
      </c>
      <c r="W4" s="31" t="s">
        <v>2</v>
      </c>
      <c r="X4">
        <f>CORREL(X12:X1048576,Y12:Y1048576)^2</f>
        <v>0.65029072910429153</v>
      </c>
      <c r="AD4" s="31" t="s">
        <v>2</v>
      </c>
      <c r="AE4">
        <f>CORREL(AE12:AE1048576,AF12:AF1048576)^2</f>
        <v>0.73011858082768533</v>
      </c>
    </row>
    <row r="5" spans="1:40" x14ac:dyDescent="0.25">
      <c r="B5" s="31" t="s">
        <v>3</v>
      </c>
      <c r="C5">
        <f>SLOPE(C12:C1048576,D12:D1048576)</f>
        <v>0.93914325057298254</v>
      </c>
      <c r="I5" s="31" t="s">
        <v>3</v>
      </c>
      <c r="J5" s="32">
        <f>SLOPE(J12:J1048576,K12:K1048576)</f>
        <v>0.89394036379709685</v>
      </c>
      <c r="P5" s="31" t="s">
        <v>3</v>
      </c>
      <c r="Q5">
        <f>SLOPE(Q12:Q1048576,R12:R1048576)</f>
        <v>1.0661706120865428</v>
      </c>
      <c r="W5" s="31" t="s">
        <v>3</v>
      </c>
      <c r="X5">
        <f>SLOPE(X12:X1048576,Y12:Y1048576)</f>
        <v>0.94594803962799556</v>
      </c>
      <c r="AD5" s="31" t="s">
        <v>3</v>
      </c>
      <c r="AE5">
        <f>SLOPE(AE12:AE1048576,AF12:AF1048576)</f>
        <v>1.0111907244785978</v>
      </c>
    </row>
    <row r="6" spans="1:40" x14ac:dyDescent="0.25">
      <c r="B6" s="31" t="s">
        <v>19</v>
      </c>
      <c r="C6">
        <f>SQRT(SUMXMY2(C12:C1048576,F12:F1048576)/COUNTA(F12:F1048576))</f>
        <v>0.68111492206015145</v>
      </c>
      <c r="I6" s="31" t="s">
        <v>19</v>
      </c>
      <c r="J6">
        <f>SQRT(SUMXMY2(J12:J1048576,M12:M1048576)/COUNTA(M12:M1048576))</f>
        <v>0.5128351076041574</v>
      </c>
      <c r="P6" s="31" t="s">
        <v>19</v>
      </c>
      <c r="Q6">
        <f>SQRT(SUMXMY2(Q12:Q1048576,T12:T1048576)/COUNTA(T12:T1048576))</f>
        <v>0.5109067577051386</v>
      </c>
      <c r="W6" s="31" t="s">
        <v>19</v>
      </c>
      <c r="X6">
        <f>SQRT(SUMXMY2(X12:X1048576,AA12:AA1048576)/COUNTA(AA12:AA1048576))</f>
        <v>0.64546007620442791</v>
      </c>
      <c r="AD6" s="31" t="s">
        <v>19</v>
      </c>
      <c r="AE6">
        <f>SQRT(SUMXMY2(AE12:AE1048576,AH12:AH1048576)/COUNTA(AH12:AH1048576))</f>
        <v>0.47169867174483343</v>
      </c>
    </row>
    <row r="7" spans="1:40" x14ac:dyDescent="0.25">
      <c r="B7" s="31" t="s">
        <v>14</v>
      </c>
      <c r="C7">
        <f>COUNT(B12:B1048576)</f>
        <v>43</v>
      </c>
      <c r="I7" s="31" t="s">
        <v>14</v>
      </c>
      <c r="J7">
        <f>COUNT(I12:I1048576)</f>
        <v>37</v>
      </c>
      <c r="P7" s="31" t="s">
        <v>14</v>
      </c>
      <c r="Q7">
        <f>COUNT(P12:P1048576)</f>
        <v>41</v>
      </c>
      <c r="W7" s="31" t="s">
        <v>14</v>
      </c>
      <c r="X7">
        <f>COUNT(W12:W1048576)</f>
        <v>37</v>
      </c>
      <c r="AD7" s="31" t="s">
        <v>14</v>
      </c>
      <c r="AE7">
        <f>COUNT(AD12:AD1048576)</f>
        <v>39</v>
      </c>
    </row>
    <row r="8" spans="1:40" x14ac:dyDescent="0.25">
      <c r="B8" s="31" t="s">
        <v>20</v>
      </c>
      <c r="C8">
        <f>COUNTIF(G12:G1048576,"&gt;35%")</f>
        <v>0</v>
      </c>
      <c r="I8" s="31" t="s">
        <v>20</v>
      </c>
      <c r="J8">
        <f>COUNTIF(N12:N1048576,"&gt;35%")</f>
        <v>0</v>
      </c>
      <c r="P8" s="31" t="s">
        <v>20</v>
      </c>
      <c r="Q8">
        <f>COUNTIF(U12:U1048576,"&gt;35%")</f>
        <v>3</v>
      </c>
      <c r="W8" s="31" t="s">
        <v>20</v>
      </c>
      <c r="X8">
        <f>COUNTIF(AB12:AB1048576,"&gt;35%")</f>
        <v>1</v>
      </c>
      <c r="AD8" s="31" t="s">
        <v>20</v>
      </c>
      <c r="AE8">
        <f>COUNTIF(AI12:AI1048576,"&gt;35%")</f>
        <v>0</v>
      </c>
    </row>
    <row r="9" spans="1:40" x14ac:dyDescent="0.25">
      <c r="C9" s="34">
        <f>AVERAGE(G12:G1048576)</f>
        <v>8.9977107147661162E-2</v>
      </c>
      <c r="J9" s="34">
        <f>AVERAGE(N12:N1048576)</f>
        <v>8.7785208809653126E-2</v>
      </c>
      <c r="N9" s="34"/>
      <c r="Q9" s="34">
        <f>AVERAGE(U12:U1048576)</f>
        <v>0.16858345463663893</v>
      </c>
      <c r="X9" s="34">
        <f>AVERAGE(AB12:AB1048576)</f>
        <v>8.8216709028429319E-2</v>
      </c>
      <c r="AE9" s="34">
        <f>AVERAGE(AI12:AI1048576)</f>
        <v>0.13079773875369818</v>
      </c>
    </row>
    <row r="10" spans="1:40" x14ac:dyDescent="0.25">
      <c r="N10" s="34"/>
      <c r="X10" s="34"/>
      <c r="AE10" s="34"/>
    </row>
    <row r="11" spans="1:40" x14ac:dyDescent="0.25">
      <c r="B11" s="31" t="s">
        <v>9</v>
      </c>
      <c r="C11" s="31" t="s">
        <v>10</v>
      </c>
      <c r="D11" s="31" t="s">
        <v>31</v>
      </c>
      <c r="E11" s="31" t="s">
        <v>12</v>
      </c>
      <c r="F11" s="31" t="s">
        <v>32</v>
      </c>
      <c r="G11" s="31" t="s">
        <v>33</v>
      </c>
      <c r="I11" s="31" t="s">
        <v>9</v>
      </c>
      <c r="J11" s="31" t="s">
        <v>10</v>
      </c>
      <c r="K11" s="31" t="s">
        <v>31</v>
      </c>
      <c r="L11" s="31" t="s">
        <v>12</v>
      </c>
      <c r="M11" s="31" t="s">
        <v>32</v>
      </c>
      <c r="N11" s="31" t="s">
        <v>33</v>
      </c>
      <c r="P11" s="31" t="s">
        <v>9</v>
      </c>
      <c r="Q11" s="31" t="s">
        <v>10</v>
      </c>
      <c r="R11" s="31" t="s">
        <v>31</v>
      </c>
      <c r="S11" s="31" t="s">
        <v>12</v>
      </c>
      <c r="T11" s="31" t="s">
        <v>32</v>
      </c>
      <c r="U11" s="31" t="s">
        <v>33</v>
      </c>
      <c r="W11" s="31" t="s">
        <v>9</v>
      </c>
      <c r="X11" s="31" t="s">
        <v>10</v>
      </c>
      <c r="Y11" s="31" t="s">
        <v>31</v>
      </c>
      <c r="Z11" s="31" t="s">
        <v>12</v>
      </c>
      <c r="AA11" s="31" t="s">
        <v>32</v>
      </c>
      <c r="AB11" s="31" t="s">
        <v>33</v>
      </c>
      <c r="AD11" s="31" t="s">
        <v>9</v>
      </c>
      <c r="AE11" s="31" t="s">
        <v>10</v>
      </c>
      <c r="AF11" s="31" t="s">
        <v>31</v>
      </c>
      <c r="AG11" s="31" t="s">
        <v>12</v>
      </c>
      <c r="AH11" s="31" t="s">
        <v>32</v>
      </c>
      <c r="AI11" s="31" t="s">
        <v>33</v>
      </c>
    </row>
    <row r="12" spans="1:40" x14ac:dyDescent="0.25">
      <c r="A12" s="35"/>
      <c r="B12" s="35">
        <v>10080</v>
      </c>
      <c r="C12">
        <v>8</v>
      </c>
      <c r="D12">
        <v>8.1488486426837508</v>
      </c>
      <c r="E12">
        <f t="shared" ref="E12:E54" si="0">C12-D12</f>
        <v>-0.14884864268375075</v>
      </c>
      <c r="F12">
        <f t="shared" ref="F12:F54" si="1">D12+C$3</f>
        <v>8.1269369893887067</v>
      </c>
      <c r="G12" s="36">
        <f t="shared" ref="G12:G54" si="2">ABS(C12-F12)/C12</f>
        <v>1.5867123673588335E-2</v>
      </c>
      <c r="I12" s="2">
        <v>10080</v>
      </c>
      <c r="J12" s="2">
        <v>4.72</v>
      </c>
      <c r="K12">
        <v>4.5326368778970298</v>
      </c>
      <c r="L12">
        <f t="shared" ref="L12:L48" si="3">J12-K12</f>
        <v>0.1873631221029699</v>
      </c>
      <c r="M12">
        <f>K12+J$3</f>
        <v>4.4388171373119967</v>
      </c>
      <c r="N12" s="36">
        <f>ABS(J12-M12)/J12</f>
        <v>5.9572640400000654E-2</v>
      </c>
      <c r="P12">
        <v>10080</v>
      </c>
      <c r="Q12">
        <v>1.69</v>
      </c>
      <c r="R12">
        <v>1.8587931958992601</v>
      </c>
      <c r="S12">
        <f t="shared" ref="S12:S52" si="4">Q12-R12</f>
        <v>-0.16879319589926012</v>
      </c>
      <c r="T12">
        <f>R12+Q$3</f>
        <v>1.8021500813060776</v>
      </c>
      <c r="U12" s="36">
        <f>ABS(Q12-T12)/Q12</f>
        <v>6.6360994855667238E-2</v>
      </c>
      <c r="W12" s="2">
        <v>10080</v>
      </c>
      <c r="X12" s="2">
        <v>5.79</v>
      </c>
      <c r="Y12">
        <v>4.8786331002896803</v>
      </c>
      <c r="Z12">
        <f t="shared" ref="Z12:Z48" si="5">X12-Y12</f>
        <v>0.9113668997103197</v>
      </c>
      <c r="AA12">
        <f>Y12+X$3</f>
        <v>5.0971868356419172</v>
      </c>
      <c r="AB12" s="36">
        <f>ABS(X12-AA12)/X12</f>
        <v>0.11965685049362397</v>
      </c>
      <c r="AD12" s="2">
        <v>10080</v>
      </c>
      <c r="AE12" s="2">
        <v>2.2400000000000002</v>
      </c>
      <c r="AF12">
        <v>2.21094273026578</v>
      </c>
      <c r="AG12">
        <f t="shared" ref="AG12:AG50" si="6">AE12-AF12</f>
        <v>2.9057269734220181E-2</v>
      </c>
      <c r="AH12">
        <f>AF12+AE$3</f>
        <v>2.1785163924335387</v>
      </c>
      <c r="AI12" s="36">
        <f>ABS(AE12-AH12)/AE12</f>
        <v>2.7448039092170327E-2</v>
      </c>
    </row>
    <row r="13" spans="1:40" x14ac:dyDescent="0.25">
      <c r="A13" s="35"/>
      <c r="B13" s="35">
        <v>10081</v>
      </c>
      <c r="C13">
        <v>6.4</v>
      </c>
      <c r="D13">
        <v>6.8438677031463602</v>
      </c>
      <c r="E13">
        <f t="shared" si="0"/>
        <v>-0.44386770314635982</v>
      </c>
      <c r="F13">
        <f t="shared" si="1"/>
        <v>6.8219560498513161</v>
      </c>
      <c r="G13" s="36">
        <f t="shared" si="2"/>
        <v>6.5930632789268084E-2</v>
      </c>
      <c r="I13" s="2">
        <v>10081</v>
      </c>
      <c r="J13" s="2">
        <v>5.09</v>
      </c>
      <c r="K13">
        <v>5.6382925518278304</v>
      </c>
      <c r="L13">
        <f t="shared" si="3"/>
        <v>-0.54829255182783054</v>
      </c>
      <c r="M13">
        <f t="shared" ref="M13:M48" si="7">K13+J$3</f>
        <v>5.5444728112427972</v>
      </c>
      <c r="N13" s="36">
        <f t="shared" ref="N13:N48" si="8">ABS(J13-M13)/J13</f>
        <v>8.928738924219988E-2</v>
      </c>
      <c r="P13">
        <v>10081</v>
      </c>
      <c r="Q13">
        <v>1.57</v>
      </c>
      <c r="R13">
        <v>1.85437938391863</v>
      </c>
      <c r="S13">
        <f t="shared" si="4"/>
        <v>-0.28437938391862994</v>
      </c>
      <c r="T13">
        <f t="shared" ref="T13:T52" si="9">R13+Q$3</f>
        <v>1.7977362693254475</v>
      </c>
      <c r="U13" s="36">
        <f t="shared" ref="U13:U52" si="10">ABS(Q13-T13)/Q13</f>
        <v>0.14505494861493468</v>
      </c>
      <c r="W13" s="2">
        <v>10081</v>
      </c>
      <c r="X13" s="2">
        <v>5.57</v>
      </c>
      <c r="Y13">
        <v>5.3189385098245001</v>
      </c>
      <c r="Z13">
        <f t="shared" si="5"/>
        <v>0.25106149017550017</v>
      </c>
      <c r="AA13">
        <f t="shared" ref="AA13:AA48" si="11">Y13+X$3</f>
        <v>5.537492245176737</v>
      </c>
      <c r="AB13" s="36">
        <f t="shared" ref="AB13:AB48" si="12">ABS(X13-AA13)/X13</f>
        <v>5.8362216917887417E-3</v>
      </c>
      <c r="AD13" s="2">
        <v>10081</v>
      </c>
      <c r="AE13" s="2">
        <v>3.1</v>
      </c>
      <c r="AF13">
        <v>3.4020019641156201</v>
      </c>
      <c r="AG13">
        <f t="shared" si="6"/>
        <v>-0.30200196411561997</v>
      </c>
      <c r="AH13">
        <f t="shared" ref="AH13:AH50" si="13">AF13+AE$3</f>
        <v>3.3695756262833787</v>
      </c>
      <c r="AI13" s="36">
        <f t="shared" ref="AI13:AI50" si="14">ABS(AE13-AH13)/AE13</f>
        <v>8.6959879446251165E-2</v>
      </c>
    </row>
    <row r="14" spans="1:40" x14ac:dyDescent="0.25">
      <c r="A14" s="35"/>
      <c r="B14" s="35">
        <v>10083</v>
      </c>
      <c r="C14">
        <v>4.5</v>
      </c>
      <c r="D14">
        <v>4.94808516814114</v>
      </c>
      <c r="E14">
        <f t="shared" si="0"/>
        <v>-0.44808516814113997</v>
      </c>
      <c r="F14">
        <f t="shared" si="1"/>
        <v>4.9261735148460959</v>
      </c>
      <c r="G14" s="36">
        <f t="shared" si="2"/>
        <v>9.4705225521354644E-2</v>
      </c>
      <c r="I14" s="2">
        <v>10083</v>
      </c>
      <c r="J14" s="2">
        <v>3.98</v>
      </c>
      <c r="K14">
        <v>4.1498278337598098</v>
      </c>
      <c r="L14">
        <f t="shared" si="3"/>
        <v>-0.16982783375980981</v>
      </c>
      <c r="M14">
        <f t="shared" si="7"/>
        <v>4.0560080931747766</v>
      </c>
      <c r="N14" s="36">
        <f t="shared" si="8"/>
        <v>1.9097510847933829E-2</v>
      </c>
      <c r="P14">
        <v>10083</v>
      </c>
      <c r="Q14">
        <v>1.19</v>
      </c>
      <c r="R14">
        <v>1.14649634388781</v>
      </c>
      <c r="S14">
        <f t="shared" si="4"/>
        <v>4.3503656112189981E-2</v>
      </c>
      <c r="T14">
        <f t="shared" si="9"/>
        <v>1.0898532292946275</v>
      </c>
      <c r="U14" s="36">
        <f t="shared" si="10"/>
        <v>8.4156950172581915E-2</v>
      </c>
      <c r="W14" s="2">
        <v>10083</v>
      </c>
      <c r="X14" s="2">
        <v>4.8</v>
      </c>
      <c r="Y14">
        <v>5.1777522203994799</v>
      </c>
      <c r="Z14">
        <f t="shared" si="5"/>
        <v>-0.37775222039948009</v>
      </c>
      <c r="AA14">
        <f t="shared" si="11"/>
        <v>5.3963059557517168</v>
      </c>
      <c r="AB14" s="36">
        <f t="shared" si="12"/>
        <v>0.12423040744827438</v>
      </c>
      <c r="AD14" s="2">
        <v>10083</v>
      </c>
      <c r="AE14" s="2">
        <v>2.2999999999999998</v>
      </c>
      <c r="AF14">
        <v>2.39362491761612</v>
      </c>
      <c r="AG14">
        <f t="shared" si="6"/>
        <v>-9.3624917616120129E-2</v>
      </c>
      <c r="AH14">
        <f t="shared" si="13"/>
        <v>2.3611985797838786</v>
      </c>
      <c r="AI14" s="36">
        <f t="shared" si="14"/>
        <v>2.6608078166903814E-2</v>
      </c>
    </row>
    <row r="15" spans="1:40" x14ac:dyDescent="0.25">
      <c r="A15" s="35"/>
      <c r="B15" s="35">
        <v>10093</v>
      </c>
      <c r="C15">
        <v>8.3000000000000007</v>
      </c>
      <c r="D15">
        <v>7.2274875649826704</v>
      </c>
      <c r="E15">
        <f t="shared" si="0"/>
        <v>1.0725124350173303</v>
      </c>
      <c r="F15">
        <f t="shared" si="1"/>
        <v>7.2055759116876263</v>
      </c>
      <c r="G15" s="36">
        <f t="shared" si="2"/>
        <v>0.13185832389305713</v>
      </c>
      <c r="I15" s="2">
        <v>10093</v>
      </c>
      <c r="J15" s="2">
        <v>4.3099999999999996</v>
      </c>
      <c r="K15">
        <v>4.3659500948646199</v>
      </c>
      <c r="L15">
        <f t="shared" si="3"/>
        <v>-5.5950094864620326E-2</v>
      </c>
      <c r="M15">
        <f t="shared" si="7"/>
        <v>4.2721303542795868</v>
      </c>
      <c r="N15" s="36">
        <f t="shared" si="8"/>
        <v>8.7864607239937012E-3</v>
      </c>
      <c r="P15">
        <v>10093</v>
      </c>
      <c r="Q15">
        <v>1.56</v>
      </c>
      <c r="R15">
        <v>1.6256408856447599</v>
      </c>
      <c r="S15">
        <f t="shared" si="4"/>
        <v>-6.5640885644759894E-2</v>
      </c>
      <c r="T15">
        <f t="shared" si="9"/>
        <v>1.5689977710515775</v>
      </c>
      <c r="U15" s="36">
        <f t="shared" si="10"/>
        <v>5.7678019561393564E-3</v>
      </c>
      <c r="W15" s="2">
        <v>10093</v>
      </c>
      <c r="X15" s="2">
        <v>4.34</v>
      </c>
      <c r="Y15">
        <v>4.8398651292241297</v>
      </c>
      <c r="Z15">
        <f t="shared" si="5"/>
        <v>-0.49986512922412984</v>
      </c>
      <c r="AA15">
        <f t="shared" si="11"/>
        <v>5.0584188645763666</v>
      </c>
      <c r="AB15" s="36">
        <f t="shared" si="12"/>
        <v>0.16553430059363289</v>
      </c>
      <c r="AD15" s="2">
        <v>10093</v>
      </c>
      <c r="AE15" s="2">
        <v>2.0099999999999998</v>
      </c>
      <c r="AF15">
        <v>2.2066709481885498</v>
      </c>
      <c r="AG15">
        <f t="shared" si="6"/>
        <v>-0.19667094818855002</v>
      </c>
      <c r="AH15">
        <f t="shared" si="13"/>
        <v>2.1742446103563084</v>
      </c>
      <c r="AI15" s="36">
        <f t="shared" si="14"/>
        <v>8.1713736495675954E-2</v>
      </c>
    </row>
    <row r="16" spans="1:40" x14ac:dyDescent="0.25">
      <c r="A16" s="35"/>
      <c r="B16" s="35">
        <v>10122</v>
      </c>
      <c r="C16">
        <v>7.1</v>
      </c>
      <c r="D16">
        <v>6.6411986013781803</v>
      </c>
      <c r="E16">
        <f t="shared" si="0"/>
        <v>0.45880139862181935</v>
      </c>
      <c r="F16">
        <f t="shared" si="1"/>
        <v>6.6192869480831362</v>
      </c>
      <c r="G16" s="36">
        <f t="shared" si="2"/>
        <v>6.7706063650262452E-2</v>
      </c>
      <c r="I16" s="2">
        <v>10122</v>
      </c>
      <c r="J16" s="2">
        <v>4.42</v>
      </c>
      <c r="K16">
        <v>4.3574206705544603</v>
      </c>
      <c r="L16">
        <f t="shared" si="3"/>
        <v>6.2579329445539678E-2</v>
      </c>
      <c r="M16">
        <f t="shared" si="7"/>
        <v>4.2636009299694271</v>
      </c>
      <c r="N16" s="36">
        <f t="shared" si="8"/>
        <v>3.5384404984292503E-2</v>
      </c>
      <c r="P16">
        <v>10122</v>
      </c>
      <c r="Q16">
        <v>1.28</v>
      </c>
      <c r="R16">
        <v>1.7559308057091001</v>
      </c>
      <c r="S16">
        <f t="shared" si="4"/>
        <v>-0.47593080570910007</v>
      </c>
      <c r="T16">
        <f t="shared" si="9"/>
        <v>1.6992876911159176</v>
      </c>
      <c r="U16" s="36">
        <f t="shared" si="10"/>
        <v>0.32756850868431059</v>
      </c>
      <c r="W16" s="2">
        <v>10122</v>
      </c>
      <c r="X16" s="2">
        <v>5.13</v>
      </c>
      <c r="Y16">
        <v>5.0236183786723796</v>
      </c>
      <c r="Z16">
        <f t="shared" si="5"/>
        <v>0.1063816213276203</v>
      </c>
      <c r="AA16">
        <f t="shared" si="11"/>
        <v>5.2421721140246165</v>
      </c>
      <c r="AB16" s="36">
        <f t="shared" si="12"/>
        <v>2.1865909166591927E-2</v>
      </c>
      <c r="AD16" s="2">
        <v>10122</v>
      </c>
      <c r="AE16" s="2">
        <v>2.42</v>
      </c>
      <c r="AF16">
        <v>2.8058361203788702</v>
      </c>
      <c r="AG16">
        <f t="shared" si="6"/>
        <v>-0.38583612037887027</v>
      </c>
      <c r="AH16">
        <f t="shared" si="13"/>
        <v>2.7734097825466288</v>
      </c>
      <c r="AI16" s="36">
        <f t="shared" si="14"/>
        <v>0.14603710022587973</v>
      </c>
    </row>
    <row r="17" spans="1:35" x14ac:dyDescent="0.25">
      <c r="A17" s="35"/>
      <c r="B17" s="35">
        <v>1118</v>
      </c>
      <c r="C17">
        <v>5.5</v>
      </c>
      <c r="D17">
        <v>5.6991245319090904</v>
      </c>
      <c r="E17">
        <f t="shared" si="0"/>
        <v>-0.19912453190909041</v>
      </c>
      <c r="F17">
        <f t="shared" si="1"/>
        <v>5.6772128786140463</v>
      </c>
      <c r="G17" s="36">
        <f t="shared" si="2"/>
        <v>3.2220523384372063E-2</v>
      </c>
      <c r="I17" s="2">
        <v>1118</v>
      </c>
      <c r="J17" s="2">
        <v>3.14</v>
      </c>
      <c r="K17">
        <v>3.6105093422048999</v>
      </c>
      <c r="L17">
        <f t="shared" si="3"/>
        <v>-0.47050934220489982</v>
      </c>
      <c r="M17">
        <f t="shared" si="7"/>
        <v>3.5166896016198663</v>
      </c>
      <c r="N17" s="36">
        <f t="shared" si="8"/>
        <v>0.11996484128021216</v>
      </c>
      <c r="P17">
        <v>1118</v>
      </c>
      <c r="Q17">
        <v>1.34</v>
      </c>
      <c r="R17">
        <v>1.3557729541909</v>
      </c>
      <c r="S17">
        <f t="shared" si="4"/>
        <v>-1.5772954190899968E-2</v>
      </c>
      <c r="T17">
        <f t="shared" si="9"/>
        <v>1.2991298395977176</v>
      </c>
      <c r="U17" s="36">
        <f t="shared" si="10"/>
        <v>3.0500119703195917E-2</v>
      </c>
      <c r="W17" s="2">
        <v>1118</v>
      </c>
      <c r="X17" s="2">
        <v>3.98</v>
      </c>
      <c r="Y17">
        <v>4.84642702352025</v>
      </c>
      <c r="Z17">
        <f t="shared" si="5"/>
        <v>-0.86642702352025003</v>
      </c>
      <c r="AA17">
        <f t="shared" si="11"/>
        <v>5.0649807588724869</v>
      </c>
      <c r="AB17" s="36">
        <f t="shared" si="12"/>
        <v>0.27260823087248415</v>
      </c>
      <c r="AD17" s="2">
        <v>1118</v>
      </c>
      <c r="AE17" s="2">
        <v>1.64</v>
      </c>
      <c r="AF17">
        <v>1.89696635269808</v>
      </c>
      <c r="AG17">
        <f t="shared" si="6"/>
        <v>-0.2569663526980801</v>
      </c>
      <c r="AH17">
        <f t="shared" si="13"/>
        <v>1.8645400148658386</v>
      </c>
      <c r="AI17" s="36">
        <f t="shared" si="14"/>
        <v>0.13691464321087729</v>
      </c>
    </row>
    <row r="18" spans="1:35" x14ac:dyDescent="0.25">
      <c r="A18" s="35"/>
      <c r="B18" s="35">
        <v>1125</v>
      </c>
      <c r="C18">
        <v>7.3</v>
      </c>
      <c r="D18">
        <v>8.4625200762877402</v>
      </c>
      <c r="E18">
        <f t="shared" si="0"/>
        <v>-1.1625200762877403</v>
      </c>
      <c r="F18">
        <f t="shared" si="1"/>
        <v>8.4406084229926961</v>
      </c>
      <c r="G18" s="36">
        <f t="shared" si="2"/>
        <v>0.15624772917708168</v>
      </c>
      <c r="I18" s="2">
        <v>1131</v>
      </c>
      <c r="J18" s="2">
        <v>3.98</v>
      </c>
      <c r="K18">
        <v>5.1616656725617203</v>
      </c>
      <c r="L18">
        <f t="shared" si="3"/>
        <v>-1.1816656725617203</v>
      </c>
      <c r="M18">
        <f t="shared" si="7"/>
        <v>5.0678459319766871</v>
      </c>
      <c r="N18" s="36">
        <f t="shared" si="8"/>
        <v>0.27332812361223296</v>
      </c>
      <c r="P18">
        <v>1131</v>
      </c>
      <c r="Q18">
        <v>1.76</v>
      </c>
      <c r="R18">
        <v>2.2376968789061098</v>
      </c>
      <c r="S18">
        <f t="shared" si="4"/>
        <v>-0.47769687890610979</v>
      </c>
      <c r="T18">
        <f t="shared" si="9"/>
        <v>2.1810537643129275</v>
      </c>
      <c r="U18" s="36">
        <f t="shared" si="10"/>
        <v>0.2392350933596179</v>
      </c>
      <c r="W18" s="2">
        <v>1131</v>
      </c>
      <c r="X18" s="2">
        <v>5.98</v>
      </c>
      <c r="Y18">
        <v>5.5781680458930802</v>
      </c>
      <c r="Z18">
        <f t="shared" si="5"/>
        <v>0.40183195410692019</v>
      </c>
      <c r="AA18">
        <f t="shared" si="11"/>
        <v>5.7967217812453171</v>
      </c>
      <c r="AB18" s="36">
        <f t="shared" si="12"/>
        <v>3.0648531564328309E-2</v>
      </c>
      <c r="AD18" s="2">
        <v>1131</v>
      </c>
      <c r="AE18" s="2">
        <v>2.08</v>
      </c>
      <c r="AF18">
        <v>2.66581070647986</v>
      </c>
      <c r="AG18">
        <f t="shared" si="6"/>
        <v>-0.58581070647985989</v>
      </c>
      <c r="AH18">
        <f t="shared" si="13"/>
        <v>2.6333843686476186</v>
      </c>
      <c r="AI18" s="36">
        <f t="shared" si="14"/>
        <v>0.26605017723443197</v>
      </c>
    </row>
    <row r="19" spans="1:35" x14ac:dyDescent="0.25">
      <c r="A19" s="35"/>
      <c r="B19" s="35">
        <v>1131</v>
      </c>
      <c r="C19">
        <v>8.4</v>
      </c>
      <c r="D19">
        <v>8.4417227085663793</v>
      </c>
      <c r="E19">
        <f t="shared" si="0"/>
        <v>-4.1722708566378941E-2</v>
      </c>
      <c r="F19">
        <f t="shared" si="1"/>
        <v>8.4198110552713352</v>
      </c>
      <c r="G19" s="36">
        <f t="shared" si="2"/>
        <v>2.3584589608731982E-3</v>
      </c>
      <c r="I19" s="2">
        <v>1135</v>
      </c>
      <c r="J19" s="2">
        <v>6.53</v>
      </c>
      <c r="K19">
        <v>6.5356374031435402</v>
      </c>
      <c r="L19">
        <f t="shared" si="3"/>
        <v>-5.6374031435399985E-3</v>
      </c>
      <c r="M19">
        <f t="shared" si="7"/>
        <v>6.4418176625585071</v>
      </c>
      <c r="N19" s="36">
        <f t="shared" si="8"/>
        <v>1.3504186438207224E-2</v>
      </c>
      <c r="P19">
        <v>1135</v>
      </c>
      <c r="Q19">
        <v>2.44</v>
      </c>
      <c r="R19">
        <v>2.8799946751655101</v>
      </c>
      <c r="S19">
        <f t="shared" si="4"/>
        <v>-0.43999467516551016</v>
      </c>
      <c r="T19">
        <f t="shared" si="9"/>
        <v>2.8233515605723278</v>
      </c>
      <c r="U19" s="36">
        <f t="shared" si="10"/>
        <v>0.15711129531652782</v>
      </c>
      <c r="W19" s="2">
        <v>1135</v>
      </c>
      <c r="X19" s="2">
        <v>6.71</v>
      </c>
      <c r="Y19">
        <v>6.4539641832844303</v>
      </c>
      <c r="Z19">
        <f t="shared" si="5"/>
        <v>0.25603581671556963</v>
      </c>
      <c r="AA19">
        <f t="shared" si="11"/>
        <v>6.6725179186366672</v>
      </c>
      <c r="AB19" s="36">
        <f t="shared" si="12"/>
        <v>5.5860031838051794E-3</v>
      </c>
      <c r="AD19" s="2">
        <v>1135</v>
      </c>
      <c r="AE19" s="2">
        <v>4.4400000000000004</v>
      </c>
      <c r="AF19">
        <v>3.87832450480319</v>
      </c>
      <c r="AG19">
        <f t="shared" si="6"/>
        <v>0.56167549519681037</v>
      </c>
      <c r="AH19">
        <f t="shared" si="13"/>
        <v>3.8458981669709487</v>
      </c>
      <c r="AI19" s="36">
        <f t="shared" si="14"/>
        <v>0.13380671915068731</v>
      </c>
    </row>
    <row r="20" spans="1:35" x14ac:dyDescent="0.25">
      <c r="A20" s="35"/>
      <c r="B20" s="35">
        <v>1135</v>
      </c>
      <c r="C20">
        <v>9.4</v>
      </c>
      <c r="D20">
        <v>10.147341696053299</v>
      </c>
      <c r="E20">
        <f t="shared" si="0"/>
        <v>-0.74734169605329903</v>
      </c>
      <c r="F20">
        <f t="shared" si="1"/>
        <v>10.125430042758255</v>
      </c>
      <c r="G20" s="36">
        <f t="shared" si="2"/>
        <v>7.7173408804069671E-2</v>
      </c>
      <c r="I20" s="2">
        <v>1403</v>
      </c>
      <c r="J20" s="2">
        <v>5.09</v>
      </c>
      <c r="K20">
        <v>3.86722575847595</v>
      </c>
      <c r="L20">
        <f t="shared" si="3"/>
        <v>1.2227742415240499</v>
      </c>
      <c r="M20">
        <f t="shared" si="7"/>
        <v>3.7734060178909163</v>
      </c>
      <c r="N20" s="36">
        <f t="shared" si="8"/>
        <v>0.25866286485443685</v>
      </c>
      <c r="P20">
        <v>1383</v>
      </c>
      <c r="Q20">
        <v>2.0299999999999998</v>
      </c>
      <c r="R20">
        <v>2.1312146291602101</v>
      </c>
      <c r="S20">
        <f t="shared" si="4"/>
        <v>-0.10121462916021029</v>
      </c>
      <c r="T20">
        <f t="shared" si="9"/>
        <v>2.0745715145670278</v>
      </c>
      <c r="U20" s="36">
        <f t="shared" si="10"/>
        <v>2.195641111676257E-2</v>
      </c>
      <c r="W20" s="2">
        <v>1403</v>
      </c>
      <c r="X20" s="2">
        <v>5.49</v>
      </c>
      <c r="Y20">
        <v>5.0547170370643597</v>
      </c>
      <c r="Z20">
        <f t="shared" si="5"/>
        <v>0.43528296293564051</v>
      </c>
      <c r="AA20">
        <f t="shared" si="11"/>
        <v>5.2732707724165966</v>
      </c>
      <c r="AB20" s="36">
        <f t="shared" si="12"/>
        <v>3.9477090634499751E-2</v>
      </c>
      <c r="AD20" s="2">
        <v>1403</v>
      </c>
      <c r="AE20" s="2">
        <v>2.62</v>
      </c>
      <c r="AF20">
        <v>1.95254990257076</v>
      </c>
      <c r="AG20">
        <f t="shared" si="6"/>
        <v>0.66745009742924011</v>
      </c>
      <c r="AH20">
        <f t="shared" si="13"/>
        <v>1.9201235647385186</v>
      </c>
      <c r="AI20" s="36">
        <f t="shared" si="14"/>
        <v>0.26712841040514557</v>
      </c>
    </row>
    <row r="21" spans="1:35" x14ac:dyDescent="0.25">
      <c r="A21" s="35"/>
      <c r="B21" s="35">
        <v>1403</v>
      </c>
      <c r="C21">
        <v>5.8</v>
      </c>
      <c r="D21">
        <v>6.0595488997334703</v>
      </c>
      <c r="E21">
        <f t="shared" si="0"/>
        <v>-0.25954889973347051</v>
      </c>
      <c r="F21">
        <f t="shared" si="1"/>
        <v>6.0376372464384263</v>
      </c>
      <c r="G21" s="36">
        <f t="shared" si="2"/>
        <v>4.0971939041108005E-2</v>
      </c>
      <c r="I21" s="2">
        <v>1404</v>
      </c>
      <c r="J21" s="2">
        <v>5.71</v>
      </c>
      <c r="K21">
        <v>5.2602331532730799</v>
      </c>
      <c r="L21">
        <f t="shared" si="3"/>
        <v>0.44976684672692002</v>
      </c>
      <c r="M21">
        <f t="shared" si="7"/>
        <v>5.1664134126880468</v>
      </c>
      <c r="N21" s="36">
        <f t="shared" si="8"/>
        <v>9.5199052068643292E-2</v>
      </c>
      <c r="P21">
        <v>1403</v>
      </c>
      <c r="Q21">
        <v>1.81</v>
      </c>
      <c r="R21">
        <v>1.5977985683825999</v>
      </c>
      <c r="S21">
        <f t="shared" si="4"/>
        <v>0.21220143161740013</v>
      </c>
      <c r="T21">
        <f t="shared" si="9"/>
        <v>1.5411554537894174</v>
      </c>
      <c r="U21" s="36">
        <f t="shared" si="10"/>
        <v>0.14853289845888543</v>
      </c>
      <c r="W21" s="2">
        <v>1404</v>
      </c>
      <c r="X21" s="2">
        <v>6.33</v>
      </c>
      <c r="Y21">
        <v>5.9351290278624598</v>
      </c>
      <c r="Z21">
        <f t="shared" si="5"/>
        <v>0.3948709721375403</v>
      </c>
      <c r="AA21">
        <f t="shared" si="11"/>
        <v>6.1536827632146966</v>
      </c>
      <c r="AB21" s="36">
        <f t="shared" si="12"/>
        <v>2.7854223820743037E-2</v>
      </c>
      <c r="AD21" s="2">
        <v>1404</v>
      </c>
      <c r="AE21" s="2">
        <v>3.72</v>
      </c>
      <c r="AF21">
        <v>3.0688578035951499</v>
      </c>
      <c r="AG21">
        <f t="shared" si="6"/>
        <v>0.65114219640485027</v>
      </c>
      <c r="AH21">
        <f t="shared" si="13"/>
        <v>3.0364314657629086</v>
      </c>
      <c r="AI21" s="36">
        <f t="shared" si="14"/>
        <v>0.18375498232179882</v>
      </c>
    </row>
    <row r="22" spans="1:35" x14ac:dyDescent="0.25">
      <c r="A22" s="35"/>
      <c r="B22" s="35">
        <v>1404</v>
      </c>
      <c r="C22">
        <v>6.5</v>
      </c>
      <c r="D22">
        <v>6.1307071870283698</v>
      </c>
      <c r="E22">
        <f t="shared" si="0"/>
        <v>0.36929281297163019</v>
      </c>
      <c r="F22">
        <f t="shared" si="1"/>
        <v>6.1087955337333257</v>
      </c>
      <c r="G22" s="36">
        <f t="shared" si="2"/>
        <v>6.018530250256527E-2</v>
      </c>
      <c r="I22" s="2">
        <v>1427</v>
      </c>
      <c r="J22" s="2">
        <v>3.81</v>
      </c>
      <c r="K22">
        <v>3.8316337598441002</v>
      </c>
      <c r="L22">
        <f t="shared" si="3"/>
        <v>-2.1633759844100098E-2</v>
      </c>
      <c r="M22">
        <f t="shared" si="7"/>
        <v>3.7378140192590665</v>
      </c>
      <c r="N22" s="36">
        <f t="shared" si="8"/>
        <v>1.8946451638040294E-2</v>
      </c>
      <c r="P22">
        <v>1404</v>
      </c>
      <c r="Q22">
        <v>2.5</v>
      </c>
      <c r="R22">
        <v>1.96600537753569</v>
      </c>
      <c r="S22">
        <f t="shared" si="4"/>
        <v>0.53399462246430995</v>
      </c>
      <c r="T22">
        <f t="shared" si="9"/>
        <v>1.9093622629425075</v>
      </c>
      <c r="U22" s="36">
        <f t="shared" si="10"/>
        <v>0.23625509482299697</v>
      </c>
      <c r="W22" s="2">
        <v>1425</v>
      </c>
      <c r="X22" s="2">
        <v>4.9000000000000004</v>
      </c>
      <c r="Y22">
        <v>4.6534913649935001</v>
      </c>
      <c r="Z22">
        <f t="shared" si="5"/>
        <v>0.24650863500650022</v>
      </c>
      <c r="AA22">
        <f t="shared" si="11"/>
        <v>4.872045100345737</v>
      </c>
      <c r="AB22" s="36">
        <f t="shared" si="12"/>
        <v>5.7050815620945591E-3</v>
      </c>
      <c r="AD22" s="2">
        <v>1427</v>
      </c>
      <c r="AE22" s="2">
        <v>2.54</v>
      </c>
      <c r="AF22">
        <v>2.3333264579263102</v>
      </c>
      <c r="AG22">
        <f t="shared" si="6"/>
        <v>0.20667354207368982</v>
      </c>
      <c r="AH22">
        <f t="shared" si="13"/>
        <v>2.3009001200940689</v>
      </c>
      <c r="AI22" s="36">
        <f t="shared" si="14"/>
        <v>9.4133810986587074E-2</v>
      </c>
    </row>
    <row r="23" spans="1:35" x14ac:dyDescent="0.25">
      <c r="A23" s="35"/>
      <c r="B23" s="35">
        <v>1425</v>
      </c>
      <c r="C23">
        <v>5.7</v>
      </c>
      <c r="D23">
        <v>5.1895366153374196</v>
      </c>
      <c r="E23">
        <f t="shared" si="0"/>
        <v>0.51046338466258057</v>
      </c>
      <c r="F23">
        <f t="shared" si="1"/>
        <v>5.1676249620423755</v>
      </c>
      <c r="G23" s="36">
        <f t="shared" si="2"/>
        <v>9.3399129466249939E-2</v>
      </c>
      <c r="I23" s="2">
        <v>1430</v>
      </c>
      <c r="J23" s="2">
        <v>5.0999999999999996</v>
      </c>
      <c r="K23">
        <v>4.60816057929389</v>
      </c>
      <c r="L23">
        <f t="shared" si="3"/>
        <v>0.49183942070610964</v>
      </c>
      <c r="M23">
        <f t="shared" si="7"/>
        <v>4.5143408387088568</v>
      </c>
      <c r="N23" s="36">
        <f t="shared" si="8"/>
        <v>0.11483512966492997</v>
      </c>
      <c r="P23">
        <v>1425</v>
      </c>
      <c r="Q23">
        <v>2.2200000000000002</v>
      </c>
      <c r="R23">
        <v>1.8621145427154999</v>
      </c>
      <c r="S23">
        <f t="shared" si="4"/>
        <v>0.35788545728450027</v>
      </c>
      <c r="T23">
        <f t="shared" si="9"/>
        <v>1.8054714281223174</v>
      </c>
      <c r="U23" s="36">
        <f t="shared" si="10"/>
        <v>0.18672458192688413</v>
      </c>
      <c r="W23" s="2">
        <v>1427</v>
      </c>
      <c r="X23" s="2">
        <v>5.55</v>
      </c>
      <c r="Y23">
        <v>5.2392524970718002</v>
      </c>
      <c r="Z23">
        <f t="shared" si="5"/>
        <v>0.31074750292819964</v>
      </c>
      <c r="AA23">
        <f t="shared" si="11"/>
        <v>5.4578062324240371</v>
      </c>
      <c r="AB23" s="36">
        <f t="shared" si="12"/>
        <v>1.6611489653326626E-2</v>
      </c>
      <c r="AD23" s="2">
        <v>1428</v>
      </c>
      <c r="AE23" s="2">
        <v>2.08</v>
      </c>
      <c r="AF23">
        <v>2.3158953160994402</v>
      </c>
      <c r="AG23">
        <f t="shared" si="6"/>
        <v>-0.23589531609944014</v>
      </c>
      <c r="AH23">
        <f t="shared" si="13"/>
        <v>2.2834689782671989</v>
      </c>
      <c r="AI23" s="36">
        <f t="shared" si="14"/>
        <v>9.7821624166922486E-2</v>
      </c>
    </row>
    <row r="24" spans="1:35" x14ac:dyDescent="0.25">
      <c r="A24" s="35"/>
      <c r="B24" s="35">
        <v>1427</v>
      </c>
      <c r="C24">
        <v>5</v>
      </c>
      <c r="D24">
        <v>5.5320773026683101</v>
      </c>
      <c r="E24">
        <f t="shared" si="0"/>
        <v>-0.5320773026683101</v>
      </c>
      <c r="F24">
        <f t="shared" si="1"/>
        <v>5.510165649373266</v>
      </c>
      <c r="G24" s="36">
        <f t="shared" si="2"/>
        <v>0.10203312987465321</v>
      </c>
      <c r="I24" s="2">
        <v>1455</v>
      </c>
      <c r="J24" s="2">
        <v>4.2699999999999996</v>
      </c>
      <c r="K24">
        <v>4.7857767024915097</v>
      </c>
      <c r="L24">
        <f t="shared" si="3"/>
        <v>-0.51577670249151009</v>
      </c>
      <c r="M24">
        <f t="shared" si="7"/>
        <v>4.6919569619064765</v>
      </c>
      <c r="N24" s="36">
        <f t="shared" si="8"/>
        <v>9.8818960633835357E-2</v>
      </c>
      <c r="P24">
        <v>1427</v>
      </c>
      <c r="Q24">
        <v>1.1499999999999999</v>
      </c>
      <c r="R24">
        <v>1.33443387157636</v>
      </c>
      <c r="S24">
        <f t="shared" si="4"/>
        <v>-0.18443387157636004</v>
      </c>
      <c r="T24">
        <f t="shared" si="9"/>
        <v>1.2777907569831775</v>
      </c>
      <c r="U24" s="36">
        <f t="shared" si="10"/>
        <v>0.11112239737667613</v>
      </c>
      <c r="W24" s="2">
        <v>1430</v>
      </c>
      <c r="X24" s="2">
        <v>5.63</v>
      </c>
      <c r="Y24">
        <v>5.4338799358374699</v>
      </c>
      <c r="Z24">
        <f t="shared" si="5"/>
        <v>0.19612006416253003</v>
      </c>
      <c r="AA24">
        <f t="shared" si="11"/>
        <v>5.6524336711897067</v>
      </c>
      <c r="AB24" s="36">
        <f t="shared" si="12"/>
        <v>3.9846662859159589E-3</v>
      </c>
      <c r="AD24" s="2">
        <v>1430</v>
      </c>
      <c r="AE24" s="2">
        <v>2.2999999999999998</v>
      </c>
      <c r="AF24">
        <v>2.09670025601431</v>
      </c>
      <c r="AG24">
        <f t="shared" si="6"/>
        <v>0.20329974398568984</v>
      </c>
      <c r="AH24">
        <f t="shared" si="13"/>
        <v>2.0642739181820686</v>
      </c>
      <c r="AI24" s="36">
        <f t="shared" si="14"/>
        <v>0.10248960079040488</v>
      </c>
    </row>
    <row r="25" spans="1:35" x14ac:dyDescent="0.25">
      <c r="A25" s="35"/>
      <c r="B25" s="35">
        <v>1428</v>
      </c>
      <c r="C25">
        <v>8.8000000000000007</v>
      </c>
      <c r="D25">
        <v>8.0178972187140491</v>
      </c>
      <c r="E25">
        <f t="shared" si="0"/>
        <v>0.78210278128595156</v>
      </c>
      <c r="F25">
        <f t="shared" si="1"/>
        <v>7.9959855654190051</v>
      </c>
      <c r="G25" s="36">
        <f t="shared" si="2"/>
        <v>9.136527665693131E-2</v>
      </c>
      <c r="I25" s="2">
        <v>1458</v>
      </c>
      <c r="J25" s="2">
        <v>4.84</v>
      </c>
      <c r="K25">
        <v>5.3698044885551104</v>
      </c>
      <c r="L25">
        <f t="shared" si="3"/>
        <v>-0.52980448855511053</v>
      </c>
      <c r="M25">
        <f t="shared" si="7"/>
        <v>5.2759847479700772</v>
      </c>
      <c r="N25" s="36">
        <f t="shared" si="8"/>
        <v>9.0079493382247397E-2</v>
      </c>
      <c r="P25">
        <v>1455</v>
      </c>
      <c r="Q25">
        <v>1.56</v>
      </c>
      <c r="R25">
        <v>1.8440492191761</v>
      </c>
      <c r="S25">
        <f t="shared" si="4"/>
        <v>-0.28404921917609993</v>
      </c>
      <c r="T25">
        <f t="shared" si="9"/>
        <v>1.7874061045829175</v>
      </c>
      <c r="U25" s="36">
        <f t="shared" si="10"/>
        <v>0.1457731439634086</v>
      </c>
      <c r="W25" s="2">
        <v>1455</v>
      </c>
      <c r="X25" s="2">
        <v>5.22</v>
      </c>
      <c r="Y25">
        <v>5.09860716986746</v>
      </c>
      <c r="Z25">
        <f t="shared" si="5"/>
        <v>0.12139283013253976</v>
      </c>
      <c r="AA25">
        <f t="shared" si="11"/>
        <v>5.3171609052196969</v>
      </c>
      <c r="AB25" s="36">
        <f t="shared" si="12"/>
        <v>1.861320023365845E-2</v>
      </c>
      <c r="AD25" s="2">
        <v>1455</v>
      </c>
      <c r="AE25" s="2">
        <v>2.15</v>
      </c>
      <c r="AF25">
        <v>2.49966962973452</v>
      </c>
      <c r="AG25">
        <f t="shared" si="6"/>
        <v>-0.34966962973452009</v>
      </c>
      <c r="AH25">
        <f t="shared" si="13"/>
        <v>2.4672432919022786</v>
      </c>
      <c r="AI25" s="36">
        <f t="shared" si="14"/>
        <v>0.14755501948943198</v>
      </c>
    </row>
    <row r="26" spans="1:35" x14ac:dyDescent="0.25">
      <c r="A26" s="35"/>
      <c r="B26" s="37">
        <v>1430</v>
      </c>
      <c r="C26">
        <v>9.6</v>
      </c>
      <c r="D26">
        <v>9.3244853263237708</v>
      </c>
      <c r="E26">
        <f t="shared" si="0"/>
        <v>0.27551467367622884</v>
      </c>
      <c r="F26">
        <f t="shared" si="1"/>
        <v>9.3025736730287267</v>
      </c>
      <c r="G26" s="36">
        <f t="shared" si="2"/>
        <v>3.0981909059507595E-2</v>
      </c>
      <c r="I26" s="2">
        <v>1462</v>
      </c>
      <c r="J26" s="2">
        <v>3.85</v>
      </c>
      <c r="K26">
        <v>4.2352185619111804</v>
      </c>
      <c r="L26">
        <f t="shared" si="3"/>
        <v>-0.38521856191118031</v>
      </c>
      <c r="M26">
        <f t="shared" si="7"/>
        <v>4.1413988213261472</v>
      </c>
      <c r="N26" s="36">
        <f t="shared" si="8"/>
        <v>7.5688005539259001E-2</v>
      </c>
      <c r="P26">
        <v>1457</v>
      </c>
      <c r="Q26">
        <v>2.31</v>
      </c>
      <c r="R26">
        <v>2.7092977430385599</v>
      </c>
      <c r="S26">
        <f t="shared" si="4"/>
        <v>-0.3992977430385598</v>
      </c>
      <c r="T26">
        <f t="shared" si="9"/>
        <v>2.6526546284453776</v>
      </c>
      <c r="U26" s="36">
        <f t="shared" si="10"/>
        <v>0.14833533698934093</v>
      </c>
      <c r="W26" s="2">
        <v>1457</v>
      </c>
      <c r="X26" s="2">
        <v>6</v>
      </c>
      <c r="Y26">
        <v>6.6425509447294901</v>
      </c>
      <c r="Z26">
        <f t="shared" si="5"/>
        <v>-0.64255094472949015</v>
      </c>
      <c r="AA26">
        <f t="shared" si="11"/>
        <v>6.861104680081727</v>
      </c>
      <c r="AB26" s="36">
        <f t="shared" si="12"/>
        <v>0.14351744668028785</v>
      </c>
      <c r="AD26" s="2">
        <v>1457</v>
      </c>
      <c r="AE26" s="2">
        <v>3</v>
      </c>
      <c r="AF26">
        <v>3.79751526926445</v>
      </c>
      <c r="AG26">
        <f t="shared" si="6"/>
        <v>-0.79751526926445004</v>
      </c>
      <c r="AH26">
        <f t="shared" si="13"/>
        <v>3.7650889314322087</v>
      </c>
      <c r="AI26" s="36">
        <f t="shared" si="14"/>
        <v>0.25502964381073623</v>
      </c>
    </row>
    <row r="27" spans="1:35" x14ac:dyDescent="0.25">
      <c r="A27" s="35"/>
      <c r="B27" s="37">
        <v>1455</v>
      </c>
      <c r="C27">
        <v>7</v>
      </c>
      <c r="D27">
        <v>6.7384244117477996</v>
      </c>
      <c r="E27">
        <f t="shared" si="0"/>
        <v>0.2615755882522004</v>
      </c>
      <c r="F27">
        <f t="shared" si="1"/>
        <v>6.7165127584527555</v>
      </c>
      <c r="G27" s="36">
        <f t="shared" si="2"/>
        <v>4.0498177363892066E-2</v>
      </c>
      <c r="I27" s="2">
        <v>1463</v>
      </c>
      <c r="J27" s="2">
        <v>3.47</v>
      </c>
      <c r="K27">
        <v>3.6432280643945401</v>
      </c>
      <c r="L27">
        <f t="shared" si="3"/>
        <v>-0.17322806439453986</v>
      </c>
      <c r="M27">
        <f t="shared" si="7"/>
        <v>3.5494083238095064</v>
      </c>
      <c r="N27" s="36">
        <f t="shared" si="8"/>
        <v>2.2884243172768368E-2</v>
      </c>
      <c r="P27">
        <v>1458</v>
      </c>
      <c r="Q27">
        <v>2.21</v>
      </c>
      <c r="R27">
        <v>1.5523809540490201</v>
      </c>
      <c r="S27">
        <f t="shared" si="4"/>
        <v>0.65761904595097986</v>
      </c>
      <c r="T27">
        <f t="shared" si="9"/>
        <v>1.4957378394558376</v>
      </c>
      <c r="U27" s="36">
        <f t="shared" si="10"/>
        <v>0.32319554775753956</v>
      </c>
      <c r="W27" s="2">
        <v>1458</v>
      </c>
      <c r="X27" s="2">
        <v>5.54</v>
      </c>
      <c r="Y27">
        <v>5.7039471172088403</v>
      </c>
      <c r="Z27">
        <f t="shared" si="5"/>
        <v>-0.16394711720884025</v>
      </c>
      <c r="AA27">
        <f t="shared" si="11"/>
        <v>5.9225008525610772</v>
      </c>
      <c r="AB27" s="36">
        <f t="shared" si="12"/>
        <v>6.9043475191530174E-2</v>
      </c>
      <c r="AD27" s="2">
        <v>1458</v>
      </c>
      <c r="AE27" s="2">
        <v>2.4700000000000002</v>
      </c>
      <c r="AF27">
        <v>3.20533404182195</v>
      </c>
      <c r="AG27">
        <f t="shared" si="6"/>
        <v>-0.73533404182194984</v>
      </c>
      <c r="AH27">
        <f t="shared" si="13"/>
        <v>3.1729077039897087</v>
      </c>
      <c r="AI27" s="36">
        <f t="shared" si="14"/>
        <v>0.28457801780959857</v>
      </c>
    </row>
    <row r="28" spans="1:35" s="38" customFormat="1" x14ac:dyDescent="0.25">
      <c r="A28" s="35"/>
      <c r="B28" s="37">
        <v>1457</v>
      </c>
      <c r="C28">
        <v>9.1999999999999993</v>
      </c>
      <c r="D28">
        <v>10.322255256676</v>
      </c>
      <c r="E28">
        <f t="shared" si="0"/>
        <v>-1.1222552566760005</v>
      </c>
      <c r="F28">
        <f t="shared" si="1"/>
        <v>10.300343603380956</v>
      </c>
      <c r="G28" s="36">
        <f t="shared" si="2"/>
        <v>0.11960256558488658</v>
      </c>
      <c r="I28" s="2">
        <v>1521</v>
      </c>
      <c r="J28" s="2">
        <v>4.59</v>
      </c>
      <c r="K28">
        <v>5.3398007431486301</v>
      </c>
      <c r="L28">
        <f t="shared" si="3"/>
        <v>-0.74980074314863021</v>
      </c>
      <c r="M28">
        <f t="shared" si="7"/>
        <v>5.2459810025635969</v>
      </c>
      <c r="N28" s="36">
        <f t="shared" si="8"/>
        <v>0.14291525110318018</v>
      </c>
      <c r="P28">
        <v>1462</v>
      </c>
      <c r="Q28">
        <v>1.26</v>
      </c>
      <c r="R28">
        <v>1.3230815048726701</v>
      </c>
      <c r="S28">
        <f t="shared" si="4"/>
        <v>-6.3081504872670058E-2</v>
      </c>
      <c r="T28">
        <f t="shared" si="9"/>
        <v>1.2664383902794876</v>
      </c>
      <c r="U28" s="36">
        <f t="shared" si="10"/>
        <v>5.1098335551488577E-3</v>
      </c>
      <c r="W28" s="2">
        <v>1462</v>
      </c>
      <c r="X28" s="2">
        <v>4.99</v>
      </c>
      <c r="Y28">
        <v>5.0213277164913102</v>
      </c>
      <c r="Z28">
        <f t="shared" si="5"/>
        <v>-3.1327716491309943E-2</v>
      </c>
      <c r="AA28">
        <f t="shared" si="11"/>
        <v>5.239881451843547</v>
      </c>
      <c r="AB28" s="36">
        <f t="shared" si="12"/>
        <v>5.0076443255219802E-2</v>
      </c>
      <c r="AD28" s="2">
        <v>1462</v>
      </c>
      <c r="AE28" s="2">
        <v>2.0099999999999998</v>
      </c>
      <c r="AF28">
        <v>2.29887609560677</v>
      </c>
      <c r="AG28">
        <f t="shared" si="6"/>
        <v>-0.28887609560677019</v>
      </c>
      <c r="AH28">
        <f t="shared" si="13"/>
        <v>2.2664497577745286</v>
      </c>
      <c r="AI28" s="36">
        <f t="shared" si="14"/>
        <v>0.12758694416643226</v>
      </c>
    </row>
    <row r="29" spans="1:35" s="38" customFormat="1" x14ac:dyDescent="0.25">
      <c r="A29" s="35"/>
      <c r="B29" s="37">
        <v>1458</v>
      </c>
      <c r="C29">
        <v>9.1999999999999993</v>
      </c>
      <c r="D29">
        <v>7.7983244059696197</v>
      </c>
      <c r="E29">
        <f t="shared" si="0"/>
        <v>1.4016755940303796</v>
      </c>
      <c r="F29">
        <f t="shared" si="1"/>
        <v>7.7764127526745757</v>
      </c>
      <c r="G29" s="36">
        <f t="shared" si="2"/>
        <v>0.15473774427450257</v>
      </c>
      <c r="I29" s="2">
        <v>1522</v>
      </c>
      <c r="J29" s="2">
        <v>5.42</v>
      </c>
      <c r="K29">
        <v>4.7356732087412396</v>
      </c>
      <c r="L29">
        <f t="shared" si="3"/>
        <v>0.68432679125876028</v>
      </c>
      <c r="M29">
        <f t="shared" si="7"/>
        <v>4.6418534681562065</v>
      </c>
      <c r="N29" s="36">
        <f t="shared" si="8"/>
        <v>0.14356947081988811</v>
      </c>
      <c r="P29">
        <v>1463</v>
      </c>
      <c r="Q29">
        <v>1.27</v>
      </c>
      <c r="R29">
        <v>1.2142637000119501</v>
      </c>
      <c r="S29">
        <f t="shared" si="4"/>
        <v>5.5736299988049964E-2</v>
      </c>
      <c r="T29">
        <f t="shared" si="9"/>
        <v>1.1576205854187676</v>
      </c>
      <c r="U29" s="36">
        <f t="shared" si="10"/>
        <v>8.8487728016718475E-2</v>
      </c>
      <c r="W29" s="2">
        <v>1463</v>
      </c>
      <c r="X29" s="2">
        <v>4.8099999999999996</v>
      </c>
      <c r="Y29">
        <v>4.8157504711899399</v>
      </c>
      <c r="Z29">
        <f t="shared" si="5"/>
        <v>-5.7504711899403205E-3</v>
      </c>
      <c r="AA29">
        <f t="shared" si="11"/>
        <v>5.0343042065421768</v>
      </c>
      <c r="AB29" s="36">
        <f t="shared" si="12"/>
        <v>4.6632891173009818E-2</v>
      </c>
      <c r="AD29" s="2">
        <v>1463</v>
      </c>
      <c r="AE29" s="2">
        <v>1.91</v>
      </c>
      <c r="AF29">
        <v>1.9062840562694501</v>
      </c>
      <c r="AG29">
        <f t="shared" si="6"/>
        <v>3.7159437305498422E-3</v>
      </c>
      <c r="AH29">
        <f t="shared" si="13"/>
        <v>1.8738577184372087</v>
      </c>
      <c r="AI29" s="36">
        <f t="shared" si="14"/>
        <v>1.8922660504079165E-2</v>
      </c>
    </row>
    <row r="30" spans="1:35" s="38" customFormat="1" x14ac:dyDescent="0.25">
      <c r="A30" s="35"/>
      <c r="B30" s="37">
        <v>1462</v>
      </c>
      <c r="C30">
        <v>6</v>
      </c>
      <c r="D30">
        <v>6.7136312714509101</v>
      </c>
      <c r="E30">
        <f t="shared" si="0"/>
        <v>-0.7136312714509101</v>
      </c>
      <c r="F30">
        <f t="shared" si="1"/>
        <v>6.691719618155866</v>
      </c>
      <c r="G30" s="36">
        <f t="shared" si="2"/>
        <v>0.11528660302597767</v>
      </c>
      <c r="I30" s="2">
        <v>1524</v>
      </c>
      <c r="J30" s="2">
        <v>4.41</v>
      </c>
      <c r="K30">
        <v>4.9935649009663301</v>
      </c>
      <c r="L30">
        <f t="shared" si="3"/>
        <v>-0.58356490096632996</v>
      </c>
      <c r="M30">
        <f t="shared" si="7"/>
        <v>4.8997451603812969</v>
      </c>
      <c r="N30" s="36">
        <f t="shared" si="8"/>
        <v>0.1110533243495004</v>
      </c>
      <c r="P30">
        <v>1521</v>
      </c>
      <c r="Q30">
        <v>1.83</v>
      </c>
      <c r="R30">
        <v>2.05651847064633</v>
      </c>
      <c r="S30">
        <f t="shared" si="4"/>
        <v>-0.22651847064632991</v>
      </c>
      <c r="T30">
        <f t="shared" si="9"/>
        <v>1.9998753560531475</v>
      </c>
      <c r="U30" s="36">
        <f t="shared" si="10"/>
        <v>9.2828063417020434E-2</v>
      </c>
      <c r="W30" s="2">
        <v>1522</v>
      </c>
      <c r="X30" s="2">
        <v>5.72</v>
      </c>
      <c r="Y30">
        <v>5.3634732260810498</v>
      </c>
      <c r="Z30">
        <f t="shared" si="5"/>
        <v>0.35652677391894994</v>
      </c>
      <c r="AA30">
        <f t="shared" si="11"/>
        <v>5.5820269614332867</v>
      </c>
      <c r="AB30" s="36">
        <f t="shared" si="12"/>
        <v>2.41211605885862E-2</v>
      </c>
      <c r="AD30" s="2">
        <v>1521</v>
      </c>
      <c r="AE30" s="2">
        <v>2.29</v>
      </c>
      <c r="AF30">
        <v>2.7522148898706802</v>
      </c>
      <c r="AG30">
        <f t="shared" si="6"/>
        <v>-0.46221488987068016</v>
      </c>
      <c r="AH30">
        <f t="shared" si="13"/>
        <v>2.7197885520384388</v>
      </c>
      <c r="AI30" s="36">
        <f t="shared" si="14"/>
        <v>0.18768059040979859</v>
      </c>
    </row>
    <row r="31" spans="1:35" s="38" customFormat="1" x14ac:dyDescent="0.25">
      <c r="A31" s="35"/>
      <c r="B31" s="37">
        <v>1463</v>
      </c>
      <c r="C31">
        <v>5.7</v>
      </c>
      <c r="D31">
        <v>6.5664319693056798</v>
      </c>
      <c r="E31">
        <f t="shared" si="0"/>
        <v>-0.86643196930567967</v>
      </c>
      <c r="F31">
        <f t="shared" si="1"/>
        <v>6.5445203160106358</v>
      </c>
      <c r="G31" s="36">
        <f t="shared" si="2"/>
        <v>0.1481614589492343</v>
      </c>
      <c r="I31" s="2">
        <v>4572</v>
      </c>
      <c r="J31" s="2">
        <v>4.1399999999999997</v>
      </c>
      <c r="K31">
        <v>4.4928161479261002</v>
      </c>
      <c r="L31">
        <f t="shared" si="3"/>
        <v>-0.3528161479261005</v>
      </c>
      <c r="M31">
        <f t="shared" si="7"/>
        <v>4.398996407341067</v>
      </c>
      <c r="N31" s="36">
        <f t="shared" si="8"/>
        <v>6.2559518681417237E-2</v>
      </c>
      <c r="P31">
        <v>1522</v>
      </c>
      <c r="Q31">
        <v>1.79</v>
      </c>
      <c r="R31">
        <v>1.88287199839158</v>
      </c>
      <c r="S31">
        <f t="shared" si="4"/>
        <v>-9.2871998391580002E-2</v>
      </c>
      <c r="T31">
        <f t="shared" si="9"/>
        <v>1.8262288837983975</v>
      </c>
      <c r="U31" s="36">
        <f t="shared" si="10"/>
        <v>2.0239599887372908E-2</v>
      </c>
      <c r="W31" s="2">
        <v>1524</v>
      </c>
      <c r="X31" s="2">
        <v>5.09</v>
      </c>
      <c r="Y31">
        <v>4.9837474078563204</v>
      </c>
      <c r="Z31">
        <f t="shared" si="5"/>
        <v>0.10625259214367944</v>
      </c>
      <c r="AA31">
        <f t="shared" si="11"/>
        <v>5.2023011432085573</v>
      </c>
      <c r="AB31" s="36">
        <f t="shared" si="12"/>
        <v>2.2063092968282405E-2</v>
      </c>
      <c r="AD31" s="2">
        <v>1522</v>
      </c>
      <c r="AE31" s="2">
        <v>3.13</v>
      </c>
      <c r="AF31">
        <v>2.9236433216902098</v>
      </c>
      <c r="AG31">
        <f t="shared" si="6"/>
        <v>0.2063566783097901</v>
      </c>
      <c r="AH31">
        <f t="shared" si="13"/>
        <v>2.8912169838579684</v>
      </c>
      <c r="AI31" s="36">
        <f t="shared" si="14"/>
        <v>7.6288503559754459E-2</v>
      </c>
    </row>
    <row r="32" spans="1:35" s="38" customFormat="1" x14ac:dyDescent="0.25">
      <c r="A32" s="35"/>
      <c r="B32" s="35">
        <v>1521</v>
      </c>
      <c r="C32">
        <v>9.1</v>
      </c>
      <c r="D32">
        <v>9.1050368645282802</v>
      </c>
      <c r="E32">
        <f t="shared" si="0"/>
        <v>-5.0368645282805602E-3</v>
      </c>
      <c r="F32">
        <f t="shared" si="1"/>
        <v>9.0831252112332361</v>
      </c>
      <c r="G32" s="36">
        <f t="shared" si="2"/>
        <v>1.8543723919520348E-3</v>
      </c>
      <c r="I32" s="2">
        <v>4573</v>
      </c>
      <c r="J32" s="39">
        <v>6.0969698560000003</v>
      </c>
      <c r="K32">
        <v>6.20718826220644</v>
      </c>
      <c r="L32">
        <f t="shared" si="3"/>
        <v>-0.11021840620643975</v>
      </c>
      <c r="M32">
        <f t="shared" si="7"/>
        <v>6.1133685216214069</v>
      </c>
      <c r="N32" s="36">
        <f t="shared" si="8"/>
        <v>2.689641905522744E-3</v>
      </c>
      <c r="P32">
        <v>1524</v>
      </c>
      <c r="Q32">
        <v>1.3</v>
      </c>
      <c r="R32">
        <v>1.62342874994197</v>
      </c>
      <c r="S32">
        <f t="shared" si="4"/>
        <v>-0.32342874994196991</v>
      </c>
      <c r="T32">
        <f t="shared" si="9"/>
        <v>1.5667856353487875</v>
      </c>
      <c r="U32" s="36">
        <f t="shared" si="10"/>
        <v>0.20521971949906723</v>
      </c>
      <c r="W32" s="2">
        <v>4572</v>
      </c>
      <c r="X32" s="2">
        <v>5.76</v>
      </c>
      <c r="Y32">
        <v>4.88231189754657</v>
      </c>
      <c r="Z32">
        <f t="shared" si="5"/>
        <v>0.87768810245342976</v>
      </c>
      <c r="AA32">
        <f t="shared" si="11"/>
        <v>5.1008656328988069</v>
      </c>
      <c r="AB32" s="36">
        <f t="shared" si="12"/>
        <v>0.11443304984395711</v>
      </c>
      <c r="AD32" s="2">
        <v>1524</v>
      </c>
      <c r="AE32" s="2">
        <v>2.5</v>
      </c>
      <c r="AF32">
        <v>2.7051075780941498</v>
      </c>
      <c r="AG32">
        <f t="shared" si="6"/>
        <v>-0.20510757809414981</v>
      </c>
      <c r="AH32">
        <f t="shared" si="13"/>
        <v>2.6726812402619085</v>
      </c>
      <c r="AI32" s="36">
        <f t="shared" si="14"/>
        <v>6.9072496104763376E-2</v>
      </c>
    </row>
    <row r="33" spans="1:35" s="38" customFormat="1" x14ac:dyDescent="0.25">
      <c r="A33" s="35"/>
      <c r="B33">
        <v>1522</v>
      </c>
      <c r="C33">
        <v>7.5</v>
      </c>
      <c r="D33">
        <v>7.9000992425546297</v>
      </c>
      <c r="E33">
        <f t="shared" si="0"/>
        <v>-0.4000992425546297</v>
      </c>
      <c r="F33">
        <f t="shared" si="1"/>
        <v>7.8781875892595856</v>
      </c>
      <c r="G33" s="36">
        <f t="shared" si="2"/>
        <v>5.0425011901278086E-2</v>
      </c>
      <c r="I33" s="2">
        <v>4576</v>
      </c>
      <c r="J33" s="2">
        <v>6.33</v>
      </c>
      <c r="K33">
        <v>6.0163098233258197</v>
      </c>
      <c r="L33">
        <f t="shared" si="3"/>
        <v>0.31369017667418042</v>
      </c>
      <c r="M33">
        <f t="shared" si="7"/>
        <v>5.9224900827407865</v>
      </c>
      <c r="N33" s="36">
        <f t="shared" si="8"/>
        <v>6.4377554069386028E-2</v>
      </c>
      <c r="P33">
        <v>4572</v>
      </c>
      <c r="Q33">
        <v>1.25</v>
      </c>
      <c r="R33">
        <v>2.1563285868675499</v>
      </c>
      <c r="S33">
        <f t="shared" si="4"/>
        <v>-0.90632858686754991</v>
      </c>
      <c r="T33">
        <f t="shared" si="9"/>
        <v>2.0996854722743676</v>
      </c>
      <c r="U33" s="36">
        <f t="shared" si="10"/>
        <v>0.67974837781949415</v>
      </c>
      <c r="W33" s="2">
        <v>4573</v>
      </c>
      <c r="X33" s="2">
        <v>5.33</v>
      </c>
      <c r="Y33">
        <v>5.7275208800122703</v>
      </c>
      <c r="Z33">
        <f t="shared" si="5"/>
        <v>-0.39752088001227026</v>
      </c>
      <c r="AA33">
        <f t="shared" si="11"/>
        <v>5.9460746153645072</v>
      </c>
      <c r="AB33" s="36">
        <f t="shared" si="12"/>
        <v>0.1155862317757049</v>
      </c>
      <c r="AD33" s="2">
        <v>4572</v>
      </c>
      <c r="AE33" s="2">
        <v>2.2000000000000002</v>
      </c>
      <c r="AF33">
        <v>2.6285071074219402</v>
      </c>
      <c r="AG33">
        <f t="shared" si="6"/>
        <v>-0.42850710742193998</v>
      </c>
      <c r="AH33">
        <f t="shared" si="13"/>
        <v>2.5960807695896988</v>
      </c>
      <c r="AI33" s="36">
        <f t="shared" si="14"/>
        <v>0.180036713449863</v>
      </c>
    </row>
    <row r="34" spans="1:35" s="38" customFormat="1" x14ac:dyDescent="0.25">
      <c r="A34" s="35"/>
      <c r="B34">
        <v>1524</v>
      </c>
      <c r="C34">
        <v>6.3</v>
      </c>
      <c r="D34">
        <v>7.0651715463610101</v>
      </c>
      <c r="E34">
        <f t="shared" si="0"/>
        <v>-0.76517154636101026</v>
      </c>
      <c r="F34">
        <f t="shared" si="1"/>
        <v>7.043259893065966</v>
      </c>
      <c r="G34" s="36">
        <f t="shared" si="2"/>
        <v>0.11797776080412162</v>
      </c>
      <c r="I34" s="2">
        <v>5318</v>
      </c>
      <c r="J34" s="2">
        <v>4.3600000000000003</v>
      </c>
      <c r="K34">
        <v>3.8407267264619702</v>
      </c>
      <c r="L34">
        <f t="shared" si="3"/>
        <v>0.5192732735380301</v>
      </c>
      <c r="M34">
        <f t="shared" si="7"/>
        <v>3.7469069858769366</v>
      </c>
      <c r="N34" s="36">
        <f t="shared" si="8"/>
        <v>0.14061766378969351</v>
      </c>
      <c r="P34">
        <v>4573</v>
      </c>
      <c r="Q34">
        <v>2.54</v>
      </c>
      <c r="R34">
        <v>2.9656987653449498</v>
      </c>
      <c r="S34">
        <f t="shared" si="4"/>
        <v>-0.42569876534494977</v>
      </c>
      <c r="T34">
        <f t="shared" si="9"/>
        <v>2.9090556507517675</v>
      </c>
      <c r="U34" s="36">
        <f t="shared" si="10"/>
        <v>0.14529750029597147</v>
      </c>
      <c r="W34" s="2">
        <v>4576</v>
      </c>
      <c r="X34" s="2">
        <v>5.04</v>
      </c>
      <c r="Y34">
        <v>4.5143864420462396</v>
      </c>
      <c r="Z34">
        <f t="shared" si="5"/>
        <v>0.52561355795376041</v>
      </c>
      <c r="AA34">
        <f t="shared" si="11"/>
        <v>4.7329401773984765</v>
      </c>
      <c r="AB34" s="36">
        <f t="shared" si="12"/>
        <v>6.0924567976492768E-2</v>
      </c>
      <c r="AD34" s="2">
        <v>4573</v>
      </c>
      <c r="AE34" s="2">
        <v>3.99</v>
      </c>
      <c r="AF34">
        <v>3.6018085600404799</v>
      </c>
      <c r="AG34">
        <f t="shared" si="6"/>
        <v>0.38819143995952032</v>
      </c>
      <c r="AH34">
        <f t="shared" si="13"/>
        <v>3.5693822222082385</v>
      </c>
      <c r="AI34" s="36">
        <f t="shared" si="14"/>
        <v>0.10541798942149415</v>
      </c>
    </row>
    <row r="35" spans="1:35" s="38" customFormat="1" x14ac:dyDescent="0.25">
      <c r="A35" s="35"/>
      <c r="B35">
        <v>4572</v>
      </c>
      <c r="C35">
        <v>5.2</v>
      </c>
      <c r="D35">
        <v>5.3299966072871596</v>
      </c>
      <c r="E35">
        <f t="shared" si="0"/>
        <v>-0.12999660728715945</v>
      </c>
      <c r="F35">
        <f t="shared" si="1"/>
        <v>5.3080849539921156</v>
      </c>
      <c r="G35" s="36">
        <f t="shared" si="2"/>
        <v>2.0785568075406803E-2</v>
      </c>
      <c r="I35" s="2">
        <v>5859</v>
      </c>
      <c r="J35" s="2">
        <v>6.1</v>
      </c>
      <c r="K35">
        <v>6.36058827553512</v>
      </c>
      <c r="L35">
        <f t="shared" si="3"/>
        <v>-0.26058827553512032</v>
      </c>
      <c r="M35">
        <f t="shared" si="7"/>
        <v>6.2667685349500868</v>
      </c>
      <c r="N35" s="36">
        <f t="shared" si="8"/>
        <v>2.7339104090178222E-2</v>
      </c>
      <c r="P35">
        <v>4576</v>
      </c>
      <c r="Q35">
        <v>2.44</v>
      </c>
      <c r="R35">
        <v>2.1357259858613502</v>
      </c>
      <c r="S35">
        <f t="shared" si="4"/>
        <v>0.30427401413864974</v>
      </c>
      <c r="T35">
        <f t="shared" si="9"/>
        <v>2.0790828712681679</v>
      </c>
      <c r="U35" s="36">
        <f t="shared" si="10"/>
        <v>0.14791685603763607</v>
      </c>
      <c r="W35" s="2">
        <v>5319</v>
      </c>
      <c r="X35" s="2">
        <v>6.72</v>
      </c>
      <c r="Y35">
        <v>6.2646913108229603</v>
      </c>
      <c r="Z35">
        <f t="shared" si="5"/>
        <v>0.45530868917703948</v>
      </c>
      <c r="AA35">
        <f t="shared" si="11"/>
        <v>6.4832450461751971</v>
      </c>
      <c r="AB35" s="36">
        <f t="shared" si="12"/>
        <v>3.5231391938214673E-2</v>
      </c>
      <c r="AD35" s="2">
        <v>4576</v>
      </c>
      <c r="AE35" s="2">
        <v>4.4000000000000004</v>
      </c>
      <c r="AF35">
        <v>3.2719850340849401</v>
      </c>
      <c r="AG35">
        <f t="shared" si="6"/>
        <v>1.1280149659150602</v>
      </c>
      <c r="AH35">
        <f t="shared" si="13"/>
        <v>3.2395586962526988</v>
      </c>
      <c r="AI35" s="36">
        <f t="shared" si="14"/>
        <v>0.26373665994256851</v>
      </c>
    </row>
    <row r="36" spans="1:35" s="38" customFormat="1" x14ac:dyDescent="0.25">
      <c r="A36" s="35"/>
      <c r="B36">
        <v>4573</v>
      </c>
      <c r="C36">
        <v>7.3</v>
      </c>
      <c r="D36">
        <v>8.0436994468010994</v>
      </c>
      <c r="E36">
        <f t="shared" si="0"/>
        <v>-0.74369944680109956</v>
      </c>
      <c r="F36">
        <f t="shared" si="1"/>
        <v>8.0217877935060553</v>
      </c>
      <c r="G36" s="36">
        <f t="shared" si="2"/>
        <v>9.8875040206308967E-2</v>
      </c>
      <c r="I36" s="2">
        <v>5861</v>
      </c>
      <c r="J36" s="2">
        <v>4.8</v>
      </c>
      <c r="K36">
        <v>4.4988658796345504</v>
      </c>
      <c r="L36">
        <f t="shared" si="3"/>
        <v>0.3011341203654494</v>
      </c>
      <c r="M36">
        <f t="shared" si="7"/>
        <v>4.4050461390495173</v>
      </c>
      <c r="N36" s="36">
        <f t="shared" si="8"/>
        <v>8.2282054364683874E-2</v>
      </c>
      <c r="P36">
        <v>5318</v>
      </c>
      <c r="Q36">
        <v>1.32</v>
      </c>
      <c r="R36">
        <v>1.09618213924167</v>
      </c>
      <c r="S36">
        <f t="shared" si="4"/>
        <v>0.2238178607583301</v>
      </c>
      <c r="T36">
        <f t="shared" si="9"/>
        <v>1.0395390246484875</v>
      </c>
      <c r="U36" s="36">
        <f t="shared" si="10"/>
        <v>0.21247043587235803</v>
      </c>
      <c r="W36" s="2">
        <v>5470</v>
      </c>
      <c r="X36" s="2">
        <v>5.21</v>
      </c>
      <c r="Y36">
        <v>5.4972131600218601</v>
      </c>
      <c r="Z36">
        <f t="shared" si="5"/>
        <v>-0.28721316002186015</v>
      </c>
      <c r="AA36">
        <f t="shared" si="11"/>
        <v>5.715766895374097</v>
      </c>
      <c r="AB36" s="36">
        <f t="shared" si="12"/>
        <v>9.7076179534375626E-2</v>
      </c>
      <c r="AD36" s="2">
        <v>5318</v>
      </c>
      <c r="AE36" s="2">
        <v>2.11</v>
      </c>
      <c r="AF36">
        <v>2.09819363968675</v>
      </c>
      <c r="AG36">
        <f t="shared" si="6"/>
        <v>1.1806360313249886E-2</v>
      </c>
      <c r="AH36">
        <f t="shared" si="13"/>
        <v>2.0657673018545086</v>
      </c>
      <c r="AI36" s="36">
        <f t="shared" si="14"/>
        <v>2.0963364049995853E-2</v>
      </c>
    </row>
    <row r="37" spans="1:35" s="38" customFormat="1" x14ac:dyDescent="0.25">
      <c r="A37"/>
      <c r="B37">
        <v>4576</v>
      </c>
      <c r="C37">
        <v>7.5</v>
      </c>
      <c r="D37">
        <v>6.97251353323262</v>
      </c>
      <c r="E37">
        <f t="shared" si="0"/>
        <v>0.52748646676737998</v>
      </c>
      <c r="F37">
        <f t="shared" si="1"/>
        <v>6.9506018799375759</v>
      </c>
      <c r="G37" s="36">
        <f t="shared" si="2"/>
        <v>7.3253082674989881E-2</v>
      </c>
      <c r="I37" s="40">
        <v>5862</v>
      </c>
      <c r="J37" s="40">
        <v>5.12</v>
      </c>
      <c r="K37">
        <v>4.3582412024136996</v>
      </c>
      <c r="L37">
        <f t="shared" si="3"/>
        <v>0.7617587975863005</v>
      </c>
      <c r="M37">
        <f t="shared" si="7"/>
        <v>4.2644214618286664</v>
      </c>
      <c r="N37" s="36">
        <f t="shared" si="8"/>
        <v>0.1671051832365886</v>
      </c>
      <c r="P37">
        <v>5319</v>
      </c>
      <c r="Q37">
        <v>1.9</v>
      </c>
      <c r="R37">
        <v>2.5743857725975201</v>
      </c>
      <c r="S37">
        <f t="shared" si="4"/>
        <v>-0.67438577259752019</v>
      </c>
      <c r="T37">
        <f t="shared" si="9"/>
        <v>2.5177426580043378</v>
      </c>
      <c r="U37" s="36">
        <f t="shared" si="10"/>
        <v>0.32512771473912522</v>
      </c>
      <c r="W37" s="2">
        <v>5859</v>
      </c>
      <c r="X37" s="2">
        <v>5.46</v>
      </c>
      <c r="Y37">
        <v>5.5647529388933599</v>
      </c>
      <c r="Z37">
        <f t="shared" si="5"/>
        <v>-0.1047529388933599</v>
      </c>
      <c r="AA37">
        <f t="shared" si="11"/>
        <v>5.7833066742455967</v>
      </c>
      <c r="AB37" s="36">
        <f t="shared" si="12"/>
        <v>5.921367660175765E-2</v>
      </c>
      <c r="AD37" s="40">
        <v>5859</v>
      </c>
      <c r="AE37" s="40">
        <v>4.55</v>
      </c>
      <c r="AF37">
        <v>4.4501630806124899</v>
      </c>
      <c r="AG37">
        <f t="shared" si="6"/>
        <v>9.9836919387509937E-2</v>
      </c>
      <c r="AH37">
        <f t="shared" si="13"/>
        <v>4.4177367427802485</v>
      </c>
      <c r="AI37" s="36">
        <f t="shared" si="14"/>
        <v>2.906884774060468E-2</v>
      </c>
    </row>
    <row r="38" spans="1:35" x14ac:dyDescent="0.25">
      <c r="B38">
        <v>5318</v>
      </c>
      <c r="C38">
        <v>5</v>
      </c>
      <c r="D38">
        <v>4.4995170908626099</v>
      </c>
      <c r="E38">
        <f t="shared" si="0"/>
        <v>0.50048290913739013</v>
      </c>
      <c r="F38">
        <f t="shared" si="1"/>
        <v>4.4776054375675658</v>
      </c>
      <c r="G38" s="36">
        <f t="shared" si="2"/>
        <v>0.10447891248648684</v>
      </c>
      <c r="I38" s="2">
        <v>5866</v>
      </c>
      <c r="J38" s="2">
        <v>3.19</v>
      </c>
      <c r="K38">
        <v>3.19083838258046</v>
      </c>
      <c r="L38">
        <f t="shared" si="3"/>
        <v>-8.3838258046009528E-4</v>
      </c>
      <c r="M38">
        <f t="shared" si="7"/>
        <v>3.0970186419954264</v>
      </c>
      <c r="N38" s="36">
        <f t="shared" si="8"/>
        <v>2.9147761129960353E-2</v>
      </c>
      <c r="P38">
        <v>5470</v>
      </c>
      <c r="Q38">
        <v>1.63</v>
      </c>
      <c r="R38">
        <v>1.75113007080943</v>
      </c>
      <c r="S38">
        <f t="shared" si="4"/>
        <v>-0.12113007080943006</v>
      </c>
      <c r="T38">
        <f t="shared" si="9"/>
        <v>1.6944869562162475</v>
      </c>
      <c r="U38" s="36">
        <f t="shared" si="10"/>
        <v>3.9562549825918752E-2</v>
      </c>
      <c r="W38" s="2">
        <v>5866</v>
      </c>
      <c r="X38" s="2">
        <v>4.62</v>
      </c>
      <c r="Y38">
        <v>4.4755133640083997</v>
      </c>
      <c r="Z38">
        <f t="shared" si="5"/>
        <v>0.14448663599160039</v>
      </c>
      <c r="AA38">
        <f t="shared" si="11"/>
        <v>4.6940670993606366</v>
      </c>
      <c r="AB38" s="36">
        <f t="shared" si="12"/>
        <v>1.6031839688449456E-2</v>
      </c>
      <c r="AD38" s="2">
        <v>5861</v>
      </c>
      <c r="AE38" s="2">
        <v>3.26</v>
      </c>
      <c r="AF38">
        <v>2.7289409603969501</v>
      </c>
      <c r="AG38">
        <f t="shared" si="6"/>
        <v>0.53105903960304968</v>
      </c>
      <c r="AH38">
        <f t="shared" si="13"/>
        <v>2.6965146225647088</v>
      </c>
      <c r="AI38" s="36">
        <f t="shared" si="14"/>
        <v>0.17284827528689911</v>
      </c>
    </row>
    <row r="39" spans="1:35" x14ac:dyDescent="0.25">
      <c r="B39">
        <v>5319</v>
      </c>
      <c r="C39">
        <v>8.5</v>
      </c>
      <c r="D39">
        <v>8.3809396407107197</v>
      </c>
      <c r="E39">
        <f t="shared" si="0"/>
        <v>0.11906035928928027</v>
      </c>
      <c r="F39">
        <f t="shared" si="1"/>
        <v>8.3590279874156757</v>
      </c>
      <c r="G39" s="36">
        <f t="shared" si="2"/>
        <v>1.6584942656979334E-2</v>
      </c>
      <c r="I39" s="40">
        <v>5868</v>
      </c>
      <c r="J39" s="40">
        <v>4.57</v>
      </c>
      <c r="K39">
        <v>5.5544602721805196</v>
      </c>
      <c r="L39">
        <f t="shared" si="3"/>
        <v>-0.98446027218051935</v>
      </c>
      <c r="M39">
        <f t="shared" si="7"/>
        <v>5.4606405315954865</v>
      </c>
      <c r="N39" s="36">
        <f t="shared" si="8"/>
        <v>0.19488851894868406</v>
      </c>
      <c r="P39">
        <v>5859</v>
      </c>
      <c r="Q39">
        <v>1.79</v>
      </c>
      <c r="R39">
        <v>2.80380608264274</v>
      </c>
      <c r="S39">
        <f t="shared" si="4"/>
        <v>-1.01380608264274</v>
      </c>
      <c r="T39">
        <f t="shared" si="9"/>
        <v>2.7471629680495577</v>
      </c>
      <c r="U39" s="36">
        <f t="shared" si="10"/>
        <v>0.53472791511148476</v>
      </c>
      <c r="W39" s="2">
        <v>5868</v>
      </c>
      <c r="X39" s="2">
        <v>6.45</v>
      </c>
      <c r="Y39">
        <v>4.7272128758895802</v>
      </c>
      <c r="Z39">
        <f t="shared" si="5"/>
        <v>1.72278712411042</v>
      </c>
      <c r="AA39">
        <f t="shared" si="11"/>
        <v>4.945766611241817</v>
      </c>
      <c r="AB39" s="36">
        <f t="shared" si="12"/>
        <v>0.2332144788772377</v>
      </c>
      <c r="AD39" s="40">
        <v>5862</v>
      </c>
      <c r="AE39" s="40">
        <v>3.92</v>
      </c>
      <c r="AF39">
        <v>2.84949404393282</v>
      </c>
      <c r="AG39">
        <f t="shared" si="6"/>
        <v>1.0705059560671799</v>
      </c>
      <c r="AH39">
        <f t="shared" si="13"/>
        <v>2.8170677061005787</v>
      </c>
      <c r="AI39" s="36">
        <f t="shared" si="14"/>
        <v>0.28136027905597483</v>
      </c>
    </row>
    <row r="40" spans="1:35" x14ac:dyDescent="0.25">
      <c r="B40">
        <v>5470</v>
      </c>
      <c r="C40">
        <v>5.8</v>
      </c>
      <c r="D40">
        <v>5.7659367397552597</v>
      </c>
      <c r="E40">
        <f t="shared" si="0"/>
        <v>3.4063260244740157E-2</v>
      </c>
      <c r="F40">
        <f t="shared" si="1"/>
        <v>5.7440250864602156</v>
      </c>
      <c r="G40" s="36">
        <f t="shared" si="2"/>
        <v>9.6508471620317653E-3</v>
      </c>
      <c r="I40" s="41">
        <v>5876</v>
      </c>
      <c r="J40" s="41">
        <v>5.71</v>
      </c>
      <c r="K40">
        <v>5.9167895939225703</v>
      </c>
      <c r="L40">
        <f t="shared" si="3"/>
        <v>-0.20678959392257035</v>
      </c>
      <c r="M40">
        <f t="shared" si="7"/>
        <v>5.8229698533375371</v>
      </c>
      <c r="N40" s="36">
        <f t="shared" si="8"/>
        <v>1.9784562756136107E-2</v>
      </c>
      <c r="P40">
        <v>5861</v>
      </c>
      <c r="Q40">
        <v>1.64</v>
      </c>
      <c r="R40">
        <v>1.8092325491443899</v>
      </c>
      <c r="S40">
        <f t="shared" si="4"/>
        <v>-0.16923254914439001</v>
      </c>
      <c r="T40">
        <f t="shared" si="9"/>
        <v>1.7525894345512074</v>
      </c>
      <c r="U40" s="36">
        <f t="shared" si="10"/>
        <v>6.865209423854117E-2</v>
      </c>
      <c r="W40" s="40">
        <v>5876</v>
      </c>
      <c r="X40" s="40">
        <v>6.74</v>
      </c>
      <c r="Y40">
        <v>7.7045256543722704</v>
      </c>
      <c r="Z40">
        <f t="shared" si="5"/>
        <v>-0.96452565437227022</v>
      </c>
      <c r="AA40">
        <f t="shared" si="11"/>
        <v>7.9230793897245073</v>
      </c>
      <c r="AB40" s="36">
        <f t="shared" si="12"/>
        <v>0.17553106672470431</v>
      </c>
      <c r="AD40" s="41">
        <v>5866</v>
      </c>
      <c r="AE40" s="41">
        <v>2.1800000000000002</v>
      </c>
      <c r="AF40">
        <v>2.0426857432988301</v>
      </c>
      <c r="AG40">
        <f t="shared" si="6"/>
        <v>0.13731425670117003</v>
      </c>
      <c r="AH40">
        <f t="shared" si="13"/>
        <v>2.0102594054665888</v>
      </c>
      <c r="AI40" s="36">
        <f t="shared" si="14"/>
        <v>7.7862658042849253E-2</v>
      </c>
    </row>
    <row r="41" spans="1:35" x14ac:dyDescent="0.25">
      <c r="B41">
        <v>5859</v>
      </c>
      <c r="C41">
        <v>5.5</v>
      </c>
      <c r="D41">
        <v>7.07507272342544</v>
      </c>
      <c r="E41">
        <f t="shared" si="0"/>
        <v>-1.57507272342544</v>
      </c>
      <c r="F41">
        <f t="shared" si="1"/>
        <v>7.0531610701303959</v>
      </c>
      <c r="G41" s="36">
        <f t="shared" si="2"/>
        <v>0.28239292184189019</v>
      </c>
      <c r="I41" s="41">
        <v>5877</v>
      </c>
      <c r="J41" s="41">
        <v>6.94</v>
      </c>
      <c r="K41">
        <v>7.2230635602876703</v>
      </c>
      <c r="L41">
        <f t="shared" si="3"/>
        <v>-0.28306356028766988</v>
      </c>
      <c r="M41">
        <f t="shared" si="7"/>
        <v>7.1292438197026371</v>
      </c>
      <c r="N41" s="36">
        <f t="shared" si="8"/>
        <v>2.726856191680644E-2</v>
      </c>
      <c r="P41">
        <v>5862</v>
      </c>
      <c r="Q41">
        <v>1.92</v>
      </c>
      <c r="R41">
        <v>2.2969907964167802</v>
      </c>
      <c r="S41">
        <f t="shared" si="4"/>
        <v>-0.37699079641678024</v>
      </c>
      <c r="T41">
        <f t="shared" si="9"/>
        <v>2.2403476818235979</v>
      </c>
      <c r="U41" s="36">
        <f t="shared" si="10"/>
        <v>0.16684775094979062</v>
      </c>
      <c r="W41" s="2">
        <v>5877</v>
      </c>
      <c r="X41" s="2">
        <v>8.31</v>
      </c>
      <c r="Y41">
        <v>8.7194905305068193</v>
      </c>
      <c r="Z41">
        <f t="shared" si="5"/>
        <v>-0.40949053050681883</v>
      </c>
      <c r="AA41">
        <f t="shared" si="11"/>
        <v>8.9380442658590571</v>
      </c>
      <c r="AB41" s="36">
        <f t="shared" si="12"/>
        <v>7.5576927299525462E-2</v>
      </c>
      <c r="AD41" s="41">
        <v>5868</v>
      </c>
      <c r="AE41" s="41">
        <v>3.1</v>
      </c>
      <c r="AF41">
        <v>3.2500070698246502</v>
      </c>
      <c r="AG41">
        <f t="shared" si="6"/>
        <v>-0.15000706982465006</v>
      </c>
      <c r="AH41">
        <f t="shared" si="13"/>
        <v>3.2175807319924088</v>
      </c>
      <c r="AI41" s="36">
        <f t="shared" si="14"/>
        <v>3.7929268384647968E-2</v>
      </c>
    </row>
    <row r="42" spans="1:35" x14ac:dyDescent="0.25">
      <c r="B42">
        <v>5861</v>
      </c>
      <c r="C42">
        <v>6.6</v>
      </c>
      <c r="D42">
        <v>5.9702592752105303</v>
      </c>
      <c r="E42">
        <f t="shared" si="0"/>
        <v>0.6297407247894693</v>
      </c>
      <c r="F42">
        <f t="shared" si="1"/>
        <v>5.9483476219154863</v>
      </c>
      <c r="G42" s="36">
        <f t="shared" si="2"/>
        <v>9.8735208800683844E-2</v>
      </c>
      <c r="I42" s="41">
        <v>8562</v>
      </c>
      <c r="J42" s="41">
        <v>2.6</v>
      </c>
      <c r="K42">
        <v>3.6015004784804598</v>
      </c>
      <c r="L42">
        <f t="shared" si="3"/>
        <v>-1.0015004784804598</v>
      </c>
      <c r="M42">
        <f t="shared" si="7"/>
        <v>3.5076807378954262</v>
      </c>
      <c r="N42" s="36">
        <f t="shared" si="8"/>
        <v>0.34910797611362543</v>
      </c>
      <c r="P42">
        <v>5866</v>
      </c>
      <c r="Q42">
        <v>1.29</v>
      </c>
      <c r="R42">
        <v>1.1278202991483</v>
      </c>
      <c r="S42">
        <f t="shared" si="4"/>
        <v>0.16217970085170008</v>
      </c>
      <c r="T42">
        <f t="shared" si="9"/>
        <v>1.0711771845551175</v>
      </c>
      <c r="U42" s="36">
        <f t="shared" si="10"/>
        <v>0.16963008949215702</v>
      </c>
      <c r="W42" s="40">
        <v>8562</v>
      </c>
      <c r="X42" s="40">
        <v>3.3</v>
      </c>
      <c r="Y42">
        <v>4.41508217897373</v>
      </c>
      <c r="Z42">
        <f t="shared" si="5"/>
        <v>-1.1150821789737302</v>
      </c>
      <c r="AA42">
        <f t="shared" si="11"/>
        <v>4.6336359143259669</v>
      </c>
      <c r="AB42" s="36">
        <f t="shared" si="12"/>
        <v>0.40413209525029309</v>
      </c>
      <c r="AD42" s="41">
        <v>5876</v>
      </c>
      <c r="AE42" s="41">
        <v>3.68</v>
      </c>
      <c r="AF42">
        <v>4.5300330381733502</v>
      </c>
      <c r="AG42">
        <f t="shared" si="6"/>
        <v>-0.85003303817335008</v>
      </c>
      <c r="AH42">
        <f t="shared" si="13"/>
        <v>4.4976067003411089</v>
      </c>
      <c r="AI42" s="36">
        <f t="shared" si="14"/>
        <v>0.22217573378834474</v>
      </c>
    </row>
    <row r="43" spans="1:35" x14ac:dyDescent="0.25">
      <c r="B43">
        <v>5862</v>
      </c>
      <c r="C43">
        <v>7.2</v>
      </c>
      <c r="D43">
        <v>5.9125738419268501</v>
      </c>
      <c r="E43">
        <f t="shared" si="0"/>
        <v>1.2874261580731501</v>
      </c>
      <c r="F43">
        <f t="shared" si="1"/>
        <v>5.890662188631806</v>
      </c>
      <c r="G43" s="36">
        <f t="shared" si="2"/>
        <v>0.18185247380113809</v>
      </c>
      <c r="I43" s="2">
        <v>8757</v>
      </c>
      <c r="J43" s="41">
        <v>5.32</v>
      </c>
      <c r="K43">
        <v>4.5878350902820504</v>
      </c>
      <c r="L43">
        <f t="shared" si="3"/>
        <v>0.7321649097179499</v>
      </c>
      <c r="M43">
        <f t="shared" si="7"/>
        <v>4.4940153496970172</v>
      </c>
      <c r="N43" s="36">
        <f t="shared" si="8"/>
        <v>0.15526027261334269</v>
      </c>
      <c r="P43">
        <v>5868</v>
      </c>
      <c r="Q43">
        <v>1.73</v>
      </c>
      <c r="R43">
        <v>2.1812591800668399</v>
      </c>
      <c r="S43">
        <f t="shared" si="4"/>
        <v>-0.45125918006683996</v>
      </c>
      <c r="T43">
        <f t="shared" si="9"/>
        <v>2.1246160654736577</v>
      </c>
      <c r="U43" s="36">
        <f t="shared" si="10"/>
        <v>0.22810177195009115</v>
      </c>
      <c r="W43" s="41">
        <v>8757</v>
      </c>
      <c r="X43" s="41">
        <v>6.88</v>
      </c>
      <c r="Y43">
        <v>5.1982688293314103</v>
      </c>
      <c r="Z43">
        <f t="shared" si="5"/>
        <v>1.6817311706685896</v>
      </c>
      <c r="AA43">
        <f t="shared" si="11"/>
        <v>5.4168225646836472</v>
      </c>
      <c r="AB43" s="36">
        <f t="shared" si="12"/>
        <v>0.21267113885412103</v>
      </c>
      <c r="AD43" s="2">
        <v>5877</v>
      </c>
      <c r="AE43" s="41">
        <v>5.76</v>
      </c>
      <c r="AF43">
        <v>5.4836762847656004</v>
      </c>
      <c r="AG43">
        <f t="shared" si="6"/>
        <v>0.27632371523439936</v>
      </c>
      <c r="AH43">
        <f t="shared" si="13"/>
        <v>5.4512499469333591</v>
      </c>
      <c r="AI43" s="36">
        <f t="shared" si="14"/>
        <v>5.3602439768514018E-2</v>
      </c>
    </row>
    <row r="44" spans="1:35" x14ac:dyDescent="0.25">
      <c r="B44">
        <v>5866</v>
      </c>
      <c r="C44">
        <v>3.9</v>
      </c>
      <c r="D44">
        <v>3.3364305023558898</v>
      </c>
      <c r="E44">
        <f t="shared" si="0"/>
        <v>0.56356949764411013</v>
      </c>
      <c r="F44">
        <f t="shared" si="1"/>
        <v>3.3145188490608457</v>
      </c>
      <c r="G44" s="36">
        <f t="shared" si="2"/>
        <v>0.15012337203568057</v>
      </c>
      <c r="I44" s="2">
        <v>3787</v>
      </c>
      <c r="J44" s="41">
        <v>4.2300000000000004</v>
      </c>
      <c r="K44">
        <v>4.3639355305054703</v>
      </c>
      <c r="L44">
        <f t="shared" si="3"/>
        <v>-0.13393553050546991</v>
      </c>
      <c r="M44">
        <f t="shared" si="7"/>
        <v>4.2701157899204372</v>
      </c>
      <c r="N44" s="36">
        <f t="shared" si="8"/>
        <v>9.4836382790630582E-3</v>
      </c>
      <c r="P44">
        <v>5876</v>
      </c>
      <c r="Q44">
        <v>3.93</v>
      </c>
      <c r="R44">
        <v>2.0756342008602702</v>
      </c>
      <c r="S44">
        <f t="shared" si="4"/>
        <v>1.85436579913973</v>
      </c>
      <c r="T44">
        <f t="shared" si="9"/>
        <v>2.0189910862670879</v>
      </c>
      <c r="U44" s="36">
        <f t="shared" si="10"/>
        <v>0.48626181011015579</v>
      </c>
      <c r="W44" s="41">
        <v>3787</v>
      </c>
      <c r="X44" s="41">
        <v>7.45</v>
      </c>
      <c r="Y44">
        <v>6.3694515867002997</v>
      </c>
      <c r="Z44">
        <f t="shared" si="5"/>
        <v>1.0805484132997005</v>
      </c>
      <c r="AA44">
        <f t="shared" si="11"/>
        <v>6.5880053220525365</v>
      </c>
      <c r="AB44" s="36">
        <f t="shared" si="12"/>
        <v>0.11570398361710921</v>
      </c>
      <c r="AD44" s="2">
        <v>8562</v>
      </c>
      <c r="AE44" s="41">
        <v>1.83</v>
      </c>
      <c r="AF44">
        <v>2.4529957411525101</v>
      </c>
      <c r="AG44">
        <f t="shared" si="6"/>
        <v>-0.62299574115251</v>
      </c>
      <c r="AH44">
        <f t="shared" si="13"/>
        <v>2.4205694033202687</v>
      </c>
      <c r="AI44" s="36">
        <f t="shared" si="14"/>
        <v>0.32271552094003747</v>
      </c>
    </row>
    <row r="45" spans="1:35" x14ac:dyDescent="0.25">
      <c r="B45">
        <v>5868</v>
      </c>
      <c r="C45">
        <v>7.3</v>
      </c>
      <c r="D45">
        <v>6.2146450559892701</v>
      </c>
      <c r="E45">
        <f t="shared" si="0"/>
        <v>1.0853549440107297</v>
      </c>
      <c r="F45">
        <f t="shared" si="1"/>
        <v>6.192733402694226</v>
      </c>
      <c r="G45" s="36">
        <f t="shared" si="2"/>
        <v>0.15168035579531147</v>
      </c>
      <c r="I45" s="2">
        <v>3788</v>
      </c>
      <c r="J45" s="41">
        <v>4.2300000000000004</v>
      </c>
      <c r="K45">
        <v>4.4305751015280901</v>
      </c>
      <c r="L45">
        <f t="shared" si="3"/>
        <v>-0.20057510152808966</v>
      </c>
      <c r="M45">
        <f t="shared" si="7"/>
        <v>4.3367553609430569</v>
      </c>
      <c r="N45" s="36">
        <f t="shared" si="8"/>
        <v>2.5237673981810042E-2</v>
      </c>
      <c r="P45">
        <v>5877</v>
      </c>
      <c r="Q45">
        <v>6.5</v>
      </c>
      <c r="R45">
        <v>5.09255747320928</v>
      </c>
      <c r="S45">
        <f t="shared" si="4"/>
        <v>1.40744252679072</v>
      </c>
      <c r="T45">
        <f t="shared" si="9"/>
        <v>5.0359143586160977</v>
      </c>
      <c r="U45" s="36">
        <f t="shared" si="10"/>
        <v>0.22524394482829266</v>
      </c>
      <c r="W45" s="41">
        <v>3788</v>
      </c>
      <c r="X45" s="41">
        <v>7.45</v>
      </c>
      <c r="Y45">
        <v>6.5467463376060397</v>
      </c>
      <c r="Z45">
        <f t="shared" si="5"/>
        <v>0.90325366239396043</v>
      </c>
      <c r="AA45">
        <f t="shared" si="11"/>
        <v>6.7653000729582766</v>
      </c>
      <c r="AB45" s="36">
        <f t="shared" si="12"/>
        <v>9.1906030475399136E-2</v>
      </c>
      <c r="AD45" s="2">
        <v>8757</v>
      </c>
      <c r="AE45" s="41">
        <v>4.2</v>
      </c>
      <c r="AF45">
        <v>3.5326395177042098</v>
      </c>
      <c r="AG45">
        <f t="shared" si="6"/>
        <v>0.66736048229579037</v>
      </c>
      <c r="AH45">
        <f t="shared" si="13"/>
        <v>3.5002131798719684</v>
      </c>
      <c r="AI45" s="36">
        <f t="shared" si="14"/>
        <v>0.16661590955429326</v>
      </c>
    </row>
    <row r="46" spans="1:35" x14ac:dyDescent="0.25">
      <c r="B46">
        <v>5876</v>
      </c>
      <c r="C46">
        <v>8.3000000000000007</v>
      </c>
      <c r="D46">
        <v>7.6705880675381097</v>
      </c>
      <c r="E46">
        <f t="shared" si="0"/>
        <v>0.62941193246189098</v>
      </c>
      <c r="F46">
        <f t="shared" si="1"/>
        <v>7.6486764142430657</v>
      </c>
      <c r="G46" s="36">
        <f t="shared" si="2"/>
        <v>7.8472721175534332E-2</v>
      </c>
      <c r="I46" s="2">
        <v>3791</v>
      </c>
      <c r="J46" s="41">
        <v>4.2300000000000004</v>
      </c>
      <c r="K46">
        <v>4.3691433534059403</v>
      </c>
      <c r="L46">
        <f t="shared" si="3"/>
        <v>-0.13914335340593986</v>
      </c>
      <c r="M46">
        <f t="shared" si="7"/>
        <v>4.2753236128209071</v>
      </c>
      <c r="N46" s="36">
        <f t="shared" si="8"/>
        <v>1.0714802085320729E-2</v>
      </c>
      <c r="P46">
        <v>8562</v>
      </c>
      <c r="Q46">
        <v>1.35</v>
      </c>
      <c r="R46">
        <v>1.08767274288681</v>
      </c>
      <c r="S46">
        <f t="shared" si="4"/>
        <v>0.26232725711319005</v>
      </c>
      <c r="T46">
        <f t="shared" si="9"/>
        <v>1.0310296282936275</v>
      </c>
      <c r="U46" s="36">
        <f t="shared" si="10"/>
        <v>0.2362743494121278</v>
      </c>
      <c r="W46" s="2">
        <v>3791</v>
      </c>
      <c r="X46" s="41">
        <v>7.45</v>
      </c>
      <c r="Y46">
        <v>6.84245108983409</v>
      </c>
      <c r="Z46">
        <f t="shared" si="5"/>
        <v>0.60754891016591017</v>
      </c>
      <c r="AA46">
        <f t="shared" si="11"/>
        <v>7.0610048251863269</v>
      </c>
      <c r="AB46" s="36">
        <f t="shared" si="12"/>
        <v>5.2214117424654136E-2</v>
      </c>
      <c r="AD46" s="2">
        <v>3787</v>
      </c>
      <c r="AE46" s="41">
        <v>2.85</v>
      </c>
      <c r="AF46">
        <v>3.08039295627071</v>
      </c>
      <c r="AG46">
        <f t="shared" si="6"/>
        <v>-0.23039295627070988</v>
      </c>
      <c r="AH46">
        <f t="shared" si="13"/>
        <v>3.0479666184384686</v>
      </c>
      <c r="AI46" s="36">
        <f t="shared" si="14"/>
        <v>6.9461971381918772E-2</v>
      </c>
    </row>
    <row r="47" spans="1:35" x14ac:dyDescent="0.25">
      <c r="B47">
        <v>5877</v>
      </c>
      <c r="C47">
        <v>9.4</v>
      </c>
      <c r="D47">
        <v>9.10396537841814</v>
      </c>
      <c r="E47">
        <f t="shared" si="0"/>
        <v>0.29603462158186034</v>
      </c>
      <c r="F47">
        <f t="shared" si="1"/>
        <v>9.0820537251230959</v>
      </c>
      <c r="G47" s="36">
        <f t="shared" si="2"/>
        <v>3.3824071795415363E-2</v>
      </c>
      <c r="I47" s="2">
        <v>3792</v>
      </c>
      <c r="J47" s="41">
        <v>4.2300000000000004</v>
      </c>
      <c r="K47">
        <v>4.4839921708307102</v>
      </c>
      <c r="L47">
        <f t="shared" si="3"/>
        <v>-0.2539921708307098</v>
      </c>
      <c r="M47">
        <f t="shared" si="7"/>
        <v>4.390172430245677</v>
      </c>
      <c r="N47" s="36">
        <f t="shared" si="8"/>
        <v>3.7865822753115036E-2</v>
      </c>
      <c r="P47">
        <v>8757</v>
      </c>
      <c r="Q47">
        <v>1.74</v>
      </c>
      <c r="R47">
        <v>1.60789534280532</v>
      </c>
      <c r="S47">
        <f t="shared" si="4"/>
        <v>0.13210465719468001</v>
      </c>
      <c r="T47">
        <f t="shared" si="9"/>
        <v>1.5512522282121375</v>
      </c>
      <c r="U47" s="36">
        <f t="shared" si="10"/>
        <v>0.10847573091256466</v>
      </c>
      <c r="W47" s="2">
        <v>3792</v>
      </c>
      <c r="X47" s="41">
        <v>7.45</v>
      </c>
      <c r="Y47">
        <v>6.4044195970737299</v>
      </c>
      <c r="Z47">
        <f t="shared" si="5"/>
        <v>1.0455804029262703</v>
      </c>
      <c r="AA47">
        <f t="shared" si="11"/>
        <v>6.6229733324259668</v>
      </c>
      <c r="AB47" s="36">
        <f t="shared" si="12"/>
        <v>0.11101029094953468</v>
      </c>
      <c r="AD47" s="2">
        <v>3788</v>
      </c>
      <c r="AE47" s="41">
        <v>2.85</v>
      </c>
      <c r="AF47">
        <v>3.1671481930746501</v>
      </c>
      <c r="AG47">
        <f t="shared" si="6"/>
        <v>-0.31714819307465003</v>
      </c>
      <c r="AH47">
        <f t="shared" si="13"/>
        <v>3.1347218552424088</v>
      </c>
      <c r="AI47" s="36">
        <f t="shared" si="14"/>
        <v>9.9902405348213569E-2</v>
      </c>
    </row>
    <row r="48" spans="1:35" x14ac:dyDescent="0.25">
      <c r="B48">
        <v>8562</v>
      </c>
      <c r="C48">
        <v>5.17</v>
      </c>
      <c r="D48">
        <v>4.5497915056685398</v>
      </c>
      <c r="E48">
        <f t="shared" si="0"/>
        <v>0.62020849433146008</v>
      </c>
      <c r="F48">
        <f t="shared" si="1"/>
        <v>4.5278798523734958</v>
      </c>
      <c r="G48" s="36">
        <f t="shared" si="2"/>
        <v>0.12420118909603563</v>
      </c>
      <c r="I48" s="2">
        <v>3793</v>
      </c>
      <c r="J48" s="41">
        <v>4.2300000000000004</v>
      </c>
      <c r="K48">
        <v>4.1091700382291299</v>
      </c>
      <c r="L48">
        <f t="shared" si="3"/>
        <v>0.12082996177087058</v>
      </c>
      <c r="M48">
        <f t="shared" si="7"/>
        <v>4.0153502976440967</v>
      </c>
      <c r="N48" s="36">
        <f t="shared" si="8"/>
        <v>5.0744610486029247E-2</v>
      </c>
      <c r="P48">
        <v>3787</v>
      </c>
      <c r="Q48">
        <v>1.45</v>
      </c>
      <c r="R48">
        <v>1.7673789176105399</v>
      </c>
      <c r="S48">
        <f t="shared" si="4"/>
        <v>-0.31737891761053993</v>
      </c>
      <c r="T48">
        <f t="shared" si="9"/>
        <v>1.7107358030173574</v>
      </c>
      <c r="U48" s="36">
        <f t="shared" si="10"/>
        <v>0.17981779518438445</v>
      </c>
      <c r="W48" s="2">
        <v>3793</v>
      </c>
      <c r="X48" s="41">
        <v>7.45</v>
      </c>
      <c r="Y48">
        <v>6.6362326109656697</v>
      </c>
      <c r="Z48">
        <f t="shared" si="5"/>
        <v>0.81376738903433044</v>
      </c>
      <c r="AA48">
        <f t="shared" si="11"/>
        <v>6.8547863463179066</v>
      </c>
      <c r="AB48" s="36">
        <f t="shared" si="12"/>
        <v>7.9894450158670277E-2</v>
      </c>
      <c r="AD48" s="2">
        <v>3791</v>
      </c>
      <c r="AE48" s="41">
        <v>2.85</v>
      </c>
      <c r="AF48">
        <v>3.11584376408479</v>
      </c>
      <c r="AG48">
        <f t="shared" si="6"/>
        <v>-0.26584376408478994</v>
      </c>
      <c r="AH48">
        <f t="shared" si="13"/>
        <v>3.0834174262525487</v>
      </c>
      <c r="AI48" s="36">
        <f t="shared" si="14"/>
        <v>8.1900851316683704E-2</v>
      </c>
    </row>
    <row r="49" spans="2:35" x14ac:dyDescent="0.25">
      <c r="B49">
        <v>8757</v>
      </c>
      <c r="C49">
        <v>4.62</v>
      </c>
      <c r="D49">
        <v>4.2617506210804601</v>
      </c>
      <c r="E49">
        <f t="shared" si="0"/>
        <v>0.35824937891954001</v>
      </c>
      <c r="F49">
        <f t="shared" si="1"/>
        <v>4.239838967785416</v>
      </c>
      <c r="G49" s="36">
        <f t="shared" si="2"/>
        <v>8.2285937708784437E-2</v>
      </c>
      <c r="I49" s="2"/>
      <c r="J49" s="41"/>
      <c r="N49" s="36"/>
      <c r="P49">
        <v>3788</v>
      </c>
      <c r="Q49">
        <v>1.45</v>
      </c>
      <c r="R49">
        <v>1.6794657318745601</v>
      </c>
      <c r="S49">
        <f t="shared" si="4"/>
        <v>-0.2294657318745601</v>
      </c>
      <c r="T49">
        <f t="shared" si="9"/>
        <v>1.6228226172813776</v>
      </c>
      <c r="U49" s="36">
        <f t="shared" si="10"/>
        <v>0.11918801191819145</v>
      </c>
      <c r="W49" s="2"/>
      <c r="X49" s="41"/>
      <c r="AB49" s="36"/>
      <c r="AD49" s="2">
        <v>3792</v>
      </c>
      <c r="AE49" s="41">
        <v>2.85</v>
      </c>
      <c r="AF49">
        <v>3.1038573369746598</v>
      </c>
      <c r="AG49">
        <f t="shared" si="6"/>
        <v>-0.25385733697465973</v>
      </c>
      <c r="AH49">
        <f t="shared" si="13"/>
        <v>3.0714309991424185</v>
      </c>
      <c r="AI49" s="36">
        <f t="shared" si="14"/>
        <v>7.7695087418392414E-2</v>
      </c>
    </row>
    <row r="50" spans="2:35" x14ac:dyDescent="0.25">
      <c r="B50">
        <v>3787</v>
      </c>
      <c r="C50">
        <v>4.2</v>
      </c>
      <c r="D50">
        <v>4.9117310374383401</v>
      </c>
      <c r="E50">
        <f t="shared" si="0"/>
        <v>-0.71173103743833988</v>
      </c>
      <c r="F50">
        <f t="shared" si="1"/>
        <v>4.889819384143296</v>
      </c>
      <c r="G50" s="36">
        <f t="shared" si="2"/>
        <v>0.1642427105103085</v>
      </c>
      <c r="I50" s="2"/>
      <c r="J50" s="41"/>
      <c r="N50" s="36"/>
      <c r="P50">
        <v>3791</v>
      </c>
      <c r="Q50">
        <v>1.45</v>
      </c>
      <c r="R50">
        <v>1.5226496678694299</v>
      </c>
      <c r="S50">
        <f t="shared" si="4"/>
        <v>-7.2649667869429946E-2</v>
      </c>
      <c r="T50">
        <f t="shared" si="9"/>
        <v>1.4660065532762474</v>
      </c>
      <c r="U50" s="36">
        <f t="shared" si="10"/>
        <v>1.1039002259480998E-2</v>
      </c>
      <c r="W50" s="2"/>
      <c r="X50" s="41"/>
      <c r="AB50" s="36"/>
      <c r="AD50" s="2">
        <v>3793</v>
      </c>
      <c r="AE50" s="41">
        <v>2.85</v>
      </c>
      <c r="AF50">
        <v>2.9401022408528599</v>
      </c>
      <c r="AG50">
        <f t="shared" si="6"/>
        <v>-9.0102240852859783E-2</v>
      </c>
      <c r="AH50">
        <f t="shared" si="13"/>
        <v>2.9076759030206185</v>
      </c>
      <c r="AI50" s="36">
        <f t="shared" si="14"/>
        <v>2.0237158954602954E-2</v>
      </c>
    </row>
    <row r="51" spans="2:35" x14ac:dyDescent="0.25">
      <c r="B51">
        <v>3788</v>
      </c>
      <c r="C51">
        <v>4.2</v>
      </c>
      <c r="D51">
        <v>4.8623772802829599</v>
      </c>
      <c r="E51">
        <f t="shared" si="0"/>
        <v>-0.66237728028295972</v>
      </c>
      <c r="F51">
        <f t="shared" si="1"/>
        <v>4.8404656269879158</v>
      </c>
      <c r="G51" s="36">
        <f t="shared" si="2"/>
        <v>0.15249181594950373</v>
      </c>
      <c r="I51" s="2"/>
      <c r="J51" s="41"/>
      <c r="N51" s="36"/>
      <c r="P51">
        <v>3792</v>
      </c>
      <c r="Q51">
        <v>1.45</v>
      </c>
      <c r="R51">
        <v>1.5144356796327101</v>
      </c>
      <c r="S51">
        <f t="shared" si="4"/>
        <v>-6.443567963271013E-2</v>
      </c>
      <c r="T51">
        <f t="shared" si="9"/>
        <v>1.4577925650395276</v>
      </c>
      <c r="U51" s="36">
        <f t="shared" si="10"/>
        <v>5.3741827858811257E-3</v>
      </c>
      <c r="W51" s="2"/>
      <c r="X51" s="41"/>
      <c r="AB51" s="36"/>
      <c r="AD51" s="2"/>
      <c r="AE51" s="41"/>
      <c r="AI51" s="36"/>
    </row>
    <row r="52" spans="2:35" x14ac:dyDescent="0.25">
      <c r="B52">
        <v>3791</v>
      </c>
      <c r="C52">
        <v>4.2</v>
      </c>
      <c r="D52">
        <v>4.5674760310485203</v>
      </c>
      <c r="E52">
        <f t="shared" si="0"/>
        <v>-0.36747603104852011</v>
      </c>
      <c r="F52">
        <f t="shared" si="1"/>
        <v>4.5455643777534762</v>
      </c>
      <c r="G52" s="36">
        <f t="shared" si="2"/>
        <v>8.2277232798446676E-2</v>
      </c>
      <c r="I52" s="2"/>
      <c r="J52" s="41"/>
      <c r="N52" s="36"/>
      <c r="P52">
        <v>3793</v>
      </c>
      <c r="Q52">
        <v>1.45</v>
      </c>
      <c r="R52">
        <v>1.55395326060942</v>
      </c>
      <c r="S52">
        <f t="shared" si="4"/>
        <v>-0.10395326060942001</v>
      </c>
      <c r="T52">
        <f t="shared" si="9"/>
        <v>1.4973101460162375</v>
      </c>
      <c r="U52" s="36">
        <f t="shared" si="10"/>
        <v>3.262768690775001E-2</v>
      </c>
      <c r="W52" s="2"/>
      <c r="X52" s="41"/>
      <c r="AB52" s="36"/>
      <c r="AD52" s="2"/>
      <c r="AE52" s="41"/>
      <c r="AI52" s="36"/>
    </row>
    <row r="53" spans="2:35" x14ac:dyDescent="0.25">
      <c r="B53">
        <v>3792</v>
      </c>
      <c r="C53">
        <v>4.2</v>
      </c>
      <c r="D53">
        <v>4.7001161572286998</v>
      </c>
      <c r="E53">
        <f t="shared" si="0"/>
        <v>-0.50011615722869962</v>
      </c>
      <c r="F53">
        <f t="shared" si="1"/>
        <v>4.6782045039336557</v>
      </c>
      <c r="G53" s="36">
        <f t="shared" si="2"/>
        <v>0.11385821522229893</v>
      </c>
      <c r="I53" s="2"/>
      <c r="J53" s="41"/>
      <c r="N53" s="36"/>
      <c r="U53" s="36"/>
      <c r="W53" s="2"/>
      <c r="X53" s="41"/>
      <c r="AB53" s="36"/>
      <c r="AD53" s="2"/>
      <c r="AE53" s="41"/>
      <c r="AI53" s="36"/>
    </row>
    <row r="54" spans="2:35" x14ac:dyDescent="0.25">
      <c r="B54">
        <v>3793</v>
      </c>
      <c r="C54">
        <v>4.2</v>
      </c>
      <c r="D54">
        <v>4.3789963438777502</v>
      </c>
      <c r="E54">
        <f t="shared" si="0"/>
        <v>-0.17899634387774999</v>
      </c>
      <c r="F54">
        <f t="shared" si="1"/>
        <v>4.3570846905827061</v>
      </c>
      <c r="G54" s="36">
        <f t="shared" si="2"/>
        <v>3.740111680540617E-2</v>
      </c>
      <c r="I54" s="2"/>
      <c r="J54" s="41"/>
      <c r="N54" s="36"/>
      <c r="U54" s="36"/>
      <c r="W54" s="2"/>
      <c r="X54" s="41"/>
      <c r="AB54" s="36"/>
      <c r="AD54" s="2"/>
      <c r="AE54" s="41"/>
      <c r="AI54" s="36"/>
    </row>
    <row r="55" spans="2:35" x14ac:dyDescent="0.25">
      <c r="G55" s="36"/>
      <c r="I55" s="2"/>
      <c r="J55" s="41"/>
      <c r="N55" s="36"/>
      <c r="U55" s="36"/>
      <c r="W55" s="2"/>
      <c r="X55" s="41"/>
      <c r="AB55" s="36"/>
      <c r="AD55" s="2"/>
      <c r="AE55" s="41"/>
      <c r="AI55" s="36"/>
    </row>
    <row r="56" spans="2:35" x14ac:dyDescent="0.25">
      <c r="G56" s="36"/>
      <c r="I56" s="2"/>
      <c r="J56" s="41"/>
      <c r="N56" s="36"/>
      <c r="U56" s="36"/>
      <c r="W56" s="2"/>
      <c r="X56" s="41"/>
      <c r="AB56" s="36"/>
      <c r="AD56" s="2"/>
      <c r="AE56" s="41"/>
      <c r="AI56" s="36"/>
    </row>
    <row r="57" spans="2:35" x14ac:dyDescent="0.25">
      <c r="G57" s="36"/>
      <c r="I57" s="2"/>
      <c r="J57" s="41"/>
      <c r="N57" s="36"/>
      <c r="U57" s="36"/>
      <c r="W57" s="2"/>
      <c r="X57" s="41"/>
      <c r="AB57" s="36"/>
      <c r="AD57" s="2"/>
      <c r="AE57" s="41"/>
      <c r="AI57" s="36"/>
    </row>
    <row r="58" spans="2:35" x14ac:dyDescent="0.25">
      <c r="G58" s="36"/>
      <c r="I58" s="2"/>
      <c r="J58" s="41"/>
      <c r="N58" s="36"/>
      <c r="U58" s="36"/>
      <c r="W58" s="2"/>
      <c r="X58" s="41"/>
      <c r="AB58" s="36"/>
      <c r="AD58" s="2"/>
      <c r="AE58" s="41"/>
      <c r="AI58" s="36"/>
    </row>
    <row r="59" spans="2:35" x14ac:dyDescent="0.25">
      <c r="G59" s="36"/>
      <c r="I59" s="2"/>
      <c r="J59" s="41"/>
      <c r="N59" s="36"/>
      <c r="U59" s="36"/>
      <c r="W59" s="2"/>
      <c r="X59" s="41"/>
      <c r="AB59" s="36"/>
      <c r="AD59" s="2"/>
      <c r="AE59" s="41"/>
      <c r="AI59" s="36"/>
    </row>
    <row r="60" spans="2:35" x14ac:dyDescent="0.25">
      <c r="G60" s="36"/>
      <c r="I60" s="2"/>
      <c r="J60" s="41"/>
      <c r="N60" s="36"/>
      <c r="U60" s="36"/>
      <c r="W60" s="2"/>
      <c r="X60" s="41"/>
      <c r="AB60" s="36"/>
      <c r="AD60" s="2"/>
      <c r="AE60" s="41"/>
      <c r="AI60" s="36"/>
    </row>
    <row r="61" spans="2:35" x14ac:dyDescent="0.25">
      <c r="G61" s="36"/>
      <c r="I61" s="2"/>
      <c r="J61" s="41"/>
      <c r="N61" s="36"/>
      <c r="U61" s="36"/>
      <c r="W61" s="2"/>
      <c r="X61" s="41"/>
      <c r="AB61" s="36"/>
      <c r="AD61" s="2"/>
      <c r="AE61" s="41"/>
      <c r="AI61" s="36"/>
    </row>
    <row r="62" spans="2:35" x14ac:dyDescent="0.25">
      <c r="G62" s="36"/>
      <c r="I62" s="2"/>
      <c r="J62" s="41"/>
      <c r="N62" s="36"/>
      <c r="U62" s="36"/>
      <c r="W62" s="2"/>
      <c r="X62" s="41"/>
      <c r="AB62" s="36"/>
      <c r="AD62" s="2"/>
      <c r="AE62" s="41"/>
      <c r="AI62" s="36"/>
    </row>
    <row r="63" spans="2:35" x14ac:dyDescent="0.25">
      <c r="G63" s="36"/>
      <c r="I63" s="2"/>
      <c r="J63" s="41"/>
      <c r="N63" s="36"/>
      <c r="U63" s="36"/>
      <c r="W63" s="2"/>
      <c r="X63" s="41"/>
      <c r="AB63" s="36"/>
      <c r="AD63" s="2"/>
      <c r="AE63" s="41"/>
      <c r="AI63" s="36"/>
    </row>
    <row r="64" spans="2:35" x14ac:dyDescent="0.25">
      <c r="G64" s="36"/>
      <c r="N64" s="36"/>
      <c r="U64" s="36"/>
      <c r="W64" s="2"/>
      <c r="X64" s="41"/>
      <c r="AB64" s="36"/>
    </row>
    <row r="65" spans="7:28" x14ac:dyDescent="0.25">
      <c r="G65" s="36"/>
      <c r="U65" s="36"/>
      <c r="W65" s="2"/>
      <c r="X65" s="41"/>
      <c r="AB65" s="36"/>
    </row>
    <row r="66" spans="7:28" x14ac:dyDescent="0.25">
      <c r="W66" s="2"/>
      <c r="X66" s="41"/>
      <c r="AB66" s="36"/>
    </row>
    <row r="67" spans="7:28" x14ac:dyDescent="0.25">
      <c r="AB67" s="36"/>
    </row>
  </sheetData>
  <mergeCells count="5">
    <mergeCell ref="B1:F1"/>
    <mergeCell ref="I1:M1"/>
    <mergeCell ref="P1:T1"/>
    <mergeCell ref="W1:AA1"/>
    <mergeCell ref="AD1:AH1"/>
  </mergeCells>
  <conditionalFormatting sqref="AI12:AI63 G12:G65 U12:U65 AB12:AB67 N12:N64">
    <cfRule type="cellIs" dxfId="0" priority="1" operator="greaterThan">
      <formula>0.35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8"/>
  <sheetViews>
    <sheetView tabSelected="1" zoomScale="55" zoomScaleNormal="55" workbookViewId="0">
      <selection activeCell="I34" sqref="I34"/>
    </sheetView>
  </sheetViews>
  <sheetFormatPr defaultRowHeight="15" x14ac:dyDescent="0.25"/>
  <cols>
    <col min="1" max="1" width="21.140625" bestFit="1" customWidth="1"/>
    <col min="2" max="2" width="12.85546875" style="2" customWidth="1"/>
    <col min="3" max="3" width="15.42578125" style="39" customWidth="1"/>
    <col min="4" max="6" width="11.5703125" style="39" bestFit="1" customWidth="1"/>
    <col min="7" max="7" width="7.140625" style="39" customWidth="1"/>
    <col min="8" max="8" width="9.140625" style="39" customWidth="1"/>
    <col min="9" max="9" width="9.140625" style="60" customWidth="1"/>
    <col min="10" max="10" width="10" style="39" bestFit="1" customWidth="1"/>
    <col min="11" max="11" width="11.5703125" style="2" bestFit="1" customWidth="1"/>
    <col min="12" max="12" width="14.42578125" style="2" customWidth="1"/>
    <col min="13" max="13" width="14.7109375" style="2" customWidth="1"/>
    <col min="14" max="14" width="11.5703125" style="2" bestFit="1" customWidth="1"/>
    <col min="15" max="16" width="9.140625" style="2" customWidth="1"/>
    <col min="17" max="17" width="21.140625" bestFit="1" customWidth="1"/>
    <col min="18" max="18" width="12.85546875" style="2" bestFit="1" customWidth="1"/>
    <col min="19" max="19" width="15.42578125" style="39" customWidth="1"/>
    <col min="20" max="22" width="11.5703125" style="39" bestFit="1" customWidth="1"/>
    <col min="23" max="23" width="7.140625" style="39" customWidth="1"/>
    <col min="24" max="24" width="9.140625" style="2"/>
    <col min="26" max="26" width="9.140625" style="2"/>
    <col min="27" max="27" width="9.140625" style="2" customWidth="1"/>
    <col min="28" max="31" width="9.140625" style="2"/>
    <col min="32" max="32" width="9.140625" style="2" customWidth="1"/>
    <col min="34" max="34" width="9.140625" style="2"/>
    <col min="35" max="35" width="9.140625" style="2" customWidth="1"/>
    <col min="36" max="39" width="9.140625" style="2"/>
    <col min="40" max="40" width="12.5703125" customWidth="1"/>
    <col min="42" max="42" width="9.140625" style="2"/>
    <col min="43" max="43" width="9.140625" style="2" customWidth="1"/>
    <col min="44" max="49" width="9.140625" style="2"/>
  </cols>
  <sheetData>
    <row r="1" spans="1:50" x14ac:dyDescent="0.25">
      <c r="B1" s="42" t="s">
        <v>34</v>
      </c>
      <c r="C1" s="43"/>
      <c r="D1" s="43"/>
      <c r="E1" s="43"/>
      <c r="F1" s="43"/>
      <c r="G1" s="44"/>
      <c r="H1" s="2"/>
      <c r="I1"/>
      <c r="J1" s="2"/>
    </row>
    <row r="2" spans="1:50" x14ac:dyDescent="0.25">
      <c r="B2" s="45"/>
      <c r="C2" s="46"/>
      <c r="D2" s="46"/>
      <c r="E2" s="46"/>
      <c r="F2" s="46"/>
      <c r="G2" s="47"/>
      <c r="H2" s="2"/>
      <c r="I2"/>
      <c r="J2" s="2"/>
    </row>
    <row r="3" spans="1:50" x14ac:dyDescent="0.25">
      <c r="B3" s="48" t="s">
        <v>35</v>
      </c>
      <c r="C3" s="48" t="s">
        <v>13</v>
      </c>
      <c r="D3" s="48" t="s">
        <v>14</v>
      </c>
      <c r="E3" s="48" t="s">
        <v>15</v>
      </c>
      <c r="F3" s="48" t="s">
        <v>16</v>
      </c>
      <c r="G3" s="48" t="s">
        <v>17</v>
      </c>
      <c r="H3" s="2"/>
      <c r="I3"/>
      <c r="J3" s="2"/>
    </row>
    <row r="4" spans="1:50" ht="15" customHeight="1" x14ac:dyDescent="0.25">
      <c r="A4" s="51" t="s">
        <v>2</v>
      </c>
      <c r="B4" s="49">
        <v>189009</v>
      </c>
      <c r="C4" s="50">
        <f>CORREL(C42:C53,K42:K53)^2</f>
        <v>0.91197132158292882</v>
      </c>
      <c r="D4" s="50">
        <f>CORREL(D42:D53,L42:L53)^2</f>
        <v>0.98255942484187775</v>
      </c>
      <c r="E4" s="50">
        <f>CORREL(E42:E53,M42:M53)^2</f>
        <v>0.94646134017264216</v>
      </c>
      <c r="F4" s="50">
        <f>CORREL(F42:F53,N42:N53)^2</f>
        <v>0.88918720882795044</v>
      </c>
      <c r="G4" s="50">
        <f>CORREL(G42:G53,O42:O53)^2</f>
        <v>0.97401005856053258</v>
      </c>
      <c r="H4" s="2"/>
      <c r="I4"/>
      <c r="J4" s="2"/>
    </row>
    <row r="5" spans="1:50" ht="15" customHeight="1" x14ac:dyDescent="0.25">
      <c r="A5" s="52"/>
      <c r="B5" s="49">
        <v>189013</v>
      </c>
      <c r="C5" s="50">
        <f>CORREL(C42:C53,S42:S53)^2</f>
        <v>0.83009372618661592</v>
      </c>
      <c r="D5" s="50">
        <f>CORREL(D42:D53,T42:T53)^2</f>
        <v>0.96560664020380305</v>
      </c>
      <c r="E5" s="50">
        <f>CORREL(E42:E53,U42:U53)^2</f>
        <v>0.92599708897291821</v>
      </c>
      <c r="F5" s="50">
        <f>CORREL(F42:F53,V42:V53)^2</f>
        <v>0.91882664486703902</v>
      </c>
      <c r="G5" s="50">
        <f>CORREL(G42:G53,W42:W53)^2</f>
        <v>0.91904551169623527</v>
      </c>
      <c r="H5" s="2"/>
      <c r="I5"/>
      <c r="J5" s="2"/>
    </row>
    <row r="6" spans="1:50" ht="15" customHeight="1" x14ac:dyDescent="0.25">
      <c r="A6" s="52"/>
      <c r="B6" s="49">
        <v>189017</v>
      </c>
      <c r="C6" s="50">
        <f>CORREL(C42:C53,AA42:AA53)^2</f>
        <v>0.88685371639090904</v>
      </c>
      <c r="D6" s="50">
        <f>CORREL(D42:D53,AB42:AB53)^2</f>
        <v>0.92836006708666008</v>
      </c>
      <c r="E6" s="50">
        <f>CORREL(E42:E53,AC42:AC53)^2</f>
        <v>0.9334784175776647</v>
      </c>
      <c r="F6" s="50">
        <f>CORREL(F42:F53,AD42:AD53)^2</f>
        <v>0.8929320707094347</v>
      </c>
      <c r="G6" s="50">
        <f>CORREL(G42:G53,AE42:AE53)^2</f>
        <v>0.8551419148240994</v>
      </c>
      <c r="H6" s="2"/>
      <c r="I6"/>
      <c r="J6" s="2"/>
    </row>
    <row r="7" spans="1:50" x14ac:dyDescent="0.25">
      <c r="A7" s="53"/>
      <c r="B7" s="49">
        <v>190006</v>
      </c>
      <c r="C7" s="50">
        <f>CORREL(C42:C53,AI42:AI53)^2</f>
        <v>0.97686947930819767</v>
      </c>
      <c r="D7" s="50">
        <f>CORREL(D42:D53,AJ42:AJ53)^2</f>
        <v>0.99196213001742894</v>
      </c>
      <c r="E7" s="50">
        <f>CORREL(E42:E53,AK42:AK53)^2</f>
        <v>0.97558867193369003</v>
      </c>
      <c r="F7" s="50">
        <f>CORREL(F42:F53,AL42:AL53)^2</f>
        <v>0.97234480539970036</v>
      </c>
      <c r="G7" s="50">
        <f>CORREL(G42:G53,AM42:AM53)^2</f>
        <v>0.96179688535606855</v>
      </c>
      <c r="H7" s="2"/>
      <c r="I7"/>
      <c r="J7" s="2"/>
    </row>
    <row r="8" spans="1:50" x14ac:dyDescent="0.25">
      <c r="A8" s="2"/>
      <c r="H8" s="2"/>
      <c r="I8"/>
      <c r="J8" s="2"/>
    </row>
    <row r="9" spans="1:50" x14ac:dyDescent="0.25">
      <c r="A9" s="51" t="s">
        <v>36</v>
      </c>
      <c r="B9" s="49">
        <f>B4</f>
        <v>189009</v>
      </c>
      <c r="C9" s="50">
        <f>AVERAGE(C42:C53)-AVERAGE(K42:K53)</f>
        <v>-0.36143476861394053</v>
      </c>
      <c r="D9" s="50">
        <f>AVERAGE(D42:D53)-AVERAGE(L42:L53)</f>
        <v>-0.25455173024700795</v>
      </c>
      <c r="E9" s="50">
        <f>AVERAGE(E42:E53)-AVERAGE(M42:M53)</f>
        <v>-0.15431501317926255</v>
      </c>
      <c r="F9" s="50">
        <f>AVERAGE(F42:F53)-AVERAGE(N42:N53)</f>
        <v>-0.21098239091201609</v>
      </c>
      <c r="G9" s="50">
        <f>AVERAGE(G42:G53)-AVERAGE(O42:O53)</f>
        <v>-0.22766838689509328</v>
      </c>
      <c r="H9" s="2"/>
      <c r="I9"/>
      <c r="J9" s="2"/>
    </row>
    <row r="10" spans="1:50" x14ac:dyDescent="0.25">
      <c r="A10" s="52"/>
      <c r="B10" s="49">
        <f>B5</f>
        <v>189013</v>
      </c>
      <c r="C10" s="50">
        <f>AVERAGE(C42:C53)-AVERAGE(S42:S53)</f>
        <v>6.0123890982321626E-2</v>
      </c>
      <c r="D10" s="50">
        <f>AVERAGE(D42:D53)-AVERAGE(T42:T53)</f>
        <v>5.6846945938326954E-3</v>
      </c>
      <c r="E10" s="50">
        <f>AVERAGE(E42:E53)-AVERAGE(U42:U53)</f>
        <v>-8.1687549853426411E-3</v>
      </c>
      <c r="F10" s="50">
        <f>AVERAGE(F42:F53)-AVERAGE(V42:V53)</f>
        <v>-1.1128570733270671E-2</v>
      </c>
      <c r="G10" s="50">
        <f>AVERAGE(G42:G53)-AVERAGE(W42:W53)</f>
        <v>-1.6415926325175079E-4</v>
      </c>
      <c r="H10" s="2"/>
      <c r="I10"/>
      <c r="J10" s="2"/>
    </row>
    <row r="11" spans="1:50" x14ac:dyDescent="0.25">
      <c r="A11" s="52"/>
      <c r="B11" s="49">
        <f>B6</f>
        <v>189017</v>
      </c>
      <c r="C11" s="50">
        <f>AVERAGE(C42:C53)-AVERAGE(AA42:AA53)</f>
        <v>-0.15928985330436962</v>
      </c>
      <c r="D11" s="50">
        <f>AVERAGE(D42:D53)-AVERAGE(AB42:AB53)</f>
        <v>-6.6594148383365415E-2</v>
      </c>
      <c r="E11" s="50">
        <f>AVERAGE(E42:E53)-AVERAGE(AC42:AC53)</f>
        <v>-0.10808549805465617</v>
      </c>
      <c r="F11" s="50">
        <f>AVERAGE(F42:F53)-AVERAGE(AD42:AD53)</f>
        <v>-0.21339781568665028</v>
      </c>
      <c r="G11" s="50">
        <f>AVERAGE(G42:G53)-AVERAGE(AE42:AE53)</f>
        <v>-6.6232037653471298E-2</v>
      </c>
      <c r="H11" s="2"/>
      <c r="I11"/>
      <c r="J11" s="2"/>
    </row>
    <row r="12" spans="1:50" x14ac:dyDescent="0.25">
      <c r="A12" s="53"/>
      <c r="B12" s="49">
        <f>B7</f>
        <v>190006</v>
      </c>
      <c r="C12" s="50">
        <f>AVERAGE(C42:C53)-AVERAGE(AI42:AI53)</f>
        <v>-6.2948925112520371E-3</v>
      </c>
      <c r="D12" s="50">
        <f>AVERAGE(D42:D53)-AVERAGE(AJ42:AJ53)</f>
        <v>-7.5205642775664217E-3</v>
      </c>
      <c r="E12" s="50">
        <f>AVERAGE(E42:E53)-AVERAGE(AK42:AK53)</f>
        <v>2.6230967382909753E-3</v>
      </c>
      <c r="F12" s="50">
        <f>AVERAGE(F42:F53)-AVERAGE(AL42:AL53)</f>
        <v>9.6658027446443917E-2</v>
      </c>
      <c r="G12" s="50">
        <f>AVERAGE(G42:G53)-AVERAGE(AM42:AM53)</f>
        <v>-2.1720117953675455E-2</v>
      </c>
      <c r="H12" s="2"/>
      <c r="I12"/>
      <c r="J12" s="2"/>
    </row>
    <row r="13" spans="1:50" s="2" customFormat="1" ht="15" hidden="1" customHeight="1" x14ac:dyDescent="0.25">
      <c r="B13" s="49"/>
      <c r="C13" s="50"/>
      <c r="D13" s="50"/>
      <c r="E13" s="50"/>
      <c r="F13" s="50"/>
      <c r="G13" s="50"/>
      <c r="I13"/>
      <c r="AG13"/>
      <c r="AN13"/>
      <c r="AO13"/>
      <c r="AX13"/>
    </row>
    <row r="14" spans="1:50" s="2" customFormat="1" ht="15" hidden="1" customHeight="1" x14ac:dyDescent="0.25">
      <c r="A14" s="51" t="s">
        <v>3</v>
      </c>
      <c r="B14" s="49">
        <f>B4</f>
        <v>189009</v>
      </c>
      <c r="C14" s="50">
        <f>SLOPE(K$55:K$66,C$42:C$53)</f>
        <v>1.1872390603525473</v>
      </c>
      <c r="D14" s="50">
        <f>SLOPE(L$55:L$66,D$42:D$53)</f>
        <v>1.1506155559588125</v>
      </c>
      <c r="E14" s="50">
        <f>SLOPE(M$55:M$66,E$42:E$53)</f>
        <v>1.0204786959450756</v>
      </c>
      <c r="F14" s="50">
        <f>SLOPE(N$55:N$66,F$42:F$53)</f>
        <v>1.1040043895003442</v>
      </c>
      <c r="G14" s="50">
        <f>SLOPE(O$55:O$66,G$42:G$53)</f>
        <v>1.1798299393865281</v>
      </c>
      <c r="I14"/>
      <c r="AG14"/>
      <c r="AN14"/>
      <c r="AO14"/>
      <c r="AX14"/>
    </row>
    <row r="15" spans="1:50" s="2" customFormat="1" ht="15" hidden="1" customHeight="1" x14ac:dyDescent="0.25">
      <c r="A15" s="52"/>
      <c r="B15" s="49">
        <f>B5</f>
        <v>189013</v>
      </c>
      <c r="C15" s="50">
        <f>SLOPE(S$55:S$66,C$42:C$53)</f>
        <v>1.2353867361653981</v>
      </c>
      <c r="D15" s="50">
        <f>SLOPE(T$55:T$66,D$42:D$53)</f>
        <v>1.0508703228290566</v>
      </c>
      <c r="E15" s="50">
        <f>SLOPE(U$55:U$66,E$42:E$53)</f>
        <v>1.0137965371950473</v>
      </c>
      <c r="F15" s="50">
        <f>SLOPE(V$55:V$66,F$42:F$53)</f>
        <v>1.2613722215881902</v>
      </c>
      <c r="G15" s="50">
        <f>SLOPE(W$55:W$66,G$42:G$53)</f>
        <v>1.0214398434772181</v>
      </c>
      <c r="I15"/>
      <c r="AG15"/>
      <c r="AN15"/>
      <c r="AO15"/>
      <c r="AX15"/>
    </row>
    <row r="16" spans="1:50" s="2" customFormat="1" ht="15" hidden="1" customHeight="1" x14ac:dyDescent="0.25">
      <c r="A16" s="52"/>
      <c r="B16" s="49">
        <f>B6</f>
        <v>189017</v>
      </c>
      <c r="C16" s="50">
        <f>SLOPE(AA$55:AA$66,C$42:C$53)</f>
        <v>1.1764483208394729</v>
      </c>
      <c r="D16" s="50">
        <f>SLOPE(AB$55:AB$66,D$42:D$53)</f>
        <v>1.0239477524238325</v>
      </c>
      <c r="E16" s="50">
        <f>SLOPE(AC$55:AC$66,E$42:E$53)</f>
        <v>1.0065862017034735</v>
      </c>
      <c r="F16" s="50">
        <f>SLOPE(AD$55:AD$66,F$42:F$53)</f>
        <v>1.4759742615232583</v>
      </c>
      <c r="G16" s="50">
        <f>SLOPE(AE$55:AE$66,G$42:G$53)</f>
        <v>0.99042510587856536</v>
      </c>
      <c r="I16"/>
      <c r="AG16"/>
      <c r="AN16"/>
      <c r="AO16"/>
      <c r="AX16"/>
    </row>
    <row r="17" spans="1:50" s="2" customFormat="1" ht="15" hidden="1" customHeight="1" x14ac:dyDescent="0.25">
      <c r="A17" s="53"/>
      <c r="B17" s="49">
        <f>B7</f>
        <v>190006</v>
      </c>
      <c r="C17" s="50">
        <f>SLOPE(AI$55:AI$66,C$42:C$53)</f>
        <v>1.141714303841004</v>
      </c>
      <c r="D17" s="50">
        <f>SLOPE(AJ$55:AJ$66,D$42:D$53)</f>
        <v>1.0642433485540743</v>
      </c>
      <c r="E17" s="50">
        <f>SLOPE(AK$55:AK$66,E$42:E$53)</f>
        <v>1.0325664516552602</v>
      </c>
      <c r="F17" s="50">
        <f>SLOPE(AL$55:AL$66,F$42:F$53)</f>
        <v>0.95009496165603868</v>
      </c>
      <c r="G17" s="50">
        <f>SLOPE(AM$55:AM$66,G$42:G$53)</f>
        <v>1.1324891924383693</v>
      </c>
      <c r="I17"/>
      <c r="AG17"/>
      <c r="AN17"/>
      <c r="AO17"/>
      <c r="AX17"/>
    </row>
    <row r="18" spans="1:50" s="2" customFormat="1" x14ac:dyDescent="0.25">
      <c r="A18"/>
      <c r="B18" s="49"/>
      <c r="C18" s="50"/>
      <c r="D18" s="50"/>
      <c r="E18" s="50"/>
      <c r="F18" s="50"/>
      <c r="G18" s="50"/>
      <c r="I18"/>
      <c r="AG18"/>
      <c r="AN18"/>
      <c r="AO18"/>
      <c r="AX18"/>
    </row>
    <row r="19" spans="1:50" s="2" customFormat="1" x14ac:dyDescent="0.25">
      <c r="A19" s="51" t="s">
        <v>37</v>
      </c>
      <c r="B19" s="49">
        <f>B4</f>
        <v>189009</v>
      </c>
      <c r="C19" s="50">
        <f>SQRT(SUMXMY2(C42:C53,K42:K53)/COUNT(C42:C53))</f>
        <v>0.51630458904579213</v>
      </c>
      <c r="D19" s="50">
        <f>SQRT(SUMXMY2(D42:D53,L42:L53)/COUNT(D42:D53))</f>
        <v>0.32154923226924659</v>
      </c>
      <c r="E19" s="50">
        <f>SQRT(SUMXMY2(E42:E53,M42:M53)/COUNT(E42:E53))</f>
        <v>0.2219674316771558</v>
      </c>
      <c r="F19" s="50">
        <f>SQRT(SUMXMY2(F42:F53,N42:N53)/COUNT(F42:F53))</f>
        <v>0.32241751499198029</v>
      </c>
      <c r="G19" s="50">
        <f>SQRT(SUMXMY2(G42:G53,O42:O53)/COUNT(G42:G53))</f>
        <v>0.26668322064604105</v>
      </c>
      <c r="I19"/>
      <c r="AG19"/>
      <c r="AN19"/>
      <c r="AO19"/>
      <c r="AX19"/>
    </row>
    <row r="20" spans="1:50" s="2" customFormat="1" x14ac:dyDescent="0.25">
      <c r="A20" s="52"/>
      <c r="B20" s="49">
        <f>B5</f>
        <v>189013</v>
      </c>
      <c r="C20" s="50">
        <f>SQRT(SUMXMY2(C42:C53,S42:S53)/COUNT(C42:C53))</f>
        <v>0.54386675824481567</v>
      </c>
      <c r="D20" s="50">
        <f>SQRT(SUMXMY2(D42:D53,T42:T53)/COUNT(D42:D53))</f>
        <v>0.18726279937094756</v>
      </c>
      <c r="E20" s="50">
        <f>SQRT(SUMXMY2(E42:E53,U42:U53)/COUNT(E42:E53))</f>
        <v>0.18812857779312631</v>
      </c>
      <c r="F20" s="50">
        <f>SQRT(SUMXMY2(F42:F53,V42:V53)/COUNT(F42:F53))</f>
        <v>0.27645705845984303</v>
      </c>
      <c r="G20" s="50">
        <f>SQRT(SUMXMY2(G42:G53,W42:W53)/COUNT(G42:G53))</f>
        <v>0.16011966782073375</v>
      </c>
      <c r="I20"/>
      <c r="AG20"/>
      <c r="AN20"/>
      <c r="AO20"/>
      <c r="AX20"/>
    </row>
    <row r="21" spans="1:50" s="2" customFormat="1" x14ac:dyDescent="0.25">
      <c r="A21" s="52"/>
      <c r="B21" s="49">
        <f>B6</f>
        <v>189017</v>
      </c>
      <c r="C21" s="50">
        <f>SQRT(SUMXMY2(C42:C53,AA42:AA53)/COUNT(C42:C53))</f>
        <v>0.43632645838580958</v>
      </c>
      <c r="D21" s="50">
        <f>SQRT(SUMXMY2(D42:D53,AB42:AB53)/COUNT(D42:D53))</f>
        <v>0.2693150419532529</v>
      </c>
      <c r="E21" s="50">
        <f>SQRT(SUMXMY2(E42:E53,AC42:AC53)/COUNT(E42:E53))</f>
        <v>0.20659793980812025</v>
      </c>
      <c r="F21" s="50">
        <f>SQRT(SUMXMY2(F42:F53,AD42:AD53)/COUNT(F42:F53))</f>
        <v>0.47299501089722779</v>
      </c>
      <c r="G21" s="50">
        <f>SQRT(SUMXMY2(G42:G53,AE42:AE53)/COUNT(G42:G53))</f>
        <v>0.22480561342186181</v>
      </c>
      <c r="I21"/>
      <c r="AG21"/>
      <c r="AN21"/>
      <c r="AO21"/>
      <c r="AX21"/>
    </row>
    <row r="22" spans="1:50" s="2" customFormat="1" x14ac:dyDescent="0.25">
      <c r="A22" s="53"/>
      <c r="B22" s="49">
        <f>B7</f>
        <v>190006</v>
      </c>
      <c r="C22" s="50">
        <f>SQRT(SUMXMY2(C42:C53,AI42:AI53)/COUNT(C42:C53))</f>
        <v>0.20127842394339071</v>
      </c>
      <c r="D22" s="50">
        <f>SQRT(SUMXMY2(D42:D53,AJ42:AJ53)/COUNT(D42:D53))</f>
        <v>0.10571457968272721</v>
      </c>
      <c r="E22" s="50">
        <f>SQRT(SUMXMY2(E42:E53,AK42:AK53)/COUNT(E42:E53))</f>
        <v>0.10912972770486992</v>
      </c>
      <c r="F22" s="50">
        <f>SQRT(SUMXMY2(F42:F53,AL42:AL53)/COUNT(F42:F53))</f>
        <v>0.14011231704025606</v>
      </c>
      <c r="G22" s="50">
        <f>SQRT(SUMXMY2(G42:G53,AM42:AM53)/COUNT(G42:G53))</f>
        <v>0.13958923126157796</v>
      </c>
      <c r="I22"/>
      <c r="AG22"/>
      <c r="AN22"/>
      <c r="AO22"/>
      <c r="AX22"/>
    </row>
    <row r="23" spans="1:50" s="2" customFormat="1" x14ac:dyDescent="0.25">
      <c r="A23"/>
      <c r="B23" s="49"/>
      <c r="C23" s="50"/>
      <c r="D23" s="50"/>
      <c r="E23" s="50"/>
      <c r="F23" s="50"/>
      <c r="G23" s="50"/>
      <c r="I23"/>
      <c r="AG23"/>
      <c r="AN23"/>
      <c r="AO23"/>
      <c r="AX23"/>
    </row>
    <row r="24" spans="1:50" s="2" customFormat="1" x14ac:dyDescent="0.25">
      <c r="A24" s="51" t="s">
        <v>38</v>
      </c>
      <c r="B24" s="49">
        <f>B4</f>
        <v>189009</v>
      </c>
      <c r="C24" s="50">
        <f>SQRT(SUMXMY2(C42:C53,K55:K66)/COUNT(C42:C53))</f>
        <v>0.36869409638171602</v>
      </c>
      <c r="D24" s="50">
        <f>SQRT(SUMXMY2(D42:D53,L55:L66)/COUNT(D42:D53))</f>
        <v>0.1964620202512358</v>
      </c>
      <c r="E24" s="50">
        <f>SQRT(SUMXMY2(E42:E53,M55:M66)/COUNT(E42:E53))</f>
        <v>0.15955067355807953</v>
      </c>
      <c r="F24" s="50">
        <f>SQRT(SUMXMY2(F42:F53,N55:N66)/COUNT(F42:F53))</f>
        <v>0.24380214252268667</v>
      </c>
      <c r="G24" s="50">
        <f>SQRT(SUMXMY2(G42:G53,O55:O66)/COUNT(G42:G53))</f>
        <v>0.13887780882031062</v>
      </c>
      <c r="I24"/>
      <c r="AG24"/>
      <c r="AN24"/>
      <c r="AO24"/>
      <c r="AX24"/>
    </row>
    <row r="25" spans="1:50" s="2" customFormat="1" x14ac:dyDescent="0.25">
      <c r="A25" s="52"/>
      <c r="B25" s="49">
        <f>B5</f>
        <v>189013</v>
      </c>
      <c r="C25" s="50">
        <f>SQRT(SUMXMY2(C42:C53,S55:S66)/COUNT(C42:C53))</f>
        <v>0.54053322604338683</v>
      </c>
      <c r="D25" s="50">
        <f>SQRT(SUMXMY2(D42:D53,T55:T66)/COUNT(D42:D53))</f>
        <v>0.1871764949870004</v>
      </c>
      <c r="E25" s="50">
        <f>SQRT(SUMXMY2(E42:E53,U55:U66)/COUNT(E42:E53))</f>
        <v>0.18795114584501427</v>
      </c>
      <c r="F25" s="50">
        <f>SQRT(SUMXMY2(F42:F53,V55:V66)/COUNT(F42:F53))</f>
        <v>0.27623298153135817</v>
      </c>
      <c r="G25" s="50">
        <f>SQRT(SUMXMY2(G42:G53,W55:W66)/COUNT(G42:G53))</f>
        <v>0.16011958367032564</v>
      </c>
      <c r="I25"/>
      <c r="AG25"/>
      <c r="AN25"/>
      <c r="AO25"/>
      <c r="AX25"/>
    </row>
    <row r="26" spans="1:50" s="2" customFormat="1" x14ac:dyDescent="0.25">
      <c r="A26" s="52"/>
      <c r="B26" s="49">
        <f>B6</f>
        <v>189017</v>
      </c>
      <c r="C26" s="50">
        <f>SQRT(SUMXMY2(C42:C53,AA55:AA66)/COUNT(C42:C53))</f>
        <v>0.40621117774105553</v>
      </c>
      <c r="D26" s="50">
        <f>SQRT(SUMXMY2(D42:D53,AB55:AB66)/COUNT(D42:D53))</f>
        <v>0.26095174117713166</v>
      </c>
      <c r="E26" s="50">
        <f>SQRT(SUMXMY2(E42:E53,AC55:AC66)/COUNT(E42:E53))</f>
        <v>0.17606883268550588</v>
      </c>
      <c r="F26" s="50">
        <f>SQRT(SUMXMY2(F42:F53,AD55:AD66)/COUNT(F42:F53))</f>
        <v>0.42212042427941737</v>
      </c>
      <c r="G26" s="50">
        <f>SQRT(SUMXMY2(G42:G53,AE55:AE66)/COUNT(G42:G53))</f>
        <v>0.21482756111413798</v>
      </c>
      <c r="I26"/>
      <c r="AG26"/>
      <c r="AN26"/>
      <c r="AO26"/>
      <c r="AX26"/>
    </row>
    <row r="27" spans="1:50" s="2" customFormat="1" x14ac:dyDescent="0.25">
      <c r="A27" s="53"/>
      <c r="B27" s="49">
        <f>B7</f>
        <v>190006</v>
      </c>
      <c r="C27" s="50">
        <f>SQRT(SUMXMY2(C42:C53,AI55:AI66)/COUNT(C42:C53))</f>
        <v>0.20117996489065978</v>
      </c>
      <c r="D27" s="50">
        <f>SQRT(SUMXMY2(D42:D53,AJ55:AJ66)/COUNT(D42:D53))</f>
        <v>0.10544673285807708</v>
      </c>
      <c r="E27" s="50">
        <f>SQRT(SUMXMY2(E42:E53,AK55:AK66)/COUNT(E42:E53))</f>
        <v>0.10909819811729533</v>
      </c>
      <c r="F27" s="50">
        <f>SQRT(SUMXMY2(F42:F53,AL55:AL66)/COUNT(F42:F53))</f>
        <v>0.10143316576224863</v>
      </c>
      <c r="G27" s="50">
        <f>SQRT(SUMXMY2(G42:G53,AM55:AM66)/COUNT(G42:G53))</f>
        <v>0.13788904945744138</v>
      </c>
      <c r="I27"/>
      <c r="AG27"/>
      <c r="AN27"/>
      <c r="AO27"/>
      <c r="AX27"/>
    </row>
    <row r="28" spans="1:50" s="2" customFormat="1" x14ac:dyDescent="0.25">
      <c r="A28"/>
      <c r="B28" s="49"/>
      <c r="C28" s="50"/>
      <c r="D28" s="50"/>
      <c r="E28" s="50"/>
      <c r="F28" s="50"/>
      <c r="G28" s="50"/>
      <c r="I28"/>
      <c r="AG28"/>
      <c r="AN28"/>
      <c r="AO28"/>
      <c r="AX28"/>
    </row>
    <row r="29" spans="1:50" s="2" customFormat="1" x14ac:dyDescent="0.25">
      <c r="A29" s="51" t="s">
        <v>39</v>
      </c>
      <c r="B29" s="54" t="s">
        <v>40</v>
      </c>
      <c r="C29" s="50">
        <f>SQRT(SUMXMY2(C42:C53,AQ42:AQ53)/COUNT(C42:C53))</f>
        <v>0.24397312660597806</v>
      </c>
      <c r="D29" s="50">
        <f>SQRT(SUMXMY2(D42:D53,AR42:AR53)/COUNT(D42:D53))</f>
        <v>0.13201403827304312</v>
      </c>
      <c r="E29" s="50">
        <f>SQRT(SUMXMY2(E42:E53,AS42:AS53)/COUNT(E42:E53))</f>
        <v>0.12254951086615012</v>
      </c>
      <c r="F29" s="50">
        <f>SQRT(SUMXMY2(F42:F53,AT42:AT53)/COUNT(F42:F53))</f>
        <v>0.18887854071710591</v>
      </c>
      <c r="G29" s="50">
        <f>SQRT(SUMXMY2(G42:G53,AU42:AU53)/COUNT(G42:G53))</f>
        <v>0.12611298975124743</v>
      </c>
      <c r="I29"/>
      <c r="AG29"/>
      <c r="AN29"/>
      <c r="AO29"/>
      <c r="AX29"/>
    </row>
    <row r="30" spans="1:50" x14ac:dyDescent="0.25">
      <c r="A30" s="52"/>
      <c r="B30" s="54">
        <f>B4</f>
        <v>189009</v>
      </c>
      <c r="C30" s="50">
        <f>SQRT(SUMXMY2(AQ42:AQ53,K42:K53)/COUNT(AQ42:AQ53))</f>
        <v>0.39927024602619926</v>
      </c>
      <c r="D30" s="50">
        <f>SQRT(SUMXMY2(AR42:AR53,L42:L53)/COUNT(AR42:AR53))</f>
        <v>0.23919043876713775</v>
      </c>
      <c r="E30" s="50">
        <f>SQRT(SUMXMY2(AS42:AS53,M42:M53)/COUNT(AS42:AS53))</f>
        <v>0.12837666736984241</v>
      </c>
      <c r="F30" s="50">
        <f>SQRT(SUMXMY2(AT42:AT53,N42:N53)/COUNT(AT42:AT53))</f>
        <v>0.19650184822869984</v>
      </c>
      <c r="G30" s="50">
        <f>SQRT(SUMXMY2(AU42:AU53,O42:O53)/COUNT(AU42:AU53))</f>
        <v>0.1904580198930588</v>
      </c>
      <c r="H30" s="2"/>
      <c r="I30"/>
      <c r="J30" s="2"/>
    </row>
    <row r="31" spans="1:50" x14ac:dyDescent="0.25">
      <c r="A31" s="52"/>
      <c r="B31" s="54">
        <f>B5</f>
        <v>189013</v>
      </c>
      <c r="C31" s="50">
        <f>SQRT(SUMXMY2(AQ42:AQ53,S42:S53)/COUNT(AQ42:AQ53))</f>
        <v>0.39012011256580525</v>
      </c>
      <c r="D31" s="50">
        <f>SQRT(SUMXMY2(AR42:AR53,T42:T53)/COUNT(AR42:AR53))</f>
        <v>0.1290521589900388</v>
      </c>
      <c r="E31" s="50">
        <f>SQRT(SUMXMY2(AS42:AS53,U42:U53)/COUNT(AS42:AS53))</f>
        <v>0.1155356682355369</v>
      </c>
      <c r="F31" s="50">
        <f>SQRT(SUMXMY2(AT42:AT53,V42:V53)/COUNT(AT42:AT53))</f>
        <v>0.13389560824296767</v>
      </c>
      <c r="G31" s="50">
        <f>SQRT(SUMXMY2(AU42:AU53,W42:W53)/COUNT(AU42:AU53))</f>
        <v>0.10825027247819936</v>
      </c>
      <c r="H31" s="2"/>
      <c r="I31"/>
      <c r="J31" s="2"/>
    </row>
    <row r="32" spans="1:50" x14ac:dyDescent="0.25">
      <c r="A32" s="52"/>
      <c r="B32" s="54">
        <f>B6</f>
        <v>189017</v>
      </c>
      <c r="C32" s="50">
        <f>SQRT(SUMXMY2(AQ42:AQ53,AA42:AA53)/COUNT(AQ42:AQ53))</f>
        <v>0.27822374081201628</v>
      </c>
      <c r="D32" s="50">
        <f>SQRT(SUMXMY2(AR42:AR53,AB42:AB53)/COUNT(AR42:AR53))</f>
        <v>0.1757153883091187</v>
      </c>
      <c r="E32" s="50">
        <f>SQRT(SUMXMY2(AS42:AS53,AC42:AC53)/COUNT(AS42:AS53))</f>
        <v>0.10000835013998087</v>
      </c>
      <c r="F32" s="50">
        <f>SQRT(SUMXMY2(AT42:AT53,AD42:AD53)/COUNT(AT42:AT53))</f>
        <v>0.30658996005958999</v>
      </c>
      <c r="G32" s="50">
        <f>SQRT(SUMXMY2(AU42:AU53,AE42:AE53)/COUNT(AU42:AU53))</f>
        <v>0.12721046624364515</v>
      </c>
      <c r="H32" s="2"/>
      <c r="I32"/>
      <c r="J32" s="2"/>
    </row>
    <row r="33" spans="1:50" x14ac:dyDescent="0.25">
      <c r="A33" s="53"/>
      <c r="B33" s="54">
        <f>B7</f>
        <v>190006</v>
      </c>
      <c r="C33" s="50">
        <f>SQRT(SUMXMY2(AQ42:AQ53,AI42:AI53)/COUNT(AQ42:AQ53))</f>
        <v>0.21702318090268141</v>
      </c>
      <c r="D33" s="50">
        <f>SQRT(SUMXMY2(AR42:AR53,AJ42:AJ53)/COUNT(AR42:AR53))</f>
        <v>0.1133965067706845</v>
      </c>
      <c r="E33" s="50">
        <f>SQRT(SUMXMY2(AS42:AS53,AK42:AK53)/COUNT(AS42:AS53))</f>
        <v>9.6503282696392897E-2</v>
      </c>
      <c r="F33" s="50">
        <f>SQRT(SUMXMY2(AT42:AT53,AL42:AL53)/COUNT(AT42:AT53))</f>
        <v>0.24320416964353239</v>
      </c>
      <c r="G33" s="50">
        <f>SQRT(SUMXMY2(AU42:AU53,AM42:AM53)/COUNT(AU42:AU53))</f>
        <v>8.4729964287971138E-2</v>
      </c>
      <c r="H33" s="2"/>
      <c r="I33"/>
      <c r="J33" s="2"/>
    </row>
    <row r="34" spans="1:50" x14ac:dyDescent="0.25">
      <c r="C34" s="2"/>
      <c r="D34" s="2"/>
      <c r="E34" s="2"/>
      <c r="F34" s="2"/>
      <c r="G34" s="2"/>
      <c r="H34" s="2"/>
      <c r="I34"/>
      <c r="J34" s="2"/>
    </row>
    <row r="35" spans="1:50" x14ac:dyDescent="0.25">
      <c r="C35" s="2"/>
      <c r="D35" s="2"/>
      <c r="E35" s="2"/>
      <c r="F35" s="2"/>
      <c r="G35" s="2"/>
      <c r="H35" s="2"/>
      <c r="I35"/>
      <c r="J35" s="2"/>
      <c r="S35" s="2"/>
      <c r="T35" s="2"/>
      <c r="U35" s="2"/>
      <c r="V35" s="2"/>
      <c r="W35" s="2"/>
    </row>
    <row r="36" spans="1:50" x14ac:dyDescent="0.25">
      <c r="C36" s="2"/>
      <c r="D36" s="2"/>
      <c r="E36" s="2"/>
      <c r="F36" s="2"/>
      <c r="G36" s="2"/>
      <c r="H36" s="2"/>
      <c r="I36"/>
      <c r="J36" s="2"/>
      <c r="S36" s="2"/>
      <c r="T36" s="2"/>
      <c r="U36" s="2"/>
      <c r="V36" s="2"/>
      <c r="W36" s="2"/>
    </row>
    <row r="37" spans="1:50" s="59" customFormat="1" x14ac:dyDescent="0.25">
      <c r="A37" s="55" t="s">
        <v>42</v>
      </c>
      <c r="B37" s="56"/>
      <c r="C37" s="57"/>
      <c r="D37" s="57"/>
      <c r="E37" s="57"/>
      <c r="F37" s="57"/>
      <c r="G37" s="57"/>
      <c r="H37" s="57"/>
      <c r="I37" s="58"/>
      <c r="J37" s="57"/>
      <c r="K37" s="56"/>
      <c r="L37" s="56"/>
      <c r="M37" s="56"/>
      <c r="N37" s="56"/>
      <c r="O37" s="56"/>
      <c r="P37" s="56"/>
      <c r="R37" s="56"/>
      <c r="S37" s="57"/>
      <c r="T37" s="57"/>
      <c r="U37" s="57"/>
      <c r="V37" s="57"/>
      <c r="W37" s="57"/>
      <c r="X37" s="56"/>
      <c r="Z37" s="56"/>
      <c r="AA37" s="56"/>
      <c r="AB37" s="56"/>
      <c r="AC37" s="56"/>
      <c r="AD37" s="56"/>
      <c r="AE37" s="56"/>
      <c r="AF37" s="56"/>
      <c r="AH37" s="56"/>
      <c r="AI37" s="56"/>
      <c r="AJ37" s="56"/>
      <c r="AK37" s="56"/>
      <c r="AL37" s="56"/>
      <c r="AM37" s="56"/>
      <c r="AP37" s="56"/>
      <c r="AQ37" s="56"/>
      <c r="AR37" s="56"/>
      <c r="AS37" s="56"/>
      <c r="AT37" s="56"/>
      <c r="AU37" s="56"/>
      <c r="AV37" s="56"/>
      <c r="AW37" s="56"/>
    </row>
    <row r="38" spans="1:50" x14ac:dyDescent="0.25">
      <c r="H38" s="2"/>
      <c r="I38"/>
      <c r="J38" s="2"/>
    </row>
    <row r="39" spans="1:50" x14ac:dyDescent="0.25">
      <c r="C39" s="2"/>
      <c r="D39" s="2"/>
      <c r="E39" s="2"/>
      <c r="F39" s="2"/>
      <c r="G39" s="2"/>
      <c r="H39" s="2"/>
      <c r="J39" s="2"/>
      <c r="S39" s="2"/>
      <c r="T39" s="2"/>
      <c r="U39" s="2"/>
      <c r="V39" s="2"/>
      <c r="W39" s="2"/>
    </row>
    <row r="40" spans="1:50" x14ac:dyDescent="0.25">
      <c r="B40" s="61" t="s">
        <v>40</v>
      </c>
      <c r="C40" s="61"/>
      <c r="D40" s="61"/>
      <c r="E40" s="61"/>
      <c r="F40" s="61"/>
      <c r="G40" s="61"/>
      <c r="H40" s="2"/>
      <c r="J40" s="61">
        <v>189009</v>
      </c>
      <c r="K40" s="61"/>
      <c r="L40" s="61"/>
      <c r="M40" s="61"/>
      <c r="N40" s="61"/>
      <c r="O40" s="61"/>
      <c r="R40" s="61">
        <v>189013</v>
      </c>
      <c r="S40" s="61"/>
      <c r="T40" s="61"/>
      <c r="U40" s="61"/>
      <c r="V40" s="61"/>
      <c r="W40" s="61"/>
      <c r="Z40" s="61">
        <v>189017</v>
      </c>
      <c r="AA40" s="61"/>
      <c r="AB40" s="61"/>
      <c r="AC40" s="61"/>
      <c r="AD40" s="61"/>
      <c r="AE40" s="61"/>
      <c r="AF40" s="68"/>
      <c r="AH40" s="61">
        <v>190006</v>
      </c>
      <c r="AI40" s="61"/>
      <c r="AJ40" s="61"/>
      <c r="AK40" s="61"/>
      <c r="AL40" s="61"/>
      <c r="AM40" s="61"/>
      <c r="AP40" s="62" t="s">
        <v>41</v>
      </c>
      <c r="AQ40" s="63"/>
      <c r="AR40" s="63"/>
      <c r="AS40" s="63"/>
      <c r="AT40" s="63"/>
      <c r="AU40" s="63"/>
      <c r="AX40" s="2"/>
    </row>
    <row r="41" spans="1:50" x14ac:dyDescent="0.25">
      <c r="B41" s="49" t="s">
        <v>9</v>
      </c>
      <c r="C41" s="49" t="s">
        <v>13</v>
      </c>
      <c r="D41" s="49" t="s">
        <v>14</v>
      </c>
      <c r="E41" s="49" t="s">
        <v>15</v>
      </c>
      <c r="F41" s="49" t="s">
        <v>16</v>
      </c>
      <c r="G41" s="49" t="s">
        <v>17</v>
      </c>
      <c r="J41" s="49" t="s">
        <v>9</v>
      </c>
      <c r="K41" s="49" t="s">
        <v>13</v>
      </c>
      <c r="L41" s="49" t="s">
        <v>14</v>
      </c>
      <c r="M41" s="49" t="s">
        <v>15</v>
      </c>
      <c r="N41" s="49" t="s">
        <v>16</v>
      </c>
      <c r="O41" s="49" t="s">
        <v>17</v>
      </c>
      <c r="R41" s="49" t="s">
        <v>9</v>
      </c>
      <c r="S41" s="49" t="s">
        <v>13</v>
      </c>
      <c r="T41" s="49" t="s">
        <v>14</v>
      </c>
      <c r="U41" s="49" t="s">
        <v>15</v>
      </c>
      <c r="V41" s="49" t="s">
        <v>16</v>
      </c>
      <c r="W41" s="49" t="s">
        <v>17</v>
      </c>
      <c r="Z41" s="49" t="s">
        <v>9</v>
      </c>
      <c r="AA41" s="49" t="s">
        <v>13</v>
      </c>
      <c r="AB41" s="49" t="s">
        <v>14</v>
      </c>
      <c r="AC41" s="49" t="s">
        <v>15</v>
      </c>
      <c r="AD41" s="49" t="s">
        <v>16</v>
      </c>
      <c r="AE41" s="49" t="s">
        <v>17</v>
      </c>
      <c r="AF41" s="64"/>
      <c r="AH41" s="49" t="s">
        <v>9</v>
      </c>
      <c r="AI41" s="49" t="s">
        <v>13</v>
      </c>
      <c r="AJ41" s="49" t="s">
        <v>14</v>
      </c>
      <c r="AK41" s="49" t="s">
        <v>15</v>
      </c>
      <c r="AL41" s="49" t="s">
        <v>16</v>
      </c>
      <c r="AM41" s="49" t="s">
        <v>17</v>
      </c>
      <c r="AP41" s="49" t="s">
        <v>9</v>
      </c>
      <c r="AQ41" s="49" t="s">
        <v>13</v>
      </c>
      <c r="AR41" s="49" t="s">
        <v>14</v>
      </c>
      <c r="AS41" s="49" t="s">
        <v>15</v>
      </c>
      <c r="AT41" s="49" t="s">
        <v>16</v>
      </c>
      <c r="AU41" s="49" t="s">
        <v>17</v>
      </c>
      <c r="AV41" s="64"/>
      <c r="AW41" s="64"/>
    </row>
    <row r="42" spans="1:50" x14ac:dyDescent="0.25">
      <c r="B42" s="65">
        <v>1</v>
      </c>
      <c r="C42" s="50">
        <v>7.5463045801642696</v>
      </c>
      <c r="D42" s="50">
        <v>5.0544675421361198</v>
      </c>
      <c r="E42" s="50">
        <v>2.2659639520399</v>
      </c>
      <c r="F42" s="50">
        <v>5.1246432256533501</v>
      </c>
      <c r="G42" s="50">
        <v>2.7110582512377102</v>
      </c>
      <c r="J42" s="65">
        <v>1</v>
      </c>
      <c r="K42" s="50">
        <v>7.45739183824909</v>
      </c>
      <c r="L42" s="50">
        <v>5.0814856705989202</v>
      </c>
      <c r="M42" s="50">
        <v>2.2536580088853402</v>
      </c>
      <c r="N42" s="50">
        <v>5.1260716589986899</v>
      </c>
      <c r="O42" s="50">
        <v>2.7625805994459398</v>
      </c>
      <c r="R42" s="65">
        <v>1</v>
      </c>
      <c r="S42" s="50">
        <v>7.7142454577902804</v>
      </c>
      <c r="T42" s="50">
        <v>5.1017420415319101</v>
      </c>
      <c r="U42" s="50">
        <v>2.2979621494624198</v>
      </c>
      <c r="V42" s="50">
        <v>5.1190070065599498</v>
      </c>
      <c r="W42" s="50">
        <v>2.72979423704622</v>
      </c>
      <c r="Z42" s="65">
        <v>1</v>
      </c>
      <c r="AA42" s="50">
        <v>8.1886894984541598</v>
      </c>
      <c r="AB42" s="50">
        <v>4.9817634446648604</v>
      </c>
      <c r="AC42" s="50">
        <v>2.3247825607860899</v>
      </c>
      <c r="AD42" s="50">
        <v>5.20893473035715</v>
      </c>
      <c r="AE42" s="50">
        <v>2.5488906971022902</v>
      </c>
      <c r="AH42" s="65">
        <v>1</v>
      </c>
      <c r="AI42" s="50">
        <v>7.3736026967557198</v>
      </c>
      <c r="AJ42" s="50">
        <v>4.9347307625081003</v>
      </c>
      <c r="AK42" s="50">
        <v>2.2054130879359302</v>
      </c>
      <c r="AL42" s="50">
        <v>5.0535716461479003</v>
      </c>
      <c r="AM42" s="50">
        <v>2.5563021000716102</v>
      </c>
      <c r="AP42" s="65">
        <f t="shared" ref="AP42:AP53" si="0">B42</f>
        <v>1</v>
      </c>
      <c r="AQ42" s="50">
        <f t="shared" ref="AQ42:AU53" si="1">AVERAGE(C42,K42,S42,AA42,AI42)</f>
        <v>7.6560468142827034</v>
      </c>
      <c r="AR42" s="50">
        <f t="shared" si="1"/>
        <v>5.0308378922879822</v>
      </c>
      <c r="AS42" s="50">
        <f t="shared" si="1"/>
        <v>2.2695559518219364</v>
      </c>
      <c r="AT42" s="50">
        <f t="shared" si="1"/>
        <v>5.1264456535434082</v>
      </c>
      <c r="AU42" s="50">
        <f t="shared" si="1"/>
        <v>2.6617251769807542</v>
      </c>
      <c r="AV42" s="66"/>
      <c r="AW42" s="66"/>
    </row>
    <row r="43" spans="1:50" x14ac:dyDescent="0.25">
      <c r="B43" s="65">
        <v>2</v>
      </c>
      <c r="C43" s="50">
        <v>4.7892911240912701</v>
      </c>
      <c r="D43" s="50">
        <v>4.0004182855084096</v>
      </c>
      <c r="E43" s="50">
        <v>1.4931598474880401</v>
      </c>
      <c r="F43" s="50">
        <v>5.2874078287708901</v>
      </c>
      <c r="G43" s="50">
        <v>2.53896014881748</v>
      </c>
      <c r="J43" s="65">
        <v>2</v>
      </c>
      <c r="K43" s="50">
        <v>4.6815550183034196</v>
      </c>
      <c r="L43" s="50">
        <v>3.9907071662990901</v>
      </c>
      <c r="M43" s="50">
        <v>1.47189852396384</v>
      </c>
      <c r="N43" s="50">
        <v>5.0111983405640004</v>
      </c>
      <c r="O43" s="50">
        <v>2.5307635082697599</v>
      </c>
      <c r="R43" s="65">
        <v>2</v>
      </c>
      <c r="S43" s="50">
        <v>4.4540439656703699</v>
      </c>
      <c r="T43" s="50">
        <v>3.8013670511054101</v>
      </c>
      <c r="U43" s="50">
        <v>1.3359599157734501</v>
      </c>
      <c r="V43" s="50">
        <v>4.8197268552994101</v>
      </c>
      <c r="W43" s="50">
        <v>2.25017754942751</v>
      </c>
      <c r="Z43" s="65">
        <v>2</v>
      </c>
      <c r="AA43" s="50">
        <v>4.6032541535020801</v>
      </c>
      <c r="AB43" s="50">
        <v>3.8129659277671402</v>
      </c>
      <c r="AC43" s="50">
        <v>1.42316614807749</v>
      </c>
      <c r="AD43" s="50">
        <v>4.9059142937638098</v>
      </c>
      <c r="AE43" s="50">
        <v>2.2536988149099701</v>
      </c>
      <c r="AH43" s="65">
        <v>2</v>
      </c>
      <c r="AI43" s="50">
        <v>4.3484216482536597</v>
      </c>
      <c r="AJ43" s="50">
        <v>3.7956470512916098</v>
      </c>
      <c r="AK43" s="50">
        <v>1.2630576116596599</v>
      </c>
      <c r="AL43" s="50">
        <v>4.94495118626826</v>
      </c>
      <c r="AM43" s="50">
        <v>2.2457889944852099</v>
      </c>
      <c r="AP43" s="65">
        <f t="shared" si="0"/>
        <v>2</v>
      </c>
      <c r="AQ43" s="50">
        <f t="shared" si="1"/>
        <v>4.5753131819641606</v>
      </c>
      <c r="AR43" s="50">
        <f t="shared" si="1"/>
        <v>3.8802210963943322</v>
      </c>
      <c r="AS43" s="50">
        <f t="shared" si="1"/>
        <v>1.3974484093924959</v>
      </c>
      <c r="AT43" s="50">
        <f t="shared" si="1"/>
        <v>4.9938397009332736</v>
      </c>
      <c r="AU43" s="50">
        <f t="shared" si="1"/>
        <v>2.3638778031819863</v>
      </c>
      <c r="AV43" s="66"/>
      <c r="AW43" s="66"/>
    </row>
    <row r="44" spans="1:50" x14ac:dyDescent="0.25">
      <c r="B44" s="65">
        <v>3</v>
      </c>
      <c r="C44" s="50">
        <v>6.2859372885853002</v>
      </c>
      <c r="D44" s="50">
        <v>3.6471303642111401</v>
      </c>
      <c r="E44" s="50">
        <v>1.44665663417054</v>
      </c>
      <c r="F44" s="50">
        <v>5.3226961682621603</v>
      </c>
      <c r="G44" s="50">
        <v>2.0612890472796201</v>
      </c>
      <c r="J44" s="65">
        <v>3</v>
      </c>
      <c r="K44" s="50">
        <v>6.3969547499502699</v>
      </c>
      <c r="L44" s="50">
        <v>3.7031789949641101</v>
      </c>
      <c r="M44" s="50">
        <v>1.55667250290274</v>
      </c>
      <c r="N44" s="50">
        <v>5.3661970486432304</v>
      </c>
      <c r="O44" s="50">
        <v>2.1647831749769302</v>
      </c>
      <c r="R44" s="65">
        <v>3</v>
      </c>
      <c r="S44" s="50">
        <v>4.5468288999914996</v>
      </c>
      <c r="T44" s="50">
        <v>3.2814311299632202</v>
      </c>
      <c r="U44" s="50">
        <v>1.0146987493505799</v>
      </c>
      <c r="V44" s="50">
        <v>4.9044993328517004</v>
      </c>
      <c r="W44" s="50">
        <v>1.7790224787940301</v>
      </c>
      <c r="Z44" s="65">
        <v>3</v>
      </c>
      <c r="AA44" s="50">
        <v>5.5801770014058301</v>
      </c>
      <c r="AB44" s="50">
        <v>3.48427052830692</v>
      </c>
      <c r="AC44" s="50">
        <v>1.35728200080543</v>
      </c>
      <c r="AD44" s="50">
        <v>5.0899551655650397</v>
      </c>
      <c r="AE44" s="50">
        <v>1.9256141844663199</v>
      </c>
      <c r="AH44" s="65">
        <v>3</v>
      </c>
      <c r="AI44" s="50">
        <v>6.2320597704375604</v>
      </c>
      <c r="AJ44" s="50">
        <v>3.62698423247594</v>
      </c>
      <c r="AK44" s="50">
        <v>1.42368086828526</v>
      </c>
      <c r="AL44" s="50">
        <v>5.3009162843028799</v>
      </c>
      <c r="AM44" s="50">
        <v>2.0488633211007299</v>
      </c>
      <c r="AP44" s="65">
        <f t="shared" ref="AP44:AP53" si="2">B44</f>
        <v>3</v>
      </c>
      <c r="AQ44" s="50">
        <f t="shared" ref="AQ44:AQ53" si="3">AVERAGE(C44,K44,S44,AA44,AI44)</f>
        <v>5.8083915420740926</v>
      </c>
      <c r="AR44" s="50">
        <f t="shared" ref="AR44:AR53" si="4">AVERAGE(D44,L44,T44,AB44,AJ44)</f>
        <v>3.5485990499842663</v>
      </c>
      <c r="AS44" s="50">
        <f t="shared" ref="AS44:AS53" si="5">AVERAGE(E44,M44,U44,AC44,AK44)</f>
        <v>1.3597981511029098</v>
      </c>
      <c r="AT44" s="50">
        <f t="shared" ref="AT44:AT53" si="6">AVERAGE(F44,N44,V44,AD44,AL44)</f>
        <v>5.1968527999250025</v>
      </c>
      <c r="AU44" s="50">
        <f t="shared" ref="AU44:AU53" si="7">AVERAGE(G44,O44,W44,AE44,AM44)</f>
        <v>1.9959144413235261</v>
      </c>
      <c r="AV44" s="66"/>
      <c r="AW44" s="66"/>
    </row>
    <row r="45" spans="1:50" x14ac:dyDescent="0.25">
      <c r="B45" s="65">
        <v>4</v>
      </c>
      <c r="C45" s="50">
        <v>6.8020662152175202</v>
      </c>
      <c r="D45" s="50">
        <v>4.6610682593178998</v>
      </c>
      <c r="E45" s="50">
        <v>1.6675031890631999</v>
      </c>
      <c r="F45" s="50">
        <v>5.3851198516246201</v>
      </c>
      <c r="G45" s="50">
        <v>3.0078141684938302</v>
      </c>
      <c r="J45" s="65">
        <v>4</v>
      </c>
      <c r="K45" s="50">
        <v>7.01702616064388</v>
      </c>
      <c r="L45" s="50">
        <v>5.0011131688721902</v>
      </c>
      <c r="M45" s="50">
        <v>1.7817564000391</v>
      </c>
      <c r="N45" s="50">
        <v>5.6709371483251401</v>
      </c>
      <c r="O45" s="50">
        <v>3.26741016048071</v>
      </c>
      <c r="R45" s="65">
        <v>4</v>
      </c>
      <c r="S45" s="50">
        <v>6.7139161451583202</v>
      </c>
      <c r="T45" s="50">
        <v>4.4019652572370003</v>
      </c>
      <c r="U45" s="50">
        <v>1.6615736888139601</v>
      </c>
      <c r="V45" s="50">
        <v>5.2545712353975</v>
      </c>
      <c r="W45" s="50">
        <v>2.85198522426019</v>
      </c>
      <c r="Z45" s="65">
        <v>4</v>
      </c>
      <c r="AA45" s="50">
        <v>6.6402481938731199</v>
      </c>
      <c r="AB45" s="50">
        <v>4.3208225575161698</v>
      </c>
      <c r="AC45" s="50">
        <v>1.73000895702845</v>
      </c>
      <c r="AD45" s="50">
        <v>5.1774780207546298</v>
      </c>
      <c r="AE45" s="50">
        <v>2.8191587548428299</v>
      </c>
      <c r="AH45" s="65">
        <v>4</v>
      </c>
      <c r="AI45" s="50">
        <v>6.8192630398969403</v>
      </c>
      <c r="AJ45" s="50">
        <v>4.6835786294835504</v>
      </c>
      <c r="AK45" s="50">
        <v>1.67276237737671</v>
      </c>
      <c r="AL45" s="50">
        <v>5.4110954144294796</v>
      </c>
      <c r="AM45" s="50">
        <v>2.9848197204314801</v>
      </c>
      <c r="AP45" s="65">
        <f t="shared" si="2"/>
        <v>4</v>
      </c>
      <c r="AQ45" s="50">
        <f t="shared" si="3"/>
        <v>6.7985039509579561</v>
      </c>
      <c r="AR45" s="50">
        <f t="shared" si="4"/>
        <v>4.6137095744853625</v>
      </c>
      <c r="AS45" s="50">
        <f t="shared" si="5"/>
        <v>1.7027209224642839</v>
      </c>
      <c r="AT45" s="50">
        <f t="shared" si="6"/>
        <v>5.3798403341062739</v>
      </c>
      <c r="AU45" s="50">
        <f t="shared" si="7"/>
        <v>2.9862376057018079</v>
      </c>
      <c r="AV45" s="66"/>
      <c r="AW45" s="66"/>
    </row>
    <row r="46" spans="1:50" x14ac:dyDescent="0.25">
      <c r="B46" s="65">
        <v>5</v>
      </c>
      <c r="C46" s="50">
        <v>7.0314124717298698</v>
      </c>
      <c r="D46" s="50">
        <v>3.9367432824012001</v>
      </c>
      <c r="E46" s="50">
        <v>1.50238246875028</v>
      </c>
      <c r="F46" s="50">
        <v>4.6999043892149404</v>
      </c>
      <c r="G46" s="50">
        <v>2.2815588771415598</v>
      </c>
      <c r="J46" s="65">
        <v>5</v>
      </c>
      <c r="K46" s="50">
        <v>7.2054872603656799</v>
      </c>
      <c r="L46" s="50">
        <v>4.0691367971576504</v>
      </c>
      <c r="M46" s="50">
        <v>1.71647550519973</v>
      </c>
      <c r="N46" s="50">
        <v>4.7596931988794404</v>
      </c>
      <c r="O46" s="50">
        <v>2.4586858116801702</v>
      </c>
      <c r="R46" s="65">
        <v>5</v>
      </c>
      <c r="S46" s="50">
        <v>7.4794547321059204</v>
      </c>
      <c r="T46" s="50">
        <v>4.1368764478653697</v>
      </c>
      <c r="U46" s="50">
        <v>1.7340005484904599</v>
      </c>
      <c r="V46" s="50">
        <v>4.6540606887210902</v>
      </c>
      <c r="W46" s="50">
        <v>2.5044677300534901</v>
      </c>
      <c r="Z46" s="65">
        <v>5</v>
      </c>
      <c r="AA46" s="50">
        <v>7.6565312271813601</v>
      </c>
      <c r="AB46" s="50">
        <v>4.2812107782233504</v>
      </c>
      <c r="AC46" s="50">
        <v>1.8120901669125999</v>
      </c>
      <c r="AD46" s="50">
        <v>4.7825760001732904</v>
      </c>
      <c r="AE46" s="50">
        <v>2.6353813130049701</v>
      </c>
      <c r="AH46" s="65">
        <v>5</v>
      </c>
      <c r="AI46" s="50">
        <v>7.0029402047889002</v>
      </c>
      <c r="AJ46" s="50">
        <v>3.9015582554242698</v>
      </c>
      <c r="AK46" s="50">
        <v>1.52739617341486</v>
      </c>
      <c r="AL46" s="50">
        <v>4.5741089144271303</v>
      </c>
      <c r="AM46" s="50">
        <v>2.27762279032132</v>
      </c>
      <c r="AP46" s="65">
        <f t="shared" si="2"/>
        <v>5</v>
      </c>
      <c r="AQ46" s="50">
        <f t="shared" si="3"/>
        <v>7.2751651792343468</v>
      </c>
      <c r="AR46" s="50">
        <f t="shared" si="4"/>
        <v>4.0651051122143675</v>
      </c>
      <c r="AS46" s="50">
        <f t="shared" si="5"/>
        <v>1.6584689725535859</v>
      </c>
      <c r="AT46" s="50">
        <f t="shared" si="6"/>
        <v>4.6940686382831789</v>
      </c>
      <c r="AU46" s="50">
        <f t="shared" si="7"/>
        <v>2.4315433044403023</v>
      </c>
      <c r="AV46" s="66"/>
      <c r="AW46" s="66"/>
    </row>
    <row r="47" spans="1:50" x14ac:dyDescent="0.25">
      <c r="B47" s="65">
        <v>7</v>
      </c>
      <c r="C47" s="50">
        <v>7.5106436967752304</v>
      </c>
      <c r="D47" s="50">
        <v>4.1980995643492998</v>
      </c>
      <c r="E47" s="50">
        <v>1.6294629888429</v>
      </c>
      <c r="F47" s="50">
        <v>4.8059846640661004</v>
      </c>
      <c r="G47" s="50">
        <v>2.5734719363265199</v>
      </c>
      <c r="J47" s="65">
        <v>7</v>
      </c>
      <c r="K47" s="50">
        <v>7.6064976553363497</v>
      </c>
      <c r="L47" s="50">
        <v>4.3286214214071403</v>
      </c>
      <c r="M47" s="50">
        <v>1.7108416984881101</v>
      </c>
      <c r="N47" s="50">
        <v>5.00097645236107</v>
      </c>
      <c r="O47" s="50">
        <v>2.71328884250633</v>
      </c>
      <c r="R47" s="65">
        <v>7</v>
      </c>
      <c r="S47" s="50">
        <v>7.5928100839499804</v>
      </c>
      <c r="T47" s="50">
        <v>4.2568737359351001</v>
      </c>
      <c r="U47" s="50">
        <v>1.6309335736264201</v>
      </c>
      <c r="V47" s="50">
        <v>4.8290368563141097</v>
      </c>
      <c r="W47" s="50">
        <v>2.6304548099914502</v>
      </c>
      <c r="Z47" s="65">
        <v>7</v>
      </c>
      <c r="AA47" s="50">
        <v>7.6554855321675301</v>
      </c>
      <c r="AB47" s="50">
        <v>4.41167411101409</v>
      </c>
      <c r="AC47" s="50">
        <v>1.6398555763520699</v>
      </c>
      <c r="AD47" s="50">
        <v>4.8706961138769502</v>
      </c>
      <c r="AE47" s="50">
        <v>2.7604634225398099</v>
      </c>
      <c r="AH47" s="65">
        <v>7</v>
      </c>
      <c r="AI47" s="50">
        <v>7.45641507175859</v>
      </c>
      <c r="AJ47" s="50">
        <v>4.14305552177309</v>
      </c>
      <c r="AK47" s="50">
        <v>1.6006525788546</v>
      </c>
      <c r="AL47" s="50">
        <v>4.7572225743618803</v>
      </c>
      <c r="AM47" s="50">
        <v>2.5440895667752099</v>
      </c>
      <c r="AP47" s="65">
        <f t="shared" si="2"/>
        <v>7</v>
      </c>
      <c r="AQ47" s="50">
        <f t="shared" si="3"/>
        <v>7.5643704079975365</v>
      </c>
      <c r="AR47" s="50">
        <f t="shared" si="4"/>
        <v>4.2676648708957439</v>
      </c>
      <c r="AS47" s="50">
        <f t="shared" si="5"/>
        <v>1.6423492832328201</v>
      </c>
      <c r="AT47" s="50">
        <f t="shared" si="6"/>
        <v>4.8527833321960223</v>
      </c>
      <c r="AU47" s="50">
        <f t="shared" si="7"/>
        <v>2.6443537156278638</v>
      </c>
      <c r="AV47" s="66"/>
      <c r="AW47" s="66"/>
    </row>
    <row r="48" spans="1:50" x14ac:dyDescent="0.25">
      <c r="B48" s="65">
        <v>8</v>
      </c>
      <c r="C48" s="50">
        <v>7.0212930149410404</v>
      </c>
      <c r="D48" s="50">
        <v>3.8414568962398699</v>
      </c>
      <c r="E48" s="50">
        <v>1.45489531380759</v>
      </c>
      <c r="F48" s="50">
        <v>4.66865124700844</v>
      </c>
      <c r="G48" s="50">
        <v>2.2038211292686198</v>
      </c>
      <c r="J48" s="65">
        <v>8</v>
      </c>
      <c r="K48" s="50">
        <v>7.2142180149905899</v>
      </c>
      <c r="L48" s="50">
        <v>3.98187384815142</v>
      </c>
      <c r="M48" s="50">
        <v>1.6619099285751699</v>
      </c>
      <c r="N48" s="50">
        <v>4.7811796968393203</v>
      </c>
      <c r="O48" s="50">
        <v>2.3852980123955101</v>
      </c>
      <c r="R48" s="65">
        <v>8</v>
      </c>
      <c r="S48" s="50">
        <v>7.2401501156695396</v>
      </c>
      <c r="T48" s="50">
        <v>3.96555189907314</v>
      </c>
      <c r="U48" s="50">
        <v>1.6824920983931899</v>
      </c>
      <c r="V48" s="50">
        <v>4.5828243287305801</v>
      </c>
      <c r="W48" s="50">
        <v>2.37829711575456</v>
      </c>
      <c r="Z48" s="65">
        <v>8</v>
      </c>
      <c r="AA48" s="50">
        <v>7.4555779776624496</v>
      </c>
      <c r="AB48" s="50">
        <v>4.10351932866255</v>
      </c>
      <c r="AC48" s="50">
        <v>1.76622955444277</v>
      </c>
      <c r="AD48" s="50">
        <v>4.7021280366186904</v>
      </c>
      <c r="AE48" s="50">
        <v>2.5109879724342399</v>
      </c>
      <c r="AH48" s="65">
        <v>8</v>
      </c>
      <c r="AI48" s="50">
        <v>7.02435816973514</v>
      </c>
      <c r="AJ48" s="50">
        <v>3.82744111400631</v>
      </c>
      <c r="AK48" s="50">
        <v>1.46006992466971</v>
      </c>
      <c r="AL48" s="50">
        <v>4.5733367605360096</v>
      </c>
      <c r="AM48" s="50">
        <v>2.20728605773161</v>
      </c>
      <c r="AP48" s="65">
        <f t="shared" si="2"/>
        <v>8</v>
      </c>
      <c r="AQ48" s="50">
        <f t="shared" si="3"/>
        <v>7.1911194585997524</v>
      </c>
      <c r="AR48" s="50">
        <f t="shared" si="4"/>
        <v>3.9439686172266577</v>
      </c>
      <c r="AS48" s="50">
        <f t="shared" si="5"/>
        <v>1.605119363977686</v>
      </c>
      <c r="AT48" s="50">
        <f t="shared" si="6"/>
        <v>4.661624013946609</v>
      </c>
      <c r="AU48" s="50">
        <f t="shared" si="7"/>
        <v>2.3371380575169076</v>
      </c>
      <c r="AV48" s="66"/>
      <c r="AW48" s="66"/>
    </row>
    <row r="49" spans="2:49" x14ac:dyDescent="0.25">
      <c r="B49" s="65">
        <v>9</v>
      </c>
      <c r="C49" s="50">
        <v>6.9997879259990201</v>
      </c>
      <c r="D49" s="50">
        <v>5.6054820453586203</v>
      </c>
      <c r="E49" s="50">
        <v>2.6115591347651002</v>
      </c>
      <c r="F49" s="50">
        <v>5.1587553784610103</v>
      </c>
      <c r="G49" s="50">
        <v>3.0311902456527902</v>
      </c>
      <c r="J49" s="65">
        <v>9</v>
      </c>
      <c r="K49" s="50">
        <v>7.4657046561450997</v>
      </c>
      <c r="L49" s="50">
        <v>5.8572171564130597</v>
      </c>
      <c r="M49" s="50">
        <v>2.9749252342714199</v>
      </c>
      <c r="N49" s="50">
        <v>5.6005876246807702</v>
      </c>
      <c r="O49" s="50">
        <v>3.29299333822624</v>
      </c>
      <c r="R49" s="65">
        <v>9</v>
      </c>
      <c r="S49" s="50">
        <v>7.2276369284935704</v>
      </c>
      <c r="T49" s="50">
        <v>5.6874188668721901</v>
      </c>
      <c r="U49" s="50">
        <v>2.8148692350623201</v>
      </c>
      <c r="V49" s="50">
        <v>5.3615524282056199</v>
      </c>
      <c r="W49" s="50">
        <v>3.1374471569458602</v>
      </c>
      <c r="Z49" s="65">
        <v>9</v>
      </c>
      <c r="AA49" s="50">
        <v>7.5196329697592699</v>
      </c>
      <c r="AB49" s="50">
        <v>5.8835786654206101</v>
      </c>
      <c r="AC49" s="50">
        <v>2.9366988376782599</v>
      </c>
      <c r="AD49" s="50">
        <v>5.7180467331389098</v>
      </c>
      <c r="AE49" s="50">
        <v>3.3041448443767401</v>
      </c>
      <c r="AH49" s="65">
        <v>9</v>
      </c>
      <c r="AI49" s="50">
        <v>7.0667508773072401</v>
      </c>
      <c r="AJ49" s="50">
        <v>5.6774012040102297</v>
      </c>
      <c r="AK49" s="50">
        <v>2.78772509991119</v>
      </c>
      <c r="AL49" s="50">
        <v>5.05718758096386</v>
      </c>
      <c r="AM49" s="50">
        <v>3.2070789760798801</v>
      </c>
      <c r="AP49" s="65">
        <f t="shared" si="2"/>
        <v>9</v>
      </c>
      <c r="AQ49" s="50">
        <f t="shared" si="3"/>
        <v>7.2559026715408406</v>
      </c>
      <c r="AR49" s="50">
        <f t="shared" si="4"/>
        <v>5.742219587614942</v>
      </c>
      <c r="AS49" s="50">
        <f t="shared" si="5"/>
        <v>2.8251555083376583</v>
      </c>
      <c r="AT49" s="50">
        <f t="shared" si="6"/>
        <v>5.3792259490900332</v>
      </c>
      <c r="AU49" s="50">
        <f t="shared" si="7"/>
        <v>3.1945709122563022</v>
      </c>
      <c r="AV49" s="66"/>
      <c r="AW49" s="66"/>
    </row>
    <row r="50" spans="2:49" x14ac:dyDescent="0.25">
      <c r="B50" s="65">
        <v>10</v>
      </c>
      <c r="C50" s="50">
        <v>7.5299329500298597</v>
      </c>
      <c r="D50" s="50">
        <v>5.5344176475720399</v>
      </c>
      <c r="E50" s="50">
        <v>2.59047516903646</v>
      </c>
      <c r="F50" s="50">
        <v>5.4527341640259799</v>
      </c>
      <c r="G50" s="50">
        <v>2.9522091857920101</v>
      </c>
      <c r="J50" s="65">
        <v>10</v>
      </c>
      <c r="K50" s="50">
        <v>8.1908056305842702</v>
      </c>
      <c r="L50" s="50">
        <v>6.0764101400194397</v>
      </c>
      <c r="M50" s="50">
        <v>3.03984588179121</v>
      </c>
      <c r="N50" s="50">
        <v>6.0428536616860704</v>
      </c>
      <c r="O50" s="50">
        <v>3.29518065090538</v>
      </c>
      <c r="R50" s="65">
        <v>10</v>
      </c>
      <c r="S50" s="50">
        <v>7.7799778512278399</v>
      </c>
      <c r="T50" s="50">
        <v>5.8646540065525201</v>
      </c>
      <c r="U50" s="50">
        <v>2.7950787637156398</v>
      </c>
      <c r="V50" s="50">
        <v>5.6556365843231999</v>
      </c>
      <c r="W50" s="50">
        <v>3.1096709704929899</v>
      </c>
      <c r="Z50" s="65">
        <v>10</v>
      </c>
      <c r="AA50" s="50">
        <v>8.1515746723277296</v>
      </c>
      <c r="AB50" s="50">
        <v>6.13315511366077</v>
      </c>
      <c r="AC50" s="50">
        <v>3.0085921169288099</v>
      </c>
      <c r="AD50" s="50">
        <v>6.10053426005073</v>
      </c>
      <c r="AE50" s="50">
        <v>3.2630343226168801</v>
      </c>
      <c r="AH50" s="65">
        <v>10</v>
      </c>
      <c r="AI50" s="50">
        <v>7.5424150379367099</v>
      </c>
      <c r="AJ50" s="50">
        <v>5.5925931179415196</v>
      </c>
      <c r="AK50" s="50">
        <v>2.6289482304960798</v>
      </c>
      <c r="AL50" s="50">
        <v>5.4930129759119204</v>
      </c>
      <c r="AM50" s="50">
        <v>3.0875161636105499</v>
      </c>
      <c r="AP50" s="65">
        <f t="shared" si="2"/>
        <v>10</v>
      </c>
      <c r="AQ50" s="50">
        <f t="shared" si="3"/>
        <v>7.838941228421282</v>
      </c>
      <c r="AR50" s="50">
        <f t="shared" si="4"/>
        <v>5.8402460051492575</v>
      </c>
      <c r="AS50" s="50">
        <f t="shared" si="5"/>
        <v>2.8125880323936401</v>
      </c>
      <c r="AT50" s="50">
        <f t="shared" si="6"/>
        <v>5.7489543291995799</v>
      </c>
      <c r="AU50" s="50">
        <f t="shared" si="7"/>
        <v>3.1415222586835623</v>
      </c>
      <c r="AV50" s="66"/>
      <c r="AW50" s="66"/>
    </row>
    <row r="51" spans="2:49" x14ac:dyDescent="0.25">
      <c r="B51" s="65">
        <v>11</v>
      </c>
      <c r="C51" s="50">
        <v>6.5605316548035404</v>
      </c>
      <c r="D51" s="50">
        <v>4.8033952094647097</v>
      </c>
      <c r="E51" s="50">
        <v>2.3067419834558902</v>
      </c>
      <c r="F51" s="50">
        <v>5.1662400419766401</v>
      </c>
      <c r="G51" s="50">
        <v>2.8502524991292701</v>
      </c>
      <c r="J51" s="65">
        <v>11</v>
      </c>
      <c r="K51" s="50">
        <v>7.5492402487527803</v>
      </c>
      <c r="L51" s="50">
        <v>5.3182432918039</v>
      </c>
      <c r="M51" s="50">
        <v>2.53554827741497</v>
      </c>
      <c r="N51" s="50">
        <v>5.65110601662471</v>
      </c>
      <c r="O51" s="50">
        <v>3.2964788201054298</v>
      </c>
      <c r="R51" s="65">
        <v>11</v>
      </c>
      <c r="S51" s="50">
        <v>6.6394734973164198</v>
      </c>
      <c r="T51" s="50">
        <v>4.78396491709288</v>
      </c>
      <c r="U51" s="50">
        <v>2.2920712113264599</v>
      </c>
      <c r="V51" s="50">
        <v>5.1997362155862898</v>
      </c>
      <c r="W51" s="50">
        <v>2.8356762399233801</v>
      </c>
      <c r="Z51" s="65">
        <v>11</v>
      </c>
      <c r="AA51" s="50">
        <v>6.4897712076229199</v>
      </c>
      <c r="AB51" s="50">
        <v>4.72105888459925</v>
      </c>
      <c r="AC51" s="50">
        <v>2.2467901016069902</v>
      </c>
      <c r="AD51" s="50">
        <v>5.2419977536227798</v>
      </c>
      <c r="AE51" s="50">
        <v>2.8534150471630602</v>
      </c>
      <c r="AH51" s="65">
        <v>11</v>
      </c>
      <c r="AI51" s="50">
        <v>6.7815547039208104</v>
      </c>
      <c r="AJ51" s="50">
        <v>4.9809328129234496</v>
      </c>
      <c r="AK51" s="50">
        <v>2.4442155470933198</v>
      </c>
      <c r="AL51" s="50">
        <v>5.1227597123114696</v>
      </c>
      <c r="AM51" s="50">
        <v>3.0333788165092499</v>
      </c>
      <c r="AP51" s="65">
        <f t="shared" si="2"/>
        <v>11</v>
      </c>
      <c r="AQ51" s="50">
        <f t="shared" si="3"/>
        <v>6.804114262483294</v>
      </c>
      <c r="AR51" s="50">
        <f t="shared" si="4"/>
        <v>4.9215190231768373</v>
      </c>
      <c r="AS51" s="50">
        <f t="shared" si="5"/>
        <v>2.3650734241795259</v>
      </c>
      <c r="AT51" s="50">
        <f t="shared" si="6"/>
        <v>5.2763679480243777</v>
      </c>
      <c r="AU51" s="50">
        <f t="shared" si="7"/>
        <v>2.9738402845660783</v>
      </c>
      <c r="AV51" s="66"/>
      <c r="AW51" s="66"/>
    </row>
    <row r="52" spans="2:49" x14ac:dyDescent="0.25">
      <c r="B52" s="65">
        <v>12</v>
      </c>
      <c r="C52" s="50">
        <v>8.0657587520951992</v>
      </c>
      <c r="D52" s="50">
        <v>6.2944009898155899</v>
      </c>
      <c r="E52" s="50">
        <v>3.1530144483474101</v>
      </c>
      <c r="F52" s="50">
        <v>6.4790267027557498</v>
      </c>
      <c r="G52" s="50">
        <v>3.77073744558417</v>
      </c>
      <c r="J52" s="65">
        <v>12</v>
      </c>
      <c r="K52" s="50">
        <v>9.0867053090396102</v>
      </c>
      <c r="L52" s="50">
        <v>6.8391949428149603</v>
      </c>
      <c r="M52" s="50">
        <v>3.4077388463356302</v>
      </c>
      <c r="N52" s="50">
        <v>6.5770322649808604</v>
      </c>
      <c r="O52" s="50">
        <v>4.1923062778936098</v>
      </c>
      <c r="R52" s="65">
        <v>12</v>
      </c>
      <c r="S52" s="50">
        <v>8.0454964597373504</v>
      </c>
      <c r="T52" s="50">
        <v>6.2412545017255701</v>
      </c>
      <c r="U52" s="50">
        <v>3.1060995497950898</v>
      </c>
      <c r="V52" s="50">
        <v>6.7008839469347601</v>
      </c>
      <c r="W52" s="50">
        <v>3.78543827462819</v>
      </c>
      <c r="Z52" s="65">
        <v>12</v>
      </c>
      <c r="AA52" s="50">
        <v>8.2474858557064294</v>
      </c>
      <c r="AB52" s="50">
        <v>6.3415664373840901</v>
      </c>
      <c r="AC52" s="50">
        <v>3.2487501601601401</v>
      </c>
      <c r="AD52" s="50">
        <v>7.4233881452228596</v>
      </c>
      <c r="AE52" s="50">
        <v>3.90894876298578</v>
      </c>
      <c r="AH52" s="65">
        <v>12</v>
      </c>
      <c r="AI52" s="50">
        <v>8.5106208561381802</v>
      </c>
      <c r="AJ52" s="50">
        <v>6.4715122903694899</v>
      </c>
      <c r="AK52" s="50">
        <v>3.2370119168045899</v>
      </c>
      <c r="AL52" s="50">
        <v>6.3038298114971001</v>
      </c>
      <c r="AM52" s="50">
        <v>3.9263593298748201</v>
      </c>
      <c r="AP52" s="65">
        <f t="shared" si="2"/>
        <v>12</v>
      </c>
      <c r="AQ52" s="50">
        <f t="shared" si="3"/>
        <v>8.3912134465433539</v>
      </c>
      <c r="AR52" s="50">
        <f t="shared" si="4"/>
        <v>6.4375858324219397</v>
      </c>
      <c r="AS52" s="50">
        <f t="shared" si="5"/>
        <v>3.2305229842885721</v>
      </c>
      <c r="AT52" s="50">
        <f t="shared" si="6"/>
        <v>6.6968321742782662</v>
      </c>
      <c r="AU52" s="50">
        <f t="shared" si="7"/>
        <v>3.9167580181933142</v>
      </c>
      <c r="AV52" s="66"/>
      <c r="AW52" s="66"/>
    </row>
    <row r="53" spans="2:49" x14ac:dyDescent="0.25">
      <c r="B53" s="65">
        <v>13</v>
      </c>
      <c r="C53" s="50">
        <v>8.3965757904652207</v>
      </c>
      <c r="D53" s="50">
        <v>6.3936849608692103</v>
      </c>
      <c r="E53" s="50">
        <v>3.3230124944575801</v>
      </c>
      <c r="F53" s="50">
        <v>6.6874380235749102</v>
      </c>
      <c r="G53" s="50">
        <v>3.7856032147660099</v>
      </c>
      <c r="J53" s="65">
        <v>13</v>
      </c>
      <c r="K53" s="50">
        <v>9.0051661459036101</v>
      </c>
      <c r="L53" s="50">
        <v>6.7782032117063098</v>
      </c>
      <c r="M53" s="50">
        <v>3.1853369745087798</v>
      </c>
      <c r="N53" s="50">
        <v>7.1825572637557</v>
      </c>
      <c r="O53" s="50">
        <v>4.1402175953447102</v>
      </c>
      <c r="R53" s="65">
        <v>13</v>
      </c>
      <c r="S53" s="50">
        <v>8.3840146359984296</v>
      </c>
      <c r="T53" s="50">
        <v>6.3794488571638004</v>
      </c>
      <c r="U53" s="50">
        <v>3.1771132002390101</v>
      </c>
      <c r="V53" s="50">
        <v>7.2906090552698402</v>
      </c>
      <c r="W53" s="50">
        <v>3.77750427333075</v>
      </c>
      <c r="Z53" s="65">
        <v>13</v>
      </c>
      <c r="AA53" s="50">
        <v>8.2625854148869209</v>
      </c>
      <c r="AB53" s="50">
        <v>6.2943090506246904</v>
      </c>
      <c r="AC53" s="50">
        <v>3.24760742010166</v>
      </c>
      <c r="AD53" s="50">
        <v>7.5777262204897502</v>
      </c>
      <c r="AE53" s="50">
        <v>3.7790124648883601</v>
      </c>
      <c r="AH53" s="65">
        <v>13</v>
      </c>
      <c r="AI53" s="50">
        <v>8.4566720981029597</v>
      </c>
      <c r="AJ53" s="50">
        <v>6.4255768263673501</v>
      </c>
      <c r="AK53" s="50">
        <v>3.16241704686349</v>
      </c>
      <c r="AL53" s="50">
        <v>6.4867124948795798</v>
      </c>
      <c r="AM53" s="50">
        <v>3.9095017279420299</v>
      </c>
      <c r="AP53" s="65">
        <f t="shared" si="2"/>
        <v>13</v>
      </c>
      <c r="AQ53" s="50">
        <f t="shared" si="3"/>
        <v>8.5010028170714271</v>
      </c>
      <c r="AR53" s="50">
        <f t="shared" si="4"/>
        <v>6.4542445813462717</v>
      </c>
      <c r="AS53" s="50">
        <f t="shared" si="5"/>
        <v>3.2190974272341037</v>
      </c>
      <c r="AT53" s="50">
        <f t="shared" si="6"/>
        <v>7.045008611593957</v>
      </c>
      <c r="AU53" s="50">
        <f t="shared" si="7"/>
        <v>3.8783678552543721</v>
      </c>
      <c r="AV53" s="66"/>
      <c r="AW53" s="66"/>
    </row>
    <row r="54" spans="2:49" ht="15" customHeight="1" x14ac:dyDescent="0.25"/>
    <row r="55" spans="2:49" ht="15" hidden="1" customHeight="1" x14ac:dyDescent="0.25">
      <c r="K55" s="66">
        <f>K42+C$9</f>
        <v>7.0959570696351495</v>
      </c>
      <c r="L55" s="66">
        <f>L42+D$9</f>
        <v>4.8269339403519123</v>
      </c>
      <c r="M55" s="66">
        <f>M42+E$9</f>
        <v>2.0993429957060776</v>
      </c>
      <c r="N55" s="66">
        <f>N42+F$9</f>
        <v>4.9150892680866738</v>
      </c>
      <c r="O55" s="66">
        <f>O42+G$9</f>
        <v>2.5349122125508465</v>
      </c>
      <c r="S55" s="39">
        <f>S42+C$10</f>
        <v>7.774369348772602</v>
      </c>
      <c r="T55" s="39">
        <f>T42+D$10</f>
        <v>5.1074267361257428</v>
      </c>
      <c r="U55" s="39">
        <f>U42+E$10</f>
        <v>2.2897933944770772</v>
      </c>
      <c r="V55" s="39">
        <f>V42+F$10</f>
        <v>5.1078784358266791</v>
      </c>
      <c r="W55" s="39">
        <f>W42+G$10</f>
        <v>2.7296300777829683</v>
      </c>
      <c r="AA55" s="66">
        <f>AA42+C$11</f>
        <v>8.0293996451497911</v>
      </c>
      <c r="AB55" s="66">
        <f>AB42+D$11</f>
        <v>4.915169296281495</v>
      </c>
      <c r="AC55" s="66">
        <f>AC42+E$11</f>
        <v>2.2166970627314337</v>
      </c>
      <c r="AD55" s="66">
        <f>AD42+F$11</f>
        <v>4.9955369146704998</v>
      </c>
      <c r="AE55" s="66">
        <f>AE42+G$11</f>
        <v>2.4826586594488189</v>
      </c>
      <c r="AI55" s="67">
        <f>AI42+C$12</f>
        <v>7.3673078042444677</v>
      </c>
      <c r="AJ55" s="67">
        <f>AJ42+D$12</f>
        <v>4.9272101982305339</v>
      </c>
      <c r="AK55" s="67">
        <f>AK42+E$12</f>
        <v>2.2080361846742211</v>
      </c>
      <c r="AL55" s="67">
        <f>AL42+F$12</f>
        <v>5.1502296735943442</v>
      </c>
      <c r="AM55" s="67">
        <f>AM42+G$12</f>
        <v>2.5345819821179347</v>
      </c>
    </row>
    <row r="56" spans="2:49" ht="15" hidden="1" customHeight="1" x14ac:dyDescent="0.25">
      <c r="K56" s="66">
        <f>K43+C$9</f>
        <v>4.3201202496894791</v>
      </c>
      <c r="L56" s="66">
        <f>L43+D$9</f>
        <v>3.7361554360520821</v>
      </c>
      <c r="M56" s="66">
        <f>M43+E$9</f>
        <v>1.3175835107845775</v>
      </c>
      <c r="N56" s="66">
        <f>N43+F$9</f>
        <v>4.8002159496519843</v>
      </c>
      <c r="O56" s="66">
        <f>O43+G$9</f>
        <v>2.3030951213746667</v>
      </c>
      <c r="S56" s="39">
        <f>S43+C$10</f>
        <v>4.5141678566526915</v>
      </c>
      <c r="T56" s="39">
        <f>T43+D$10</f>
        <v>3.8070517456992428</v>
      </c>
      <c r="U56" s="39">
        <f>U43+E$10</f>
        <v>1.3277911607881074</v>
      </c>
      <c r="V56" s="39">
        <f>V43+F$10</f>
        <v>4.8085982845661395</v>
      </c>
      <c r="W56" s="39">
        <f>W43+G$10</f>
        <v>2.2500133901642583</v>
      </c>
      <c r="AA56" s="66">
        <f>AA43+C$11</f>
        <v>4.4439643001977105</v>
      </c>
      <c r="AB56" s="66">
        <f>AB43+D$11</f>
        <v>3.7463717793837747</v>
      </c>
      <c r="AC56" s="66">
        <f>AC43+E$11</f>
        <v>1.3150806500228338</v>
      </c>
      <c r="AD56" s="66">
        <f>AD43+F$11</f>
        <v>4.6925164780771595</v>
      </c>
      <c r="AE56" s="66">
        <f>AE43+G$11</f>
        <v>2.1874667772564989</v>
      </c>
      <c r="AI56" s="67">
        <f>AI43+C$12</f>
        <v>4.3421267557424077</v>
      </c>
      <c r="AJ56" s="67">
        <f>AJ43+D$12</f>
        <v>3.7881264870140434</v>
      </c>
      <c r="AK56" s="67">
        <f>AK43+E$12</f>
        <v>1.2656807083979509</v>
      </c>
      <c r="AL56" s="67">
        <f>AL43+F$12</f>
        <v>5.0416092137147039</v>
      </c>
      <c r="AM56" s="67">
        <f>AM43+G$12</f>
        <v>2.2240688765315344</v>
      </c>
    </row>
    <row r="57" spans="2:49" ht="15" hidden="1" customHeight="1" x14ac:dyDescent="0.25">
      <c r="K57" s="66">
        <f>K44+C$9</f>
        <v>6.0355199813363294</v>
      </c>
      <c r="L57" s="66">
        <f>L44+D$9</f>
        <v>3.4486272647171021</v>
      </c>
      <c r="M57" s="66">
        <f>M44+E$9</f>
        <v>1.4023574897234774</v>
      </c>
      <c r="N57" s="66">
        <f>N44+F$9</f>
        <v>5.1552146577312143</v>
      </c>
      <c r="O57" s="66">
        <f>O44+G$9</f>
        <v>1.9371147880818369</v>
      </c>
      <c r="S57" s="39">
        <f>S44+C$10</f>
        <v>4.6069527909738213</v>
      </c>
      <c r="T57" s="39">
        <f>T44+D$10</f>
        <v>3.2871158245570529</v>
      </c>
      <c r="U57" s="39">
        <f>U44+E$10</f>
        <v>1.0065299943652373</v>
      </c>
      <c r="V57" s="39">
        <f>V44+F$10</f>
        <v>4.8933707621184297</v>
      </c>
      <c r="W57" s="39">
        <f>W44+G$10</f>
        <v>1.7788583195307783</v>
      </c>
      <c r="AA57" s="66">
        <f>AA44+C$11</f>
        <v>5.4208871481014604</v>
      </c>
      <c r="AB57" s="66">
        <f>AB44+D$11</f>
        <v>3.4176763799235546</v>
      </c>
      <c r="AC57" s="66">
        <f>AC44+E$11</f>
        <v>1.2491965027507739</v>
      </c>
      <c r="AD57" s="66">
        <f>AD44+F$11</f>
        <v>4.8765573498783894</v>
      </c>
      <c r="AE57" s="66">
        <f>AE44+G$11</f>
        <v>1.8593821468128486</v>
      </c>
      <c r="AI57" s="67">
        <f>AI44+C$12</f>
        <v>6.2257648779263084</v>
      </c>
      <c r="AJ57" s="67">
        <f>AJ44+D$12</f>
        <v>3.6194636681983736</v>
      </c>
      <c r="AK57" s="67">
        <f>AK44+E$12</f>
        <v>1.4263039650235509</v>
      </c>
      <c r="AL57" s="67">
        <f>AL44+F$12</f>
        <v>5.3975743117493238</v>
      </c>
      <c r="AM57" s="67">
        <f>AM44+G$12</f>
        <v>2.0271432031470544</v>
      </c>
    </row>
    <row r="58" spans="2:49" ht="15" hidden="1" customHeight="1" x14ac:dyDescent="0.25">
      <c r="K58" s="66">
        <f>K45+C$9</f>
        <v>6.6555913920299394</v>
      </c>
      <c r="L58" s="66">
        <f>L45+D$9</f>
        <v>4.7465614386251822</v>
      </c>
      <c r="M58" s="66">
        <f>M45+E$9</f>
        <v>1.6274413868598374</v>
      </c>
      <c r="N58" s="66">
        <f>N45+F$9</f>
        <v>5.459954757413124</v>
      </c>
      <c r="O58" s="66">
        <f>O45+G$9</f>
        <v>3.0397417735856167</v>
      </c>
      <c r="S58" s="39">
        <f>S45+C$10</f>
        <v>6.7740400361406419</v>
      </c>
      <c r="T58" s="39">
        <f>T45+D$10</f>
        <v>4.407649951830833</v>
      </c>
      <c r="U58" s="39">
        <f>U45+E$10</f>
        <v>1.6534049338286174</v>
      </c>
      <c r="V58" s="39">
        <f>V45+F$10</f>
        <v>5.2434426646642294</v>
      </c>
      <c r="W58" s="39">
        <f>W45+G$10</f>
        <v>2.8518210649969382</v>
      </c>
      <c r="AA58" s="66">
        <f>AA45+C$11</f>
        <v>6.4809583405687503</v>
      </c>
      <c r="AB58" s="66">
        <f>AB45+D$11</f>
        <v>4.2542284091328044</v>
      </c>
      <c r="AC58" s="66">
        <f>AC45+E$11</f>
        <v>1.6219234589737939</v>
      </c>
      <c r="AD58" s="66">
        <f>AD45+F$11</f>
        <v>4.9640802050679795</v>
      </c>
      <c r="AE58" s="66">
        <f>AE45+G$11</f>
        <v>2.7529267171893586</v>
      </c>
      <c r="AI58" s="67">
        <f>AI45+C$12</f>
        <v>6.8129681473856882</v>
      </c>
      <c r="AJ58" s="67">
        <f>AJ45+D$12</f>
        <v>4.676058065205984</v>
      </c>
      <c r="AK58" s="67">
        <f>AK45+E$12</f>
        <v>1.6753854741150009</v>
      </c>
      <c r="AL58" s="67">
        <f>AL45+F$12</f>
        <v>5.5077534418759235</v>
      </c>
      <c r="AM58" s="67">
        <f>AM45+G$12</f>
        <v>2.9630996024778047</v>
      </c>
    </row>
    <row r="59" spans="2:49" ht="15" hidden="1" customHeight="1" x14ac:dyDescent="0.25">
      <c r="K59" s="66">
        <f>K46+C$9</f>
        <v>6.8440524917517394</v>
      </c>
      <c r="L59" s="66">
        <f>L46+D$9</f>
        <v>3.8145850669106425</v>
      </c>
      <c r="M59" s="66">
        <f>M46+E$9</f>
        <v>1.5621604920204675</v>
      </c>
      <c r="N59" s="66">
        <f>N46+F$9</f>
        <v>4.5487108079674243</v>
      </c>
      <c r="O59" s="66">
        <f>O46+G$9</f>
        <v>2.2310174247850769</v>
      </c>
      <c r="S59" s="39">
        <f>S46+C$10</f>
        <v>7.539578623088242</v>
      </c>
      <c r="T59" s="39">
        <f>T46+D$10</f>
        <v>4.1425611424592024</v>
      </c>
      <c r="U59" s="39">
        <f>U46+E$10</f>
        <v>1.7258317935051173</v>
      </c>
      <c r="V59" s="39">
        <f>V46+F$10</f>
        <v>4.6429321179878196</v>
      </c>
      <c r="W59" s="39">
        <f>W46+G$10</f>
        <v>2.5043035707902384</v>
      </c>
      <c r="AA59" s="66">
        <f>AA46+C$11</f>
        <v>7.4972413738769905</v>
      </c>
      <c r="AB59" s="66">
        <f>AB46+D$11</f>
        <v>4.214616629839985</v>
      </c>
      <c r="AC59" s="66">
        <f>AC46+E$11</f>
        <v>1.7040046688579438</v>
      </c>
      <c r="AD59" s="66">
        <f>AD46+F$11</f>
        <v>4.5691781844866401</v>
      </c>
      <c r="AE59" s="66">
        <f>AE46+G$11</f>
        <v>2.5691492753514988</v>
      </c>
      <c r="AI59" s="67">
        <f>AI46+C$12</f>
        <v>6.9966453122776482</v>
      </c>
      <c r="AJ59" s="67">
        <f>AJ46+D$12</f>
        <v>3.8940376911467034</v>
      </c>
      <c r="AK59" s="67">
        <f>AK46+E$12</f>
        <v>1.530019270153151</v>
      </c>
      <c r="AL59" s="67">
        <f>AL46+F$12</f>
        <v>4.6707669418735742</v>
      </c>
      <c r="AM59" s="67">
        <f>AM46+G$12</f>
        <v>2.2559026723676445</v>
      </c>
    </row>
    <row r="60" spans="2:49" ht="15" hidden="1" customHeight="1" x14ac:dyDescent="0.25">
      <c r="K60" s="66">
        <f>K47+C$9</f>
        <v>7.2450628867224092</v>
      </c>
      <c r="L60" s="66">
        <f>L47+D$9</f>
        <v>4.0740696911601324</v>
      </c>
      <c r="M60" s="66">
        <f>M47+E$9</f>
        <v>1.5565266853088475</v>
      </c>
      <c r="N60" s="66">
        <f>N47+F$9</f>
        <v>4.7899940614490539</v>
      </c>
      <c r="O60" s="66">
        <f>O47+G$9</f>
        <v>2.4856204556112367</v>
      </c>
      <c r="S60" s="39">
        <f>S47+C$10</f>
        <v>7.652933974932302</v>
      </c>
      <c r="T60" s="39">
        <f>T47+D$10</f>
        <v>4.2625584305289328</v>
      </c>
      <c r="U60" s="39">
        <f>U47+E$10</f>
        <v>1.6227648186410775</v>
      </c>
      <c r="V60" s="39">
        <f>V47+F$10</f>
        <v>4.8179082855808391</v>
      </c>
      <c r="W60" s="39">
        <f>W47+G$10</f>
        <v>2.6302906507281985</v>
      </c>
      <c r="AA60" s="66">
        <f>AA47+C$11</f>
        <v>7.4961956788631605</v>
      </c>
      <c r="AB60" s="66">
        <f>AB47+D$11</f>
        <v>4.3450799626307246</v>
      </c>
      <c r="AC60" s="66">
        <f>AC47+E$11</f>
        <v>1.5317700782974137</v>
      </c>
      <c r="AD60" s="66">
        <f>AD47+F$11</f>
        <v>4.6572982981902999</v>
      </c>
      <c r="AE60" s="66">
        <f>AE47+G$11</f>
        <v>2.6942313848863386</v>
      </c>
      <c r="AI60" s="67">
        <f>AI47+C$12</f>
        <v>7.4501201792473379</v>
      </c>
      <c r="AJ60" s="67">
        <f>AJ47+D$12</f>
        <v>4.1355349574955236</v>
      </c>
      <c r="AK60" s="67">
        <f>AK47+E$12</f>
        <v>1.603275675592891</v>
      </c>
      <c r="AL60" s="67">
        <f>AL47+F$12</f>
        <v>4.8538806018083243</v>
      </c>
      <c r="AM60" s="67">
        <f>AM47+G$12</f>
        <v>2.5223694488215345</v>
      </c>
    </row>
    <row r="61" spans="2:49" ht="15" hidden="1" customHeight="1" x14ac:dyDescent="0.25">
      <c r="K61" s="66">
        <f>K48+C$9</f>
        <v>6.8527832463766494</v>
      </c>
      <c r="L61" s="66">
        <f>L48+D$9</f>
        <v>3.727322117904412</v>
      </c>
      <c r="M61" s="66">
        <f>M48+E$9</f>
        <v>1.5075949153959074</v>
      </c>
      <c r="N61" s="66">
        <f>N48+F$9</f>
        <v>4.5701973059273042</v>
      </c>
      <c r="O61" s="66">
        <f>O48+G$9</f>
        <v>2.1576296255004168</v>
      </c>
      <c r="S61" s="39">
        <f>S48+C$10</f>
        <v>7.3002740066518612</v>
      </c>
      <c r="T61" s="39">
        <f>T48+D$10</f>
        <v>3.9712365936669727</v>
      </c>
      <c r="U61" s="39">
        <f>U48+E$10</f>
        <v>1.6743233434078473</v>
      </c>
      <c r="V61" s="39">
        <f>V48+F$10</f>
        <v>4.5716957579973094</v>
      </c>
      <c r="W61" s="39">
        <f>W48+G$10</f>
        <v>2.3781329564913083</v>
      </c>
      <c r="AA61" s="66">
        <f>AA48+C$11</f>
        <v>7.2962881243580799</v>
      </c>
      <c r="AB61" s="66">
        <f>AB48+D$11</f>
        <v>4.0369251802791846</v>
      </c>
      <c r="AC61" s="66">
        <f>AC48+E$11</f>
        <v>1.6581440563881138</v>
      </c>
      <c r="AD61" s="66">
        <f>AD48+F$11</f>
        <v>4.4887302209320401</v>
      </c>
      <c r="AE61" s="66">
        <f>AE48+G$11</f>
        <v>2.4447559347807686</v>
      </c>
      <c r="AI61" s="67">
        <f>AI48+C$12</f>
        <v>7.018063277223888</v>
      </c>
      <c r="AJ61" s="67">
        <f>AJ48+D$12</f>
        <v>3.8199205497287436</v>
      </c>
      <c r="AK61" s="67">
        <f>AK48+E$12</f>
        <v>1.4626930214080009</v>
      </c>
      <c r="AL61" s="67">
        <f>AL48+F$12</f>
        <v>4.6699947879824535</v>
      </c>
      <c r="AM61" s="67">
        <f>AM48+G$12</f>
        <v>2.1855659397779346</v>
      </c>
    </row>
    <row r="62" spans="2:49" ht="15" hidden="1" customHeight="1" x14ac:dyDescent="0.25">
      <c r="K62" s="66">
        <f>K49+C$9</f>
        <v>7.1042698875311592</v>
      </c>
      <c r="L62" s="66">
        <f>L49+D$9</f>
        <v>5.6026654261660518</v>
      </c>
      <c r="M62" s="66">
        <f>M49+E$9</f>
        <v>2.8206102210921573</v>
      </c>
      <c r="N62" s="66">
        <f>N49+F$9</f>
        <v>5.3896052337687541</v>
      </c>
      <c r="O62" s="66">
        <f>O49+G$9</f>
        <v>3.0653249513311467</v>
      </c>
      <c r="S62" s="39">
        <f>S49+C$10</f>
        <v>7.287760819475892</v>
      </c>
      <c r="T62" s="39">
        <f>T49+D$10</f>
        <v>5.6931035614660228</v>
      </c>
      <c r="U62" s="39">
        <f>U49+E$10</f>
        <v>2.8067004800769775</v>
      </c>
      <c r="V62" s="39">
        <f>V49+F$10</f>
        <v>5.3504238574723493</v>
      </c>
      <c r="W62" s="39">
        <f>W49+G$10</f>
        <v>3.1372829976826084</v>
      </c>
      <c r="AA62" s="66">
        <f>AA49+C$11</f>
        <v>7.3603431164549002</v>
      </c>
      <c r="AB62" s="66">
        <f>AB49+D$11</f>
        <v>5.8169845170372447</v>
      </c>
      <c r="AC62" s="66">
        <f>AC49+E$11</f>
        <v>2.8286133396236037</v>
      </c>
      <c r="AD62" s="66">
        <f>AD49+F$11</f>
        <v>5.5046489174522595</v>
      </c>
      <c r="AE62" s="66">
        <f>AE49+G$11</f>
        <v>3.2379128067232688</v>
      </c>
      <c r="AI62" s="67">
        <f>AI49+C$12</f>
        <v>7.060455984795988</v>
      </c>
      <c r="AJ62" s="67">
        <f>AJ49+D$12</f>
        <v>5.6698806397326633</v>
      </c>
      <c r="AK62" s="67">
        <f>AK49+E$12</f>
        <v>2.790348196649481</v>
      </c>
      <c r="AL62" s="67">
        <f>AL49+F$12</f>
        <v>5.1538456084103039</v>
      </c>
      <c r="AM62" s="67">
        <f>AM49+G$12</f>
        <v>3.1853588581262047</v>
      </c>
    </row>
    <row r="63" spans="2:49" ht="15" hidden="1" customHeight="1" x14ac:dyDescent="0.25">
      <c r="K63" s="66">
        <f>K50+C$9</f>
        <v>7.8293708619703297</v>
      </c>
      <c r="L63" s="66">
        <f>L50+D$9</f>
        <v>5.8218584097724317</v>
      </c>
      <c r="M63" s="66">
        <f>M50+E$9</f>
        <v>2.8855308686119474</v>
      </c>
      <c r="N63" s="66">
        <f>N50+F$9</f>
        <v>5.8318712707740543</v>
      </c>
      <c r="O63" s="66">
        <f>O50+G$9</f>
        <v>3.0675122640102868</v>
      </c>
      <c r="S63" s="39">
        <f>S50+C$10</f>
        <v>7.8401017422101615</v>
      </c>
      <c r="T63" s="39">
        <f>T50+D$10</f>
        <v>5.8703387011463528</v>
      </c>
      <c r="U63" s="39">
        <f>U50+E$10</f>
        <v>2.7869100087302972</v>
      </c>
      <c r="V63" s="39">
        <f>V50+F$10</f>
        <v>5.6445080135899293</v>
      </c>
      <c r="W63" s="39">
        <f>W50+G$10</f>
        <v>3.1095068112297382</v>
      </c>
      <c r="AA63" s="66">
        <f>AA50+C$11</f>
        <v>7.99228481902336</v>
      </c>
      <c r="AB63" s="66">
        <f>AB50+D$11</f>
        <v>6.0665609652774046</v>
      </c>
      <c r="AC63" s="66">
        <f>AC50+E$11</f>
        <v>2.9005066188741537</v>
      </c>
      <c r="AD63" s="66">
        <f>AD50+F$11</f>
        <v>5.8871364443640797</v>
      </c>
      <c r="AE63" s="66">
        <f>AE50+G$11</f>
        <v>3.1968022849634088</v>
      </c>
      <c r="AI63" s="67">
        <f>AI50+C$12</f>
        <v>7.5361201454254578</v>
      </c>
      <c r="AJ63" s="67">
        <f>AJ50+D$12</f>
        <v>5.5850725536639532</v>
      </c>
      <c r="AK63" s="67">
        <f>AK50+E$12</f>
        <v>2.6315713272343708</v>
      </c>
      <c r="AL63" s="67">
        <f>AL50+F$12</f>
        <v>5.5896710033583643</v>
      </c>
      <c r="AM63" s="67">
        <f>AM50+G$12</f>
        <v>3.0657960456568745</v>
      </c>
    </row>
    <row r="64" spans="2:49" ht="15" hidden="1" customHeight="1" x14ac:dyDescent="0.25">
      <c r="K64" s="66">
        <f>K51+C$9</f>
        <v>7.1878054801388398</v>
      </c>
      <c r="L64" s="66">
        <f>L51+D$9</f>
        <v>5.063691561556892</v>
      </c>
      <c r="M64" s="66">
        <f>M51+E$9</f>
        <v>2.3812332642357075</v>
      </c>
      <c r="N64" s="66">
        <f>N51+F$9</f>
        <v>5.4401236257126939</v>
      </c>
      <c r="O64" s="66">
        <f>O51+G$9</f>
        <v>3.0688104332103365</v>
      </c>
      <c r="S64" s="39">
        <f>S51+C$10</f>
        <v>6.6995973882987414</v>
      </c>
      <c r="T64" s="39">
        <f>T51+D$10</f>
        <v>4.7896496116867127</v>
      </c>
      <c r="U64" s="39">
        <f>U51+E$10</f>
        <v>2.2839024563411172</v>
      </c>
      <c r="V64" s="39">
        <f>V51+F$10</f>
        <v>5.1886076448530192</v>
      </c>
      <c r="W64" s="39">
        <f>W51+G$10</f>
        <v>2.8355120806601284</v>
      </c>
      <c r="AA64" s="66">
        <f>AA51+C$11</f>
        <v>6.3304813543185503</v>
      </c>
      <c r="AB64" s="66">
        <f>AB51+D$11</f>
        <v>4.6544647362158846</v>
      </c>
      <c r="AC64" s="66">
        <f>AC51+E$11</f>
        <v>2.138704603552334</v>
      </c>
      <c r="AD64" s="66">
        <f>AD51+F$11</f>
        <v>5.0285999379361295</v>
      </c>
      <c r="AE64" s="66">
        <f>AE51+G$11</f>
        <v>2.7871830095095889</v>
      </c>
      <c r="AI64" s="67">
        <f>AI51+C$12</f>
        <v>6.7752598114095584</v>
      </c>
      <c r="AJ64" s="67">
        <f>AJ51+D$12</f>
        <v>4.9734122486458832</v>
      </c>
      <c r="AK64" s="67">
        <f>AK51+E$12</f>
        <v>2.4468386438316108</v>
      </c>
      <c r="AL64" s="67">
        <f>AL51+F$12</f>
        <v>5.2194177397579136</v>
      </c>
      <c r="AM64" s="67">
        <f>AM51+G$12</f>
        <v>3.0116586985555744</v>
      </c>
    </row>
    <row r="65" spans="1:50" ht="15" hidden="1" customHeight="1" x14ac:dyDescent="0.25">
      <c r="K65" s="66">
        <f>K52+C$9</f>
        <v>8.7252705404256687</v>
      </c>
      <c r="L65" s="66">
        <f>L52+D$9</f>
        <v>6.5846432125679524</v>
      </c>
      <c r="M65" s="66">
        <f>M52+E$9</f>
        <v>3.2534238331563676</v>
      </c>
      <c r="N65" s="66">
        <f>N52+F$9</f>
        <v>6.3660498740688443</v>
      </c>
      <c r="O65" s="66">
        <f>O52+G$9</f>
        <v>3.9646378909985165</v>
      </c>
      <c r="S65" s="39">
        <f>S52+C$10</f>
        <v>8.105620350719672</v>
      </c>
      <c r="T65" s="39">
        <f>T52+D$10</f>
        <v>6.2469391963194028</v>
      </c>
      <c r="U65" s="39">
        <f>U52+E$10</f>
        <v>3.0979307948097472</v>
      </c>
      <c r="V65" s="39">
        <f>V52+F$10</f>
        <v>6.6897553762014894</v>
      </c>
      <c r="W65" s="39">
        <f>W52+G$10</f>
        <v>3.7852741153649383</v>
      </c>
      <c r="AA65" s="66">
        <f>AA52+C$11</f>
        <v>8.0881960024020607</v>
      </c>
      <c r="AB65" s="66">
        <f>AB52+D$11</f>
        <v>6.2749722890007247</v>
      </c>
      <c r="AC65" s="66">
        <f>AC52+E$11</f>
        <v>3.1406646621054839</v>
      </c>
      <c r="AD65" s="66">
        <f>AD52+F$11</f>
        <v>7.2099903295362093</v>
      </c>
      <c r="AE65" s="66">
        <f>AE52+G$11</f>
        <v>3.8427167253323087</v>
      </c>
      <c r="AI65" s="67">
        <f>AI52+C$12</f>
        <v>8.5043259636269291</v>
      </c>
      <c r="AJ65" s="67">
        <f>AJ52+D$12</f>
        <v>6.4639917260919235</v>
      </c>
      <c r="AK65" s="67">
        <f>AK52+E$12</f>
        <v>3.2396350135428809</v>
      </c>
      <c r="AL65" s="67">
        <f>AL52+F$12</f>
        <v>6.400487838943544</v>
      </c>
      <c r="AM65" s="67">
        <f>AM52+G$12</f>
        <v>3.9046392119211446</v>
      </c>
    </row>
    <row r="66" spans="1:50" ht="15" hidden="1" customHeight="1" x14ac:dyDescent="0.25">
      <c r="K66" s="66">
        <f>K53+C$9</f>
        <v>8.6437313772896687</v>
      </c>
      <c r="L66" s="66">
        <f>L53+D$9</f>
        <v>6.5236514814593018</v>
      </c>
      <c r="M66" s="66">
        <f>M53+E$9</f>
        <v>3.0310219613295173</v>
      </c>
      <c r="N66" s="66">
        <f>N53+F$9</f>
        <v>6.9715748728436839</v>
      </c>
      <c r="O66" s="66">
        <f>O53+G$9</f>
        <v>3.912549208449617</v>
      </c>
      <c r="S66" s="39">
        <f>S53+C$10</f>
        <v>8.4441385269807512</v>
      </c>
      <c r="T66" s="39">
        <f>T53+D$10</f>
        <v>6.3851335517576331</v>
      </c>
      <c r="U66" s="39">
        <f>U53+E$10</f>
        <v>3.1689444452536675</v>
      </c>
      <c r="V66" s="39">
        <f>V53+F$10</f>
        <v>7.2794804845365695</v>
      </c>
      <c r="W66" s="39">
        <f>W53+G$10</f>
        <v>3.7773401140674983</v>
      </c>
      <c r="AA66" s="66">
        <f>AA53+C$11</f>
        <v>8.1032955615825522</v>
      </c>
      <c r="AB66" s="66">
        <f>AB53+D$11</f>
        <v>6.227714902241325</v>
      </c>
      <c r="AC66" s="66">
        <f>AC53+E$11</f>
        <v>3.1395219220470039</v>
      </c>
      <c r="AD66" s="66">
        <f>AD53+F$11</f>
        <v>7.3643284048030999</v>
      </c>
      <c r="AE66" s="66">
        <f>AE53+G$11</f>
        <v>3.7127804272348888</v>
      </c>
      <c r="AI66" s="67">
        <f>AI53+C$12</f>
        <v>8.4503772055917068</v>
      </c>
      <c r="AJ66" s="67">
        <f>AJ53+D$12</f>
        <v>6.4180562620897836</v>
      </c>
      <c r="AK66" s="67">
        <f>AK53+E$12</f>
        <v>3.165040143601781</v>
      </c>
      <c r="AL66" s="67">
        <f>AL53+F$12</f>
        <v>6.5833705223260237</v>
      </c>
      <c r="AM66" s="67">
        <f>AM53+G$12</f>
        <v>3.8877816099883544</v>
      </c>
    </row>
    <row r="67" spans="1:50" ht="15" customHeight="1" x14ac:dyDescent="0.25"/>
    <row r="68" spans="1:50" ht="15" customHeight="1" x14ac:dyDescent="0.25"/>
    <row r="74" spans="1:50" s="2" customFormat="1" x14ac:dyDescent="0.25">
      <c r="A74"/>
      <c r="B74" s="49" t="s">
        <v>9</v>
      </c>
      <c r="C74" s="49" t="s">
        <v>13</v>
      </c>
      <c r="D74" s="49" t="s">
        <v>14</v>
      </c>
      <c r="E74" s="49" t="s">
        <v>15</v>
      </c>
      <c r="F74" s="49" t="s">
        <v>16</v>
      </c>
      <c r="G74" s="49" t="s">
        <v>17</v>
      </c>
      <c r="H74" s="39"/>
      <c r="I74" s="60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X74"/>
    </row>
    <row r="75" spans="1:50" s="2" customFormat="1" x14ac:dyDescent="0.25">
      <c r="A75"/>
      <c r="B75" s="65">
        <f>B42</f>
        <v>1</v>
      </c>
      <c r="C75" s="50">
        <f t="shared" ref="C75:G86" si="8">STDEV(C42,K42,S42,AA42,AI42)</f>
        <v>0.32341040029864265</v>
      </c>
      <c r="D75" s="50">
        <f t="shared" si="8"/>
        <v>7.0348841468474643E-2</v>
      </c>
      <c r="E75" s="50">
        <f t="shared" si="8"/>
        <v>4.5378531382190716E-2</v>
      </c>
      <c r="F75" s="50">
        <f t="shared" si="8"/>
        <v>5.5167451533097829E-2</v>
      </c>
      <c r="G75" s="50">
        <f t="shared" si="8"/>
        <v>0.10134669504836379</v>
      </c>
      <c r="H75" s="39"/>
      <c r="I75" s="60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X75"/>
    </row>
    <row r="76" spans="1:50" s="2" customFormat="1" x14ac:dyDescent="0.25">
      <c r="A76"/>
      <c r="B76" s="65">
        <f t="shared" ref="B76:B86" si="9">B43</f>
        <v>2</v>
      </c>
      <c r="C76" s="50">
        <f t="shared" si="8"/>
        <v>0.17609697348775397</v>
      </c>
      <c r="D76" s="50">
        <f t="shared" si="8"/>
        <v>0.10553260536969257</v>
      </c>
      <c r="E76" s="50">
        <f t="shared" si="8"/>
        <v>9.6445091098355765E-2</v>
      </c>
      <c r="F76" s="50">
        <f t="shared" si="8"/>
        <v>0.17812903690772977</v>
      </c>
      <c r="G76" s="50">
        <f t="shared" si="8"/>
        <v>0.15613839231253399</v>
      </c>
      <c r="H76" s="39"/>
      <c r="I76" s="60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X76"/>
    </row>
    <row r="77" spans="1:50" s="2" customFormat="1" x14ac:dyDescent="0.25">
      <c r="A77"/>
      <c r="B77" s="65">
        <f t="shared" si="9"/>
        <v>3</v>
      </c>
      <c r="C77" s="50">
        <f t="shared" si="8"/>
        <v>0.77420500093190858</v>
      </c>
      <c r="D77" s="50">
        <f t="shared" si="8"/>
        <v>0.16975310917407699</v>
      </c>
      <c r="E77" s="50">
        <f t="shared" si="8"/>
        <v>0.20584268030109135</v>
      </c>
      <c r="F77" s="50">
        <f t="shared" si="8"/>
        <v>0.19509029361476701</v>
      </c>
      <c r="G77" s="50">
        <f t="shared" si="8"/>
        <v>0.14796817369232237</v>
      </c>
      <c r="H77" s="39"/>
      <c r="I77" s="60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X77"/>
    </row>
    <row r="78" spans="1:50" s="2" customFormat="1" x14ac:dyDescent="0.25">
      <c r="A78"/>
      <c r="B78" s="65">
        <f t="shared" si="9"/>
        <v>4</v>
      </c>
      <c r="C78" s="50">
        <f t="shared" si="8"/>
        <v>0.14177056038432492</v>
      </c>
      <c r="D78" s="50">
        <f t="shared" si="8"/>
        <v>0.26824640510887016</v>
      </c>
      <c r="E78" s="50">
        <f t="shared" si="8"/>
        <v>5.2014761252462613E-2</v>
      </c>
      <c r="F78" s="50">
        <f t="shared" si="8"/>
        <v>0.18866965942881964</v>
      </c>
      <c r="G78" s="50">
        <f t="shared" si="8"/>
        <v>0.17710491830307459</v>
      </c>
      <c r="H78" s="39"/>
      <c r="I78" s="60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X78"/>
    </row>
    <row r="79" spans="1:50" s="2" customFormat="1" x14ac:dyDescent="0.25">
      <c r="A79"/>
      <c r="B79" s="65">
        <f t="shared" si="9"/>
        <v>5</v>
      </c>
      <c r="C79" s="50">
        <f t="shared" si="8"/>
        <v>0.28528543401506096</v>
      </c>
      <c r="D79" s="50">
        <f t="shared" si="8"/>
        <v>0.15418606592742259</v>
      </c>
      <c r="E79" s="50">
        <f t="shared" si="8"/>
        <v>0.13620969449072459</v>
      </c>
      <c r="F79" s="50">
        <f t="shared" si="8"/>
        <v>8.3912399898523921E-2</v>
      </c>
      <c r="G79" s="50">
        <f t="shared" si="8"/>
        <v>0.15312696887278937</v>
      </c>
      <c r="H79" s="39"/>
      <c r="I79" s="60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X79"/>
    </row>
    <row r="80" spans="1:50" s="2" customFormat="1" x14ac:dyDescent="0.25">
      <c r="A80"/>
      <c r="B80" s="65">
        <f t="shared" si="9"/>
        <v>7</v>
      </c>
      <c r="C80" s="50">
        <f t="shared" si="8"/>
        <v>7.9728288753691423E-2</v>
      </c>
      <c r="D80" s="50">
        <f t="shared" si="8"/>
        <v>0.1059924910631915</v>
      </c>
      <c r="E80" s="50">
        <f t="shared" si="8"/>
        <v>4.1025661744925578E-2</v>
      </c>
      <c r="F80" s="50">
        <f t="shared" si="8"/>
        <v>9.2422856352177854E-2</v>
      </c>
      <c r="G80" s="50">
        <f t="shared" si="8"/>
        <v>9.1520245734058411E-2</v>
      </c>
      <c r="H80" s="39"/>
      <c r="I80" s="60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X80"/>
    </row>
    <row r="81" spans="1:50" s="2" customFormat="1" x14ac:dyDescent="0.25">
      <c r="A81"/>
      <c r="B81" s="65">
        <f t="shared" si="9"/>
        <v>8</v>
      </c>
      <c r="C81" s="50">
        <f t="shared" si="8"/>
        <v>0.1799487464352163</v>
      </c>
      <c r="D81" s="50">
        <f t="shared" si="8"/>
        <v>0.11340897897969189</v>
      </c>
      <c r="E81" s="50">
        <f t="shared" si="8"/>
        <v>0.14033424993831201</v>
      </c>
      <c r="F81" s="50">
        <f t="shared" si="8"/>
        <v>8.6584566572226032E-2</v>
      </c>
      <c r="G81" s="50">
        <f t="shared" si="8"/>
        <v>0.13121755546751659</v>
      </c>
      <c r="H81" s="39"/>
      <c r="I81" s="60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X81"/>
    </row>
    <row r="82" spans="1:50" s="2" customFormat="1" x14ac:dyDescent="0.25">
      <c r="A82"/>
      <c r="B82" s="65">
        <f t="shared" si="9"/>
        <v>9</v>
      </c>
      <c r="C82" s="50">
        <f t="shared" si="8"/>
        <v>0.23224053227097524</v>
      </c>
      <c r="D82" s="50">
        <f t="shared" si="8"/>
        <v>0.12156122636031899</v>
      </c>
      <c r="E82" s="50">
        <f t="shared" si="8"/>
        <v>0.14318095091777655</v>
      </c>
      <c r="F82" s="50">
        <f t="shared" si="8"/>
        <v>0.28126004494201695</v>
      </c>
      <c r="G82" s="50">
        <f t="shared" si="8"/>
        <v>0.11380491842988609</v>
      </c>
      <c r="H82" s="39"/>
      <c r="I82" s="60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X82"/>
    </row>
    <row r="83" spans="1:50" s="2" customFormat="1" x14ac:dyDescent="0.25">
      <c r="A83"/>
      <c r="B83" s="65">
        <f t="shared" si="9"/>
        <v>10</v>
      </c>
      <c r="C83" s="50">
        <f t="shared" si="8"/>
        <v>0.31954608641246984</v>
      </c>
      <c r="D83" s="50">
        <f t="shared" si="8"/>
        <v>0.27250134486879113</v>
      </c>
      <c r="E83" s="50">
        <f t="shared" si="8"/>
        <v>0.20822344168381801</v>
      </c>
      <c r="F83" s="50">
        <f t="shared" si="8"/>
        <v>0.30493680882287344</v>
      </c>
      <c r="G83" s="50">
        <f t="shared" si="8"/>
        <v>0.1397736434504061</v>
      </c>
      <c r="H83" s="39"/>
      <c r="I83" s="60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X83"/>
    </row>
    <row r="84" spans="1:50" s="2" customFormat="1" x14ac:dyDescent="0.25">
      <c r="A84"/>
      <c r="B84" s="65">
        <f t="shared" si="9"/>
        <v>11</v>
      </c>
      <c r="C84" s="50">
        <f t="shared" si="8"/>
        <v>0.43039873767076836</v>
      </c>
      <c r="D84" s="50">
        <f t="shared" si="8"/>
        <v>0.24185676461220387</v>
      </c>
      <c r="E84" s="50">
        <f t="shared" si="8"/>
        <v>0.12046573751702824</v>
      </c>
      <c r="F84" s="50">
        <f t="shared" si="8"/>
        <v>0.2140128492096125</v>
      </c>
      <c r="G84" s="50">
        <f t="shared" si="8"/>
        <v>0.19780416018482949</v>
      </c>
      <c r="H84" s="39"/>
      <c r="I84" s="60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X84"/>
    </row>
    <row r="85" spans="1:50" s="2" customFormat="1" ht="15" customHeight="1" x14ac:dyDescent="0.25">
      <c r="A85"/>
      <c r="B85" s="65">
        <f t="shared" si="9"/>
        <v>12</v>
      </c>
      <c r="C85" s="50">
        <f>STDEV(C52,K52,S52,AA52,AI52)</f>
        <v>0.43129620730334756</v>
      </c>
      <c r="D85" s="50">
        <f>STDEV(D52,L52,T52,AB52,AJ52)</f>
        <v>0.240160621713983</v>
      </c>
      <c r="E85" s="50">
        <f>STDEV(E52,M52,U52,AC52,AK52)</f>
        <v>0.11539991566442834</v>
      </c>
      <c r="F85" s="50">
        <f>STDEV(F52,N52,V52,AD52,AL52)</f>
        <v>0.43131835534245827</v>
      </c>
      <c r="G85" s="50">
        <f>STDEV(G52,O52,W52,AE52,AM52)</f>
        <v>0.16929773754533436</v>
      </c>
      <c r="H85" s="39"/>
      <c r="I85" s="60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X85"/>
    </row>
    <row r="86" spans="1:50" s="2" customFormat="1" x14ac:dyDescent="0.25">
      <c r="A86"/>
      <c r="B86" s="65">
        <f t="shared" si="9"/>
        <v>13</v>
      </c>
      <c r="C86" s="50">
        <f t="shared" si="8"/>
        <v>0.29050816289925463</v>
      </c>
      <c r="D86" s="50">
        <f t="shared" si="8"/>
        <v>0.18749151736530856</v>
      </c>
      <c r="E86" s="50">
        <f t="shared" si="8"/>
        <v>6.657001932724585E-2</v>
      </c>
      <c r="F86" s="50">
        <f t="shared" si="8"/>
        <v>0.4479337394714743</v>
      </c>
      <c r="G86" s="50">
        <f t="shared" si="8"/>
        <v>0.1566723002736044</v>
      </c>
      <c r="H86" s="39"/>
      <c r="I86" s="60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X86"/>
    </row>
    <row r="87" spans="1:50" s="2" customFormat="1" x14ac:dyDescent="0.25">
      <c r="A87"/>
      <c r="C87" s="39"/>
      <c r="D87" s="39"/>
      <c r="E87" s="39"/>
      <c r="F87" s="39"/>
      <c r="G87" s="39"/>
      <c r="H87" s="39"/>
      <c r="I87" s="60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X87"/>
    </row>
    <row r="88" spans="1:50" s="2" customFormat="1" x14ac:dyDescent="0.25">
      <c r="A88"/>
      <c r="C88" s="39"/>
      <c r="D88" s="39"/>
      <c r="E88" s="39"/>
      <c r="F88" s="39"/>
      <c r="G88" s="39"/>
      <c r="H88" s="39"/>
      <c r="I88" s="60"/>
      <c r="J88" s="39"/>
      <c r="Y88"/>
      <c r="AG88"/>
      <c r="AN88"/>
      <c r="AO88"/>
      <c r="AX88"/>
    </row>
  </sheetData>
  <mergeCells count="13">
    <mergeCell ref="B40:G40"/>
    <mergeCell ref="J40:O40"/>
    <mergeCell ref="R40:W40"/>
    <mergeCell ref="Z40:AE40"/>
    <mergeCell ref="AH40:AM40"/>
    <mergeCell ref="AP40:AU40"/>
    <mergeCell ref="A29:A33"/>
    <mergeCell ref="A14:A17"/>
    <mergeCell ref="A19:A22"/>
    <mergeCell ref="A24:A27"/>
    <mergeCell ref="B1:G2"/>
    <mergeCell ref="A4:A7"/>
    <mergeCell ref="A9:A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Statistiche</vt:lpstr>
      <vt:lpstr>Results - Dataset</vt:lpstr>
      <vt:lpstr>Results - Valid</vt:lpstr>
      <vt:lpstr>Test Robustezza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2025-10-15T08:32:41Z</dcterms:modified>
</cp:coreProperties>
</file>