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Statistiche Modello" sheetId="1" r:id="rId1"/>
    <sheet name="Results- Training" sheetId="4" r:id="rId2"/>
    <sheet name="Results - Validation" sheetId="5" r:id="rId3"/>
    <sheet name="Robustezza" sheetId="2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5" l="1"/>
  <c r="E32" i="5"/>
  <c r="T31" i="5"/>
  <c r="U31" i="5" s="1"/>
  <c r="S31" i="5"/>
  <c r="L31" i="5"/>
  <c r="G31" i="5"/>
  <c r="E31" i="5"/>
  <c r="T30" i="5"/>
  <c r="U30" i="5" s="1"/>
  <c r="S30" i="5"/>
  <c r="L30" i="5"/>
  <c r="G30" i="5"/>
  <c r="E30" i="5"/>
  <c r="AG29" i="5"/>
  <c r="T29" i="5"/>
  <c r="U29" i="5" s="1"/>
  <c r="S29" i="5"/>
  <c r="L29" i="5"/>
  <c r="G29" i="5"/>
  <c r="E29" i="5"/>
  <c r="AG28" i="5"/>
  <c r="Z31" i="5"/>
  <c r="T28" i="5"/>
  <c r="U28" i="5" s="1"/>
  <c r="S28" i="5"/>
  <c r="L28" i="5"/>
  <c r="G28" i="5"/>
  <c r="E28" i="5"/>
  <c r="AG27" i="5"/>
  <c r="Z30" i="5"/>
  <c r="T27" i="5"/>
  <c r="U27" i="5" s="1"/>
  <c r="S27" i="5"/>
  <c r="L27" i="5"/>
  <c r="G27" i="5"/>
  <c r="E27" i="5"/>
  <c r="AG26" i="5"/>
  <c r="Z29" i="5"/>
  <c r="T26" i="5"/>
  <c r="U26" i="5" s="1"/>
  <c r="S26" i="5"/>
  <c r="L26" i="5"/>
  <c r="G26" i="5"/>
  <c r="E26" i="5"/>
  <c r="AG25" i="5"/>
  <c r="Z28" i="5"/>
  <c r="T25" i="5"/>
  <c r="U25" i="5" s="1"/>
  <c r="S25" i="5"/>
  <c r="L25" i="5"/>
  <c r="G25" i="5"/>
  <c r="E25" i="5"/>
  <c r="AG24" i="5"/>
  <c r="Z27" i="5"/>
  <c r="T24" i="5"/>
  <c r="U24" i="5" s="1"/>
  <c r="S24" i="5"/>
  <c r="L24" i="5"/>
  <c r="G24" i="5"/>
  <c r="E24" i="5"/>
  <c r="AG23" i="5"/>
  <c r="Z26" i="5"/>
  <c r="T23" i="5"/>
  <c r="U23" i="5" s="1"/>
  <c r="S23" i="5"/>
  <c r="L23" i="5"/>
  <c r="G23" i="5"/>
  <c r="E23" i="5"/>
  <c r="AG22" i="5"/>
  <c r="Z25" i="5"/>
  <c r="T22" i="5"/>
  <c r="U22" i="5" s="1"/>
  <c r="S22" i="5"/>
  <c r="L22" i="5"/>
  <c r="G22" i="5"/>
  <c r="E22" i="5"/>
  <c r="AG21" i="5"/>
  <c r="Z24" i="5"/>
  <c r="T21" i="5"/>
  <c r="U21" i="5" s="1"/>
  <c r="S21" i="5"/>
  <c r="L21" i="5"/>
  <c r="G21" i="5"/>
  <c r="E21" i="5"/>
  <c r="AG20" i="5"/>
  <c r="Z23" i="5"/>
  <c r="T20" i="5"/>
  <c r="U20" i="5" s="1"/>
  <c r="S20" i="5"/>
  <c r="L20" i="5"/>
  <c r="G20" i="5"/>
  <c r="E20" i="5"/>
  <c r="AG19" i="5"/>
  <c r="Z22" i="5"/>
  <c r="T19" i="5"/>
  <c r="U19" i="5" s="1"/>
  <c r="S19" i="5"/>
  <c r="L19" i="5"/>
  <c r="G19" i="5"/>
  <c r="E19" i="5"/>
  <c r="AG18" i="5"/>
  <c r="Z21" i="5"/>
  <c r="T18" i="5"/>
  <c r="S18" i="5"/>
  <c r="L18" i="5"/>
  <c r="G18" i="5"/>
  <c r="E18" i="5"/>
  <c r="AG17" i="5"/>
  <c r="Z20" i="5"/>
  <c r="T17" i="5"/>
  <c r="U17" i="5" s="1"/>
  <c r="S17" i="5"/>
  <c r="L17" i="5"/>
  <c r="G17" i="5"/>
  <c r="E17" i="5"/>
  <c r="AG16" i="5"/>
  <c r="Z19" i="5"/>
  <c r="T16" i="5"/>
  <c r="U16" i="5" s="1"/>
  <c r="S16" i="5"/>
  <c r="L16" i="5"/>
  <c r="G16" i="5"/>
  <c r="E16" i="5"/>
  <c r="AG15" i="5"/>
  <c r="Z18" i="5"/>
  <c r="T15" i="5"/>
  <c r="U15" i="5" s="1"/>
  <c r="S15" i="5"/>
  <c r="L15" i="5"/>
  <c r="G15" i="5"/>
  <c r="E15" i="5"/>
  <c r="AG14" i="5"/>
  <c r="Z17" i="5"/>
  <c r="T14" i="5"/>
  <c r="U14" i="5" s="1"/>
  <c r="S14" i="5"/>
  <c r="L14" i="5"/>
  <c r="G14" i="5"/>
  <c r="E14" i="5"/>
  <c r="AG13" i="5"/>
  <c r="Z16" i="5"/>
  <c r="T13" i="5"/>
  <c r="U13" i="5" s="1"/>
  <c r="S13" i="5"/>
  <c r="L13" i="5"/>
  <c r="G13" i="5"/>
  <c r="E13" i="5"/>
  <c r="AG12" i="5"/>
  <c r="Z15" i="5"/>
  <c r="T12" i="5"/>
  <c r="U12" i="5" s="1"/>
  <c r="S12" i="5"/>
  <c r="L12" i="5"/>
  <c r="G12" i="5"/>
  <c r="E12" i="5"/>
  <c r="Z14" i="5"/>
  <c r="Z13" i="5"/>
  <c r="Z12" i="5"/>
  <c r="AE9" i="5"/>
  <c r="X9" i="5"/>
  <c r="Q9" i="5"/>
  <c r="J9" i="5"/>
  <c r="C9" i="5"/>
  <c r="J7" i="5"/>
  <c r="C7" i="5"/>
  <c r="AE6" i="5"/>
  <c r="X6" i="5"/>
  <c r="Q6" i="5"/>
  <c r="J6" i="5"/>
  <c r="C6" i="5"/>
  <c r="AE5" i="5"/>
  <c r="X5" i="5"/>
  <c r="Q5" i="5"/>
  <c r="J5" i="5"/>
  <c r="C5" i="5"/>
  <c r="B5" i="4"/>
  <c r="G5" i="4"/>
  <c r="L5" i="4"/>
  <c r="Q5" i="4"/>
  <c r="V5" i="4"/>
  <c r="B6" i="4"/>
  <c r="G6" i="4"/>
  <c r="L6" i="4"/>
  <c r="Q6" i="4"/>
  <c r="V6" i="4"/>
  <c r="B8" i="4"/>
  <c r="G8" i="4"/>
  <c r="L8" i="4"/>
  <c r="Q8" i="4"/>
  <c r="V8" i="4"/>
  <c r="B9" i="4"/>
  <c r="G9" i="4"/>
  <c r="L9" i="4"/>
  <c r="Q9" i="4"/>
  <c r="V9" i="4"/>
  <c r="B10" i="4"/>
  <c r="G10" i="4"/>
  <c r="L10" i="4"/>
  <c r="Q10" i="4"/>
  <c r="V10" i="4"/>
  <c r="B11" i="4"/>
  <c r="G11" i="4"/>
  <c r="L11" i="4"/>
  <c r="Q11" i="4"/>
  <c r="V11" i="4"/>
  <c r="B12" i="4"/>
  <c r="G12" i="4"/>
  <c r="L12" i="4"/>
  <c r="Q12" i="4"/>
  <c r="V12" i="4"/>
  <c r="D15" i="4"/>
  <c r="I15" i="4"/>
  <c r="N15" i="4"/>
  <c r="S15" i="4"/>
  <c r="X15" i="4"/>
  <c r="D16" i="4"/>
  <c r="I16" i="4"/>
  <c r="N16" i="4"/>
  <c r="S16" i="4"/>
  <c r="X16" i="4"/>
  <c r="D17" i="4"/>
  <c r="I17" i="4"/>
  <c r="N17" i="4"/>
  <c r="S17" i="4"/>
  <c r="X17" i="4"/>
  <c r="D18" i="4"/>
  <c r="I18" i="4"/>
  <c r="N18" i="4"/>
  <c r="S18" i="4"/>
  <c r="X18" i="4"/>
  <c r="D19" i="4"/>
  <c r="I19" i="4"/>
  <c r="N19" i="4"/>
  <c r="S19" i="4"/>
  <c r="X19" i="4"/>
  <c r="D20" i="4"/>
  <c r="I20" i="4"/>
  <c r="N20" i="4"/>
  <c r="S20" i="4"/>
  <c r="X20" i="4"/>
  <c r="D21" i="4"/>
  <c r="I21" i="4"/>
  <c r="N21" i="4"/>
  <c r="S21" i="4"/>
  <c r="X21" i="4"/>
  <c r="D22" i="4"/>
  <c r="I22" i="4"/>
  <c r="N22" i="4"/>
  <c r="S22" i="4"/>
  <c r="X22" i="4"/>
  <c r="D23" i="4"/>
  <c r="I23" i="4"/>
  <c r="N23" i="4"/>
  <c r="S23" i="4"/>
  <c r="X23" i="4"/>
  <c r="D24" i="4"/>
  <c r="I24" i="4"/>
  <c r="N24" i="4"/>
  <c r="S24" i="4"/>
  <c r="X24" i="4"/>
  <c r="D25" i="4"/>
  <c r="I25" i="4"/>
  <c r="N25" i="4"/>
  <c r="S25" i="4"/>
  <c r="X25" i="4"/>
  <c r="D26" i="4"/>
  <c r="I26" i="4"/>
  <c r="N26" i="4"/>
  <c r="S26" i="4"/>
  <c r="X26" i="4"/>
  <c r="D27" i="4"/>
  <c r="I27" i="4"/>
  <c r="N27" i="4"/>
  <c r="S27" i="4"/>
  <c r="X27" i="4"/>
  <c r="D28" i="4"/>
  <c r="I28" i="4"/>
  <c r="N28" i="4"/>
  <c r="S28" i="4"/>
  <c r="X28" i="4"/>
  <c r="D29" i="4"/>
  <c r="I29" i="4"/>
  <c r="N29" i="4"/>
  <c r="S29" i="4"/>
  <c r="X29" i="4"/>
  <c r="D30" i="4"/>
  <c r="I30" i="4"/>
  <c r="N30" i="4"/>
  <c r="S30" i="4"/>
  <c r="X30" i="4"/>
  <c r="D31" i="4"/>
  <c r="I31" i="4"/>
  <c r="N31" i="4"/>
  <c r="S31" i="4"/>
  <c r="X31" i="4"/>
  <c r="D32" i="4"/>
  <c r="I32" i="4"/>
  <c r="N32" i="4"/>
  <c r="S32" i="4"/>
  <c r="X32" i="4"/>
  <c r="D33" i="4"/>
  <c r="I33" i="4"/>
  <c r="N33" i="4"/>
  <c r="S33" i="4"/>
  <c r="X33" i="4"/>
  <c r="D34" i="4"/>
  <c r="I34" i="4"/>
  <c r="N34" i="4"/>
  <c r="S34" i="4"/>
  <c r="X34" i="4"/>
  <c r="D35" i="4"/>
  <c r="I35" i="4"/>
  <c r="N35" i="4"/>
  <c r="S35" i="4"/>
  <c r="X35" i="4"/>
  <c r="D36" i="4"/>
  <c r="I36" i="4"/>
  <c r="N36" i="4"/>
  <c r="S36" i="4"/>
  <c r="X36" i="4"/>
  <c r="D37" i="4"/>
  <c r="I37" i="4"/>
  <c r="N37" i="4"/>
  <c r="S37" i="4"/>
  <c r="X37" i="4"/>
  <c r="D38" i="4"/>
  <c r="I38" i="4"/>
  <c r="N38" i="4"/>
  <c r="S38" i="4"/>
  <c r="X38" i="4"/>
  <c r="D39" i="4"/>
  <c r="I39" i="4"/>
  <c r="N39" i="4"/>
  <c r="S39" i="4"/>
  <c r="X39" i="4"/>
  <c r="D40" i="4"/>
  <c r="I40" i="4"/>
  <c r="N40" i="4"/>
  <c r="S40" i="4"/>
  <c r="X40" i="4"/>
  <c r="D41" i="4"/>
  <c r="I41" i="4"/>
  <c r="N41" i="4"/>
  <c r="S41" i="4"/>
  <c r="X41" i="4"/>
  <c r="D42" i="4"/>
  <c r="I42" i="4"/>
  <c r="N42" i="4"/>
  <c r="S42" i="4"/>
  <c r="X42" i="4"/>
  <c r="D43" i="4"/>
  <c r="I43" i="4"/>
  <c r="N43" i="4"/>
  <c r="S43" i="4"/>
  <c r="X43" i="4"/>
  <c r="D44" i="4"/>
  <c r="I44" i="4"/>
  <c r="N44" i="4"/>
  <c r="S44" i="4"/>
  <c r="X44" i="4"/>
  <c r="D45" i="4"/>
  <c r="I45" i="4"/>
  <c r="N45" i="4"/>
  <c r="S45" i="4"/>
  <c r="X45" i="4"/>
  <c r="D46" i="4"/>
  <c r="I46" i="4"/>
  <c r="N46" i="4"/>
  <c r="S46" i="4"/>
  <c r="X46" i="4"/>
  <c r="D47" i="4"/>
  <c r="I47" i="4"/>
  <c r="N47" i="4"/>
  <c r="S47" i="4"/>
  <c r="X47" i="4"/>
  <c r="D48" i="4"/>
  <c r="I48" i="4"/>
  <c r="N48" i="4"/>
  <c r="S48" i="4"/>
  <c r="X48" i="4"/>
  <c r="D49" i="4"/>
  <c r="I49" i="4"/>
  <c r="N49" i="4"/>
  <c r="S49" i="4"/>
  <c r="X49" i="4"/>
  <c r="D50" i="4"/>
  <c r="I50" i="4"/>
  <c r="N50" i="4"/>
  <c r="S50" i="4"/>
  <c r="X50" i="4"/>
  <c r="D51" i="4"/>
  <c r="I51" i="4"/>
  <c r="N51" i="4"/>
  <c r="S51" i="4"/>
  <c r="X51" i="4"/>
  <c r="D52" i="4"/>
  <c r="I52" i="4"/>
  <c r="N52" i="4"/>
  <c r="S52" i="4"/>
  <c r="X52" i="4"/>
  <c r="D53" i="4"/>
  <c r="I53" i="4"/>
  <c r="N53" i="4"/>
  <c r="S53" i="4"/>
  <c r="X53" i="4"/>
  <c r="D54" i="4"/>
  <c r="I54" i="4"/>
  <c r="N54" i="4"/>
  <c r="S54" i="4"/>
  <c r="X54" i="4"/>
  <c r="D55" i="4"/>
  <c r="I55" i="4"/>
  <c r="N55" i="4"/>
  <c r="S55" i="4"/>
  <c r="X55" i="4"/>
  <c r="D56" i="4"/>
  <c r="I56" i="4"/>
  <c r="N56" i="4"/>
  <c r="S56" i="4"/>
  <c r="X56" i="4"/>
  <c r="D57" i="4"/>
  <c r="I57" i="4"/>
  <c r="N57" i="4"/>
  <c r="S57" i="4"/>
  <c r="X57" i="4"/>
  <c r="D58" i="4"/>
  <c r="I58" i="4"/>
  <c r="N58" i="4"/>
  <c r="S58" i="4"/>
  <c r="X58" i="4"/>
  <c r="D59" i="4"/>
  <c r="I59" i="4"/>
  <c r="N59" i="4"/>
  <c r="S59" i="4"/>
  <c r="X59" i="4"/>
  <c r="D60" i="4"/>
  <c r="I60" i="4"/>
  <c r="N60" i="4"/>
  <c r="S60" i="4"/>
  <c r="X60" i="4"/>
  <c r="D61" i="4"/>
  <c r="I61" i="4"/>
  <c r="N61" i="4"/>
  <c r="S61" i="4"/>
  <c r="X61" i="4"/>
  <c r="D62" i="4"/>
  <c r="I62" i="4"/>
  <c r="N62" i="4"/>
  <c r="S62" i="4"/>
  <c r="X62" i="4"/>
  <c r="D63" i="4"/>
  <c r="I63" i="4"/>
  <c r="N63" i="4"/>
  <c r="S63" i="4"/>
  <c r="X63" i="4"/>
  <c r="D64" i="4"/>
  <c r="I64" i="4"/>
  <c r="N64" i="4"/>
  <c r="S64" i="4"/>
  <c r="X64" i="4"/>
  <c r="D65" i="4"/>
  <c r="I65" i="4"/>
  <c r="N65" i="4"/>
  <c r="S65" i="4"/>
  <c r="X65" i="4"/>
  <c r="D66" i="4"/>
  <c r="I66" i="4"/>
  <c r="N66" i="4"/>
  <c r="S66" i="4"/>
  <c r="X66" i="4"/>
  <c r="D67" i="4"/>
  <c r="I67" i="4"/>
  <c r="N67" i="4"/>
  <c r="S67" i="4"/>
  <c r="X67" i="4"/>
  <c r="D68" i="4"/>
  <c r="I68" i="4"/>
  <c r="N68" i="4"/>
  <c r="S68" i="4"/>
  <c r="X68" i="4"/>
  <c r="D69" i="4"/>
  <c r="I69" i="4"/>
  <c r="N69" i="4"/>
  <c r="S69" i="4"/>
  <c r="X69" i="4"/>
  <c r="D70" i="4"/>
  <c r="I70" i="4"/>
  <c r="N70" i="4"/>
  <c r="S70" i="4"/>
  <c r="X70" i="4"/>
  <c r="D71" i="4"/>
  <c r="I71" i="4"/>
  <c r="N71" i="4"/>
  <c r="S71" i="4"/>
  <c r="X71" i="4"/>
  <c r="D72" i="4"/>
  <c r="I72" i="4"/>
  <c r="N72" i="4"/>
  <c r="S72" i="4"/>
  <c r="X72" i="4"/>
  <c r="D73" i="4"/>
  <c r="I73" i="4"/>
  <c r="N73" i="4"/>
  <c r="S73" i="4"/>
  <c r="X73" i="4"/>
  <c r="D74" i="4"/>
  <c r="I74" i="4"/>
  <c r="N74" i="4"/>
  <c r="S74" i="4"/>
  <c r="X74" i="4"/>
  <c r="D75" i="4"/>
  <c r="I75" i="4"/>
  <c r="N75" i="4"/>
  <c r="S75" i="4"/>
  <c r="X75" i="4"/>
  <c r="D76" i="4"/>
  <c r="I76" i="4"/>
  <c r="N76" i="4"/>
  <c r="S76" i="4"/>
  <c r="X76" i="4"/>
  <c r="D77" i="4"/>
  <c r="I77" i="4"/>
  <c r="N77" i="4"/>
  <c r="S77" i="4"/>
  <c r="X77" i="4"/>
  <c r="D78" i="4"/>
  <c r="I78" i="4"/>
  <c r="N78" i="4"/>
  <c r="S78" i="4"/>
  <c r="X78" i="4"/>
  <c r="D79" i="4"/>
  <c r="I79" i="4"/>
  <c r="N79" i="4"/>
  <c r="S79" i="4"/>
  <c r="X79" i="4"/>
  <c r="D80" i="4"/>
  <c r="I80" i="4"/>
  <c r="N80" i="4"/>
  <c r="S80" i="4"/>
  <c r="X80" i="4"/>
  <c r="D81" i="4"/>
  <c r="I81" i="4"/>
  <c r="N81" i="4"/>
  <c r="S81" i="4"/>
  <c r="X81" i="4"/>
  <c r="D82" i="4"/>
  <c r="I82" i="4"/>
  <c r="N82" i="4"/>
  <c r="S82" i="4"/>
  <c r="X82" i="4"/>
  <c r="D83" i="4"/>
  <c r="I83" i="4"/>
  <c r="N83" i="4"/>
  <c r="S83" i="4"/>
  <c r="X83" i="4"/>
  <c r="D84" i="4"/>
  <c r="I84" i="4"/>
  <c r="N84" i="4"/>
  <c r="S84" i="4"/>
  <c r="X84" i="4"/>
  <c r="D85" i="4"/>
  <c r="I85" i="4"/>
  <c r="N85" i="4"/>
  <c r="S85" i="4"/>
  <c r="X85" i="4"/>
  <c r="D86" i="4"/>
  <c r="I86" i="4"/>
  <c r="N86" i="4"/>
  <c r="S86" i="4"/>
  <c r="X86" i="4"/>
  <c r="D87" i="4"/>
  <c r="I87" i="4"/>
  <c r="N87" i="4"/>
  <c r="S87" i="4"/>
  <c r="X87" i="4"/>
  <c r="D88" i="4"/>
  <c r="I88" i="4"/>
  <c r="N88" i="4"/>
  <c r="S88" i="4"/>
  <c r="X88" i="4"/>
  <c r="D89" i="4"/>
  <c r="I89" i="4"/>
  <c r="N89" i="4"/>
  <c r="S89" i="4"/>
  <c r="X89" i="4"/>
  <c r="D90" i="4"/>
  <c r="I90" i="4"/>
  <c r="N90" i="4"/>
  <c r="S90" i="4"/>
  <c r="X90" i="4"/>
  <c r="D91" i="4"/>
  <c r="I91" i="4"/>
  <c r="N91" i="4"/>
  <c r="S91" i="4"/>
  <c r="X91" i="4"/>
  <c r="D92" i="4"/>
  <c r="I92" i="4"/>
  <c r="N92" i="4"/>
  <c r="S92" i="4"/>
  <c r="X92" i="4"/>
  <c r="D93" i="4"/>
  <c r="I93" i="4"/>
  <c r="N93" i="4"/>
  <c r="S93" i="4"/>
  <c r="X93" i="4"/>
  <c r="D94" i="4"/>
  <c r="I94" i="4"/>
  <c r="N94" i="4"/>
  <c r="S94" i="4"/>
  <c r="X94" i="4"/>
  <c r="D95" i="4"/>
  <c r="I95" i="4"/>
  <c r="N95" i="4"/>
  <c r="S95" i="4"/>
  <c r="X95" i="4"/>
  <c r="D96" i="4"/>
  <c r="I96" i="4"/>
  <c r="N96" i="4"/>
  <c r="S96" i="4"/>
  <c r="X96" i="4"/>
  <c r="D97" i="4"/>
  <c r="I97" i="4"/>
  <c r="N97" i="4"/>
  <c r="S97" i="4"/>
  <c r="X97" i="4"/>
  <c r="D98" i="4"/>
  <c r="I98" i="4"/>
  <c r="N98" i="4"/>
  <c r="S98" i="4"/>
  <c r="X98" i="4"/>
  <c r="D99" i="4"/>
  <c r="I99" i="4"/>
  <c r="N99" i="4"/>
  <c r="S99" i="4"/>
  <c r="X99" i="4"/>
  <c r="D100" i="4"/>
  <c r="I100" i="4"/>
  <c r="N100" i="4"/>
  <c r="S100" i="4"/>
  <c r="X100" i="4"/>
  <c r="D101" i="4"/>
  <c r="I101" i="4"/>
  <c r="N101" i="4"/>
  <c r="S101" i="4"/>
  <c r="X101" i="4"/>
  <c r="D102" i="4"/>
  <c r="I102" i="4"/>
  <c r="N102" i="4"/>
  <c r="S102" i="4"/>
  <c r="X102" i="4"/>
  <c r="D103" i="4"/>
  <c r="I103" i="4"/>
  <c r="N103" i="4"/>
  <c r="S103" i="4"/>
  <c r="X103" i="4"/>
  <c r="D104" i="4"/>
  <c r="I104" i="4"/>
  <c r="N104" i="4"/>
  <c r="S104" i="4"/>
  <c r="X104" i="4"/>
  <c r="D105" i="4"/>
  <c r="I105" i="4"/>
  <c r="N105" i="4"/>
  <c r="S105" i="4"/>
  <c r="X105" i="4"/>
  <c r="D106" i="4"/>
  <c r="I106" i="4"/>
  <c r="N106" i="4"/>
  <c r="S106" i="4"/>
  <c r="X106" i="4"/>
  <c r="D107" i="4"/>
  <c r="I107" i="4"/>
  <c r="N107" i="4"/>
  <c r="S107" i="4"/>
  <c r="X107" i="4"/>
  <c r="D108" i="4"/>
  <c r="I108" i="4"/>
  <c r="N108" i="4"/>
  <c r="S108" i="4"/>
  <c r="X108" i="4"/>
  <c r="D109" i="4"/>
  <c r="I109" i="4"/>
  <c r="N109" i="4"/>
  <c r="S109" i="4"/>
  <c r="X109" i="4"/>
  <c r="D110" i="4"/>
  <c r="I110" i="4"/>
  <c r="N110" i="4"/>
  <c r="S110" i="4"/>
  <c r="X110" i="4"/>
  <c r="D111" i="4"/>
  <c r="I111" i="4"/>
  <c r="N111" i="4"/>
  <c r="S111" i="4"/>
  <c r="X111" i="4"/>
  <c r="D112" i="4"/>
  <c r="I112" i="4"/>
  <c r="N112" i="4"/>
  <c r="S112" i="4"/>
  <c r="X112" i="4"/>
  <c r="D113" i="4"/>
  <c r="I113" i="4"/>
  <c r="N113" i="4"/>
  <c r="S113" i="4"/>
  <c r="X113" i="4"/>
  <c r="D114" i="4"/>
  <c r="I114" i="4"/>
  <c r="N114" i="4"/>
  <c r="S114" i="4"/>
  <c r="X114" i="4"/>
  <c r="D115" i="4"/>
  <c r="I115" i="4"/>
  <c r="N115" i="4"/>
  <c r="S115" i="4"/>
  <c r="X115" i="4"/>
  <c r="D116" i="4"/>
  <c r="I116" i="4"/>
  <c r="N116" i="4"/>
  <c r="S116" i="4"/>
  <c r="X116" i="4"/>
  <c r="D117" i="4"/>
  <c r="I117" i="4"/>
  <c r="N117" i="4"/>
  <c r="S117" i="4"/>
  <c r="X117" i="4"/>
  <c r="D118" i="4"/>
  <c r="I118" i="4"/>
  <c r="N118" i="4"/>
  <c r="S118" i="4"/>
  <c r="X118" i="4"/>
  <c r="D119" i="4"/>
  <c r="I119" i="4"/>
  <c r="N119" i="4"/>
  <c r="S119" i="4"/>
  <c r="X119" i="4"/>
  <c r="D120" i="4"/>
  <c r="I120" i="4"/>
  <c r="N120" i="4"/>
  <c r="S120" i="4"/>
  <c r="X120" i="4"/>
  <c r="D121" i="4"/>
  <c r="I121" i="4"/>
  <c r="N121" i="4"/>
  <c r="S121" i="4"/>
  <c r="X121" i="4"/>
  <c r="D122" i="4"/>
  <c r="I122" i="4"/>
  <c r="N122" i="4"/>
  <c r="S122" i="4"/>
  <c r="X122" i="4"/>
  <c r="D123" i="4"/>
  <c r="I123" i="4"/>
  <c r="N123" i="4"/>
  <c r="S123" i="4"/>
  <c r="X123" i="4"/>
  <c r="D124" i="4"/>
  <c r="I124" i="4"/>
  <c r="N124" i="4"/>
  <c r="S124" i="4"/>
  <c r="X124" i="4"/>
  <c r="D125" i="4"/>
  <c r="I125" i="4"/>
  <c r="N125" i="4"/>
  <c r="S125" i="4"/>
  <c r="X125" i="4"/>
  <c r="D126" i="4"/>
  <c r="I126" i="4"/>
  <c r="N126" i="4"/>
  <c r="X126" i="4"/>
  <c r="D127" i="4"/>
  <c r="I127" i="4"/>
  <c r="N127" i="4"/>
  <c r="X127" i="4"/>
  <c r="D128" i="4"/>
  <c r="I128" i="4"/>
  <c r="N128" i="4"/>
  <c r="X128" i="4"/>
  <c r="D129" i="4"/>
  <c r="I129" i="4"/>
  <c r="N129" i="4"/>
  <c r="X129" i="4"/>
  <c r="D130" i="4"/>
  <c r="I130" i="4"/>
  <c r="N130" i="4"/>
  <c r="X130" i="4"/>
  <c r="D131" i="4"/>
  <c r="I131" i="4"/>
  <c r="N131" i="4"/>
  <c r="X131" i="4"/>
  <c r="D132" i="4"/>
  <c r="I132" i="4"/>
  <c r="N132" i="4"/>
  <c r="X132" i="4"/>
  <c r="D133" i="4"/>
  <c r="I133" i="4"/>
  <c r="N133" i="4"/>
  <c r="X133" i="4"/>
  <c r="D134" i="4"/>
  <c r="I134" i="4"/>
  <c r="N134" i="4"/>
  <c r="X134" i="4"/>
  <c r="D135" i="4"/>
  <c r="I135" i="4"/>
  <c r="N135" i="4"/>
  <c r="X135" i="4"/>
  <c r="D136" i="4"/>
  <c r="I136" i="4"/>
  <c r="N136" i="4"/>
  <c r="X136" i="4"/>
  <c r="D137" i="4"/>
  <c r="I137" i="4"/>
  <c r="N137" i="4"/>
  <c r="X137" i="4"/>
  <c r="D138" i="4"/>
  <c r="I138" i="4"/>
  <c r="N138" i="4"/>
  <c r="X138" i="4"/>
  <c r="D139" i="4"/>
  <c r="I139" i="4"/>
  <c r="N139" i="4"/>
  <c r="X139" i="4"/>
  <c r="D140" i="4"/>
  <c r="I140" i="4"/>
  <c r="N140" i="4"/>
  <c r="X140" i="4"/>
  <c r="D141" i="4"/>
  <c r="I141" i="4"/>
  <c r="N141" i="4"/>
  <c r="X141" i="4"/>
  <c r="D142" i="4"/>
  <c r="I142" i="4"/>
  <c r="N142" i="4"/>
  <c r="X142" i="4"/>
  <c r="D143" i="4"/>
  <c r="I143" i="4"/>
  <c r="N143" i="4"/>
  <c r="X143" i="4"/>
  <c r="D144" i="4"/>
  <c r="I144" i="4"/>
  <c r="N144" i="4"/>
  <c r="X144" i="4"/>
  <c r="D145" i="4"/>
  <c r="I145" i="4"/>
  <c r="N145" i="4"/>
  <c r="X145" i="4"/>
  <c r="D146" i="4"/>
  <c r="I146" i="4"/>
  <c r="N146" i="4"/>
  <c r="X146" i="4"/>
  <c r="D147" i="4"/>
  <c r="I147" i="4"/>
  <c r="N147" i="4"/>
  <c r="X147" i="4"/>
  <c r="D148" i="4"/>
  <c r="I148" i="4"/>
  <c r="N148" i="4"/>
  <c r="X148" i="4"/>
  <c r="D149" i="4"/>
  <c r="I149" i="4"/>
  <c r="N149" i="4"/>
  <c r="X149" i="4"/>
  <c r="D150" i="4"/>
  <c r="I150" i="4"/>
  <c r="N150" i="4"/>
  <c r="X150" i="4"/>
  <c r="D151" i="4"/>
  <c r="I151" i="4"/>
  <c r="N151" i="4"/>
  <c r="X151" i="4"/>
  <c r="D152" i="4"/>
  <c r="I152" i="4"/>
  <c r="N152" i="4"/>
  <c r="X152" i="4"/>
  <c r="D153" i="4"/>
  <c r="I153" i="4"/>
  <c r="N153" i="4"/>
  <c r="X153" i="4"/>
  <c r="D154" i="4"/>
  <c r="I154" i="4"/>
  <c r="N154" i="4"/>
  <c r="X154" i="4"/>
  <c r="D155" i="4"/>
  <c r="I155" i="4"/>
  <c r="N155" i="4"/>
  <c r="X155" i="4"/>
  <c r="D156" i="4"/>
  <c r="I156" i="4"/>
  <c r="N156" i="4"/>
  <c r="X156" i="4"/>
  <c r="D157" i="4"/>
  <c r="I157" i="4"/>
  <c r="N157" i="4"/>
  <c r="X157" i="4"/>
  <c r="D158" i="4"/>
  <c r="I158" i="4"/>
  <c r="N158" i="4"/>
  <c r="X158" i="4"/>
  <c r="D159" i="4"/>
  <c r="I159" i="4"/>
  <c r="N159" i="4"/>
  <c r="X159" i="4"/>
  <c r="D160" i="4"/>
  <c r="I160" i="4"/>
  <c r="N160" i="4"/>
  <c r="X160" i="4"/>
  <c r="D161" i="4"/>
  <c r="I161" i="4"/>
  <c r="N161" i="4"/>
  <c r="X161" i="4"/>
  <c r="D162" i="4"/>
  <c r="I162" i="4"/>
  <c r="N162" i="4"/>
  <c r="X162" i="4"/>
  <c r="D163" i="4"/>
  <c r="I163" i="4"/>
  <c r="N163" i="4"/>
  <c r="D164" i="4"/>
  <c r="I164" i="4"/>
  <c r="N164" i="4"/>
  <c r="D165" i="4"/>
  <c r="I165" i="4"/>
  <c r="D166" i="4"/>
  <c r="I166" i="4"/>
  <c r="D167" i="4"/>
  <c r="I167" i="4"/>
  <c r="D168" i="4"/>
  <c r="I168" i="4"/>
  <c r="D169" i="4"/>
  <c r="D170" i="4"/>
  <c r="D171" i="4"/>
  <c r="X4" i="5" l="1"/>
  <c r="AA26" i="5" s="1"/>
  <c r="AB26" i="5" s="1"/>
  <c r="X3" i="5"/>
  <c r="Q7" i="5"/>
  <c r="AE4" i="5"/>
  <c r="AH26" i="5" s="1"/>
  <c r="AI26" i="5" s="1"/>
  <c r="C3" i="5"/>
  <c r="J4" i="5"/>
  <c r="M30" i="5" s="1"/>
  <c r="N30" i="5" s="1"/>
  <c r="Q3" i="5"/>
  <c r="J3" i="5"/>
  <c r="C4" i="5"/>
  <c r="F22" i="5" s="1"/>
  <c r="AE3" i="5"/>
  <c r="G9" i="5"/>
  <c r="U18" i="5"/>
  <c r="U9" i="5" s="1"/>
  <c r="C8" i="5"/>
  <c r="AA17" i="5"/>
  <c r="AB17" i="5" s="1"/>
  <c r="AA25" i="5"/>
  <c r="AB25" i="5" s="1"/>
  <c r="AA16" i="5"/>
  <c r="AB16" i="5" s="1"/>
  <c r="AA24" i="5"/>
  <c r="AB24" i="5" s="1"/>
  <c r="AA15" i="5"/>
  <c r="AB15" i="5" s="1"/>
  <c r="F19" i="5"/>
  <c r="AA23" i="5"/>
  <c r="AB23" i="5" s="1"/>
  <c r="AA31" i="5"/>
  <c r="AB31" i="5" s="1"/>
  <c r="AA14" i="5"/>
  <c r="AB14" i="5" s="1"/>
  <c r="F18" i="5"/>
  <c r="AA22" i="5"/>
  <c r="AB22" i="5" s="1"/>
  <c r="F26" i="5"/>
  <c r="AA30" i="5"/>
  <c r="AB30" i="5" s="1"/>
  <c r="AA21" i="5"/>
  <c r="AB21" i="5" s="1"/>
  <c r="AA29" i="5"/>
  <c r="AB29" i="5" s="1"/>
  <c r="F30" i="5"/>
  <c r="AA13" i="5"/>
  <c r="AB13" i="5" s="1"/>
  <c r="AA20" i="5"/>
  <c r="AB20" i="5" s="1"/>
  <c r="AA28" i="5"/>
  <c r="AB28" i="5" s="1"/>
  <c r="AA19" i="5"/>
  <c r="AB19" i="5" s="1"/>
  <c r="AA27" i="5"/>
  <c r="AB27" i="5" s="1"/>
  <c r="AA12" i="5"/>
  <c r="AA18" i="5"/>
  <c r="AB18" i="5" s="1"/>
  <c r="V4" i="4"/>
  <c r="Q3" i="4"/>
  <c r="L3" i="4"/>
  <c r="G3" i="4"/>
  <c r="B4" i="4"/>
  <c r="L4" i="4"/>
  <c r="B3" i="4"/>
  <c r="Q4" i="4"/>
  <c r="V3" i="4"/>
  <c r="G4" i="4"/>
  <c r="AU52" i="2"/>
  <c r="AT52" i="2"/>
  <c r="AS52" i="2"/>
  <c r="AR52" i="2"/>
  <c r="AQ52" i="2"/>
  <c r="AP52" i="2"/>
  <c r="AU51" i="2"/>
  <c r="AT51" i="2"/>
  <c r="AS51" i="2"/>
  <c r="AR51" i="2"/>
  <c r="AQ51" i="2"/>
  <c r="AP51" i="2"/>
  <c r="AU47" i="2"/>
  <c r="AT47" i="2"/>
  <c r="AS47" i="2"/>
  <c r="AR47" i="2"/>
  <c r="AQ47" i="2"/>
  <c r="AP47" i="2"/>
  <c r="AQ42" i="2"/>
  <c r="AR42" i="2"/>
  <c r="AS42" i="2"/>
  <c r="AT42" i="2"/>
  <c r="AU42" i="2"/>
  <c r="AP42" i="2"/>
  <c r="AT43" i="2"/>
  <c r="AU43" i="2"/>
  <c r="AQ43" i="2"/>
  <c r="AP43" i="2"/>
  <c r="AR43" i="2"/>
  <c r="AS43" i="2"/>
  <c r="AQ44" i="2"/>
  <c r="AR44" i="2"/>
  <c r="AS44" i="2"/>
  <c r="AT44" i="2"/>
  <c r="AP44" i="2"/>
  <c r="AU44" i="2"/>
  <c r="AR45" i="2"/>
  <c r="AS45" i="2"/>
  <c r="AT45" i="2"/>
  <c r="AU45" i="2"/>
  <c r="AP45" i="2"/>
  <c r="AQ45" i="2"/>
  <c r="AS46" i="2"/>
  <c r="AU46" i="2"/>
  <c r="AQ46" i="2"/>
  <c r="AR46" i="2"/>
  <c r="AP46" i="2"/>
  <c r="AT46" i="2"/>
  <c r="AQ48" i="2"/>
  <c r="AR48" i="2"/>
  <c r="AS48" i="2"/>
  <c r="AT48" i="2"/>
  <c r="AU48" i="2"/>
  <c r="AP48" i="2"/>
  <c r="AT49" i="2"/>
  <c r="AU49" i="2"/>
  <c r="AQ49" i="2"/>
  <c r="AP49" i="2"/>
  <c r="AR49" i="2"/>
  <c r="AS49" i="2"/>
  <c r="AQ50" i="2"/>
  <c r="AR50" i="2"/>
  <c r="AS50" i="2"/>
  <c r="AT50" i="2"/>
  <c r="AP50" i="2"/>
  <c r="AU50" i="2"/>
  <c r="AQ53" i="2"/>
  <c r="AR53" i="2"/>
  <c r="AS53" i="2"/>
  <c r="AP53" i="2"/>
  <c r="AT53" i="2"/>
  <c r="AU53" i="2"/>
  <c r="B86" i="2"/>
  <c r="B85" i="2"/>
  <c r="B84" i="2"/>
  <c r="B83" i="2"/>
  <c r="B82" i="2"/>
  <c r="B81" i="2"/>
  <c r="B80" i="2"/>
  <c r="B79" i="2"/>
  <c r="B78" i="2"/>
  <c r="B77" i="2"/>
  <c r="B76" i="2"/>
  <c r="B75" i="2"/>
  <c r="B33" i="2"/>
  <c r="B32" i="2"/>
  <c r="B31" i="2"/>
  <c r="B30" i="2"/>
  <c r="B27" i="2"/>
  <c r="B26" i="2"/>
  <c r="B25" i="2"/>
  <c r="B24" i="2"/>
  <c r="B22" i="2"/>
  <c r="B21" i="2"/>
  <c r="B20" i="2"/>
  <c r="B19" i="2"/>
  <c r="B17" i="2"/>
  <c r="B16" i="2"/>
  <c r="B15" i="2"/>
  <c r="B14" i="2"/>
  <c r="B12" i="2"/>
  <c r="B11" i="2"/>
  <c r="B10" i="2"/>
  <c r="B9" i="2"/>
  <c r="AH27" i="5" l="1"/>
  <c r="AI27" i="5" s="1"/>
  <c r="AH23" i="5"/>
  <c r="AI23" i="5" s="1"/>
  <c r="AH13" i="5"/>
  <c r="AI13" i="5" s="1"/>
  <c r="AH20" i="5"/>
  <c r="AI20" i="5" s="1"/>
  <c r="AH29" i="5"/>
  <c r="AI29" i="5" s="1"/>
  <c r="AH24" i="5"/>
  <c r="AI24" i="5" s="1"/>
  <c r="AH19" i="5"/>
  <c r="AI19" i="5" s="1"/>
  <c r="AH25" i="5"/>
  <c r="AI25" i="5" s="1"/>
  <c r="AH12" i="5"/>
  <c r="AI12" i="5" s="1"/>
  <c r="AH16" i="5"/>
  <c r="AI16" i="5" s="1"/>
  <c r="AH22" i="5"/>
  <c r="AI22" i="5" s="1"/>
  <c r="AH15" i="5"/>
  <c r="AI15" i="5" s="1"/>
  <c r="AH18" i="5"/>
  <c r="AI18" i="5" s="1"/>
  <c r="AH28" i="5"/>
  <c r="AI28" i="5" s="1"/>
  <c r="AH21" i="5"/>
  <c r="AI21" i="5" s="1"/>
  <c r="AH14" i="5"/>
  <c r="AI14" i="5" s="1"/>
  <c r="AH17" i="5"/>
  <c r="AI17" i="5" s="1"/>
  <c r="M12" i="5"/>
  <c r="N12" i="5" s="1"/>
  <c r="J8" i="5" s="1"/>
  <c r="M16" i="5"/>
  <c r="N16" i="5" s="1"/>
  <c r="M28" i="5"/>
  <c r="N28" i="5" s="1"/>
  <c r="M26" i="5"/>
  <c r="N26" i="5" s="1"/>
  <c r="M18" i="5"/>
  <c r="N18" i="5" s="1"/>
  <c r="M23" i="5"/>
  <c r="N23" i="5" s="1"/>
  <c r="M17" i="5"/>
  <c r="N17" i="5" s="1"/>
  <c r="M29" i="5"/>
  <c r="N29" i="5" s="1"/>
  <c r="M13" i="5"/>
  <c r="N13" i="5" s="1"/>
  <c r="M14" i="5"/>
  <c r="N14" i="5" s="1"/>
  <c r="M15" i="5"/>
  <c r="N15" i="5" s="1"/>
  <c r="M27" i="5"/>
  <c r="N27" i="5" s="1"/>
  <c r="M31" i="5"/>
  <c r="N31" i="5" s="1"/>
  <c r="M25" i="5"/>
  <c r="N25" i="5" s="1"/>
  <c r="M19" i="5"/>
  <c r="N19" i="5" s="1"/>
  <c r="M20" i="5"/>
  <c r="N20" i="5" s="1"/>
  <c r="M21" i="5"/>
  <c r="N21" i="5" s="1"/>
  <c r="M22" i="5"/>
  <c r="N22" i="5" s="1"/>
  <c r="M24" i="5"/>
  <c r="N24" i="5" s="1"/>
  <c r="F32" i="5"/>
  <c r="F15" i="5"/>
  <c r="F25" i="5"/>
  <c r="F31" i="5"/>
  <c r="F16" i="5"/>
  <c r="F28" i="5"/>
  <c r="F12" i="5"/>
  <c r="F13" i="5"/>
  <c r="F23" i="5"/>
  <c r="F17" i="5"/>
  <c r="F14" i="5"/>
  <c r="F24" i="5"/>
  <c r="F20" i="5"/>
  <c r="F29" i="5"/>
  <c r="Q8" i="5"/>
  <c r="F27" i="5"/>
  <c r="F21" i="5"/>
  <c r="AE7" i="5"/>
  <c r="X7" i="5"/>
  <c r="AB12" i="5"/>
  <c r="E9" i="2"/>
  <c r="G12" i="2"/>
  <c r="G82" i="2"/>
  <c r="C84" i="2"/>
  <c r="E85" i="2"/>
  <c r="C22" i="2"/>
  <c r="E80" i="2"/>
  <c r="D83" i="2"/>
  <c r="C86" i="2"/>
  <c r="C4" i="2"/>
  <c r="E5" i="2"/>
  <c r="C78" i="2"/>
  <c r="F75" i="2"/>
  <c r="D76" i="2"/>
  <c r="C5" i="2"/>
  <c r="F85" i="2"/>
  <c r="C19" i="2"/>
  <c r="G78" i="2"/>
  <c r="E6" i="2"/>
  <c r="G75" i="2"/>
  <c r="F77" i="2"/>
  <c r="E4" i="2"/>
  <c r="F81" i="2"/>
  <c r="D4" i="2"/>
  <c r="G4" i="2"/>
  <c r="G7" i="2"/>
  <c r="C9" i="2"/>
  <c r="K61" i="2" s="1"/>
  <c r="F12" i="2"/>
  <c r="AL63" i="2" s="1"/>
  <c r="E75" i="2"/>
  <c r="D80" i="2"/>
  <c r="G19" i="2"/>
  <c r="C20" i="2"/>
  <c r="E11" i="2"/>
  <c r="AC64" i="2" s="1"/>
  <c r="C83" i="2"/>
  <c r="G85" i="2"/>
  <c r="AM65" i="2"/>
  <c r="C10" i="2"/>
  <c r="S60" i="2" s="1"/>
  <c r="E19" i="2"/>
  <c r="E20" i="2"/>
  <c r="AM55" i="2"/>
  <c r="F6" i="2"/>
  <c r="M58" i="2"/>
  <c r="D79" i="2"/>
  <c r="F80" i="2"/>
  <c r="E83" i="2"/>
  <c r="G84" i="2"/>
  <c r="D86" i="2"/>
  <c r="E10" i="2"/>
  <c r="U56" i="2" s="1"/>
  <c r="F20" i="2"/>
  <c r="C77" i="2"/>
  <c r="M57" i="2"/>
  <c r="D78" i="2"/>
  <c r="G80" i="2"/>
  <c r="F83" i="2"/>
  <c r="E86" i="2"/>
  <c r="G9" i="2"/>
  <c r="O64" i="2" s="1"/>
  <c r="F10" i="2"/>
  <c r="V57" i="2" s="1"/>
  <c r="G20" i="2"/>
  <c r="C21" i="2"/>
  <c r="D77" i="2"/>
  <c r="E78" i="2"/>
  <c r="E82" i="2"/>
  <c r="G83" i="2"/>
  <c r="C85" i="2"/>
  <c r="F4" i="2"/>
  <c r="C6" i="2"/>
  <c r="C7" i="2"/>
  <c r="G10" i="2"/>
  <c r="W62" i="2" s="1"/>
  <c r="C11" i="2"/>
  <c r="AA64" i="2" s="1"/>
  <c r="E22" i="2"/>
  <c r="C76" i="2"/>
  <c r="D81" i="2"/>
  <c r="D85" i="2"/>
  <c r="G86" i="2"/>
  <c r="F5" i="2"/>
  <c r="E7" i="2"/>
  <c r="G11" i="2"/>
  <c r="AE62" i="2" s="1"/>
  <c r="C12" i="2"/>
  <c r="AI63" i="2" s="1"/>
  <c r="G5" i="2"/>
  <c r="G6" i="2"/>
  <c r="F7" i="2"/>
  <c r="E12" i="2"/>
  <c r="AK59" i="2" s="1"/>
  <c r="D75" i="2"/>
  <c r="E76" i="2"/>
  <c r="C80" i="2"/>
  <c r="D20" i="2"/>
  <c r="D7" i="2"/>
  <c r="D10" i="2"/>
  <c r="T64" i="2" s="1"/>
  <c r="D12" i="2"/>
  <c r="AJ62" i="2" s="1"/>
  <c r="G22" i="2"/>
  <c r="AM56" i="2"/>
  <c r="M59" i="2"/>
  <c r="AA60" i="2"/>
  <c r="AK60" i="2"/>
  <c r="M63" i="2"/>
  <c r="W63" i="2"/>
  <c r="S65" i="2"/>
  <c r="AE56" i="2"/>
  <c r="AM60" i="2"/>
  <c r="D82" i="2"/>
  <c r="F21" i="2"/>
  <c r="F19" i="2"/>
  <c r="F84" i="2"/>
  <c r="F22" i="2"/>
  <c r="AL64" i="2"/>
  <c r="M66" i="2"/>
  <c r="W66" i="2"/>
  <c r="S55" i="2"/>
  <c r="D21" i="2"/>
  <c r="C81" i="2"/>
  <c r="M61" i="2"/>
  <c r="AM64" i="2"/>
  <c r="V59" i="2"/>
  <c r="D5" i="2"/>
  <c r="D9" i="2"/>
  <c r="L58" i="2" s="1"/>
  <c r="D11" i="2"/>
  <c r="AB55" i="2" s="1"/>
  <c r="D19" i="2"/>
  <c r="E21" i="2"/>
  <c r="M56" i="2"/>
  <c r="E77" i="2"/>
  <c r="AK57" i="2"/>
  <c r="F78" i="2"/>
  <c r="G79" i="2"/>
  <c r="S59" i="2"/>
  <c r="AM59" i="2"/>
  <c r="F82" i="2"/>
  <c r="S63" i="2"/>
  <c r="AM63" i="2"/>
  <c r="AK66" i="2"/>
  <c r="D84" i="2"/>
  <c r="G21" i="2"/>
  <c r="C75" i="2"/>
  <c r="M55" i="2"/>
  <c r="W55" i="2"/>
  <c r="AM58" i="2"/>
  <c r="E81" i="2"/>
  <c r="AK61" i="2"/>
  <c r="AM62" i="2"/>
  <c r="M65" i="2"/>
  <c r="AI65" i="2"/>
  <c r="F86" i="2"/>
  <c r="V63" i="2"/>
  <c r="D6" i="2"/>
  <c r="F9" i="2"/>
  <c r="N63" i="2" s="1"/>
  <c r="F11" i="2"/>
  <c r="AD57" i="2" s="1"/>
  <c r="D22" i="2"/>
  <c r="AK56" i="2"/>
  <c r="G77" i="2"/>
  <c r="AM57" i="2"/>
  <c r="M60" i="2"/>
  <c r="AM66" i="2"/>
  <c r="AK55" i="2"/>
  <c r="F76" i="2"/>
  <c r="G81" i="2"/>
  <c r="S61" i="2"/>
  <c r="AM61" i="2"/>
  <c r="M64" i="2"/>
  <c r="AA65" i="2"/>
  <c r="AK65" i="2"/>
  <c r="C79" i="2"/>
  <c r="E84" i="2"/>
  <c r="G76" i="2"/>
  <c r="E79" i="2"/>
  <c r="C82" i="2"/>
  <c r="K58" i="2"/>
  <c r="F79" i="2"/>
  <c r="M62" i="2"/>
  <c r="N9" i="5" l="1"/>
  <c r="AB9" i="5"/>
  <c r="X8" i="5"/>
  <c r="AI9" i="5"/>
  <c r="AE8" i="5"/>
  <c r="AI58" i="2"/>
  <c r="AK64" i="2"/>
  <c r="AI64" i="2"/>
  <c r="AI60" i="2"/>
  <c r="AI61" i="2"/>
  <c r="AI56" i="2"/>
  <c r="AI66" i="2"/>
  <c r="AK63" i="2"/>
  <c r="AK62" i="2"/>
  <c r="E27" i="2" s="1"/>
  <c r="O60" i="2"/>
  <c r="AI55" i="2"/>
  <c r="O57" i="2"/>
  <c r="AK58" i="2"/>
  <c r="AI59" i="2"/>
  <c r="AD66" i="2"/>
  <c r="O59" i="2"/>
  <c r="O63" i="2"/>
  <c r="AJ66" i="2"/>
  <c r="O55" i="2"/>
  <c r="U64" i="2"/>
  <c r="U61" i="2"/>
  <c r="K62" i="2"/>
  <c r="K57" i="2"/>
  <c r="AC59" i="2"/>
  <c r="K59" i="2"/>
  <c r="AC63" i="2"/>
  <c r="AE65" i="2"/>
  <c r="AE55" i="2"/>
  <c r="K56" i="2"/>
  <c r="AE63" i="2"/>
  <c r="AJ56" i="2"/>
  <c r="K55" i="2"/>
  <c r="AJ60" i="2"/>
  <c r="AE64" i="2"/>
  <c r="AC55" i="2"/>
  <c r="AE60" i="2"/>
  <c r="AE61" i="2"/>
  <c r="AE66" i="2"/>
  <c r="AC58" i="2"/>
  <c r="AE58" i="2"/>
  <c r="AE59" i="2"/>
  <c r="K60" i="2"/>
  <c r="W61" i="2"/>
  <c r="K66" i="2"/>
  <c r="AE57" i="2"/>
  <c r="AC56" i="2"/>
  <c r="K64" i="2"/>
  <c r="K63" i="2"/>
  <c r="AC66" i="2"/>
  <c r="T66" i="2"/>
  <c r="L61" i="2"/>
  <c r="V60" i="2"/>
  <c r="AI62" i="2"/>
  <c r="AA63" i="2"/>
  <c r="AI57" i="2"/>
  <c r="AL65" i="2"/>
  <c r="N65" i="2"/>
  <c r="T55" i="2"/>
  <c r="AL60" i="2"/>
  <c r="L63" i="2"/>
  <c r="V64" i="2"/>
  <c r="AA56" i="2"/>
  <c r="AL66" i="2"/>
  <c r="AA58" i="2"/>
  <c r="V65" i="2"/>
  <c r="V58" i="2"/>
  <c r="V66" i="2"/>
  <c r="AA57" i="2"/>
  <c r="V56" i="2"/>
  <c r="T56" i="2"/>
  <c r="V55" i="2"/>
  <c r="T57" i="2"/>
  <c r="AA61" i="2"/>
  <c r="AA62" i="2"/>
  <c r="AA59" i="2"/>
  <c r="V61" i="2"/>
  <c r="V62" i="2"/>
  <c r="AA66" i="2"/>
  <c r="E32" i="2"/>
  <c r="AD61" i="2"/>
  <c r="S66" i="2"/>
  <c r="W60" i="2"/>
  <c r="O61" i="2"/>
  <c r="D32" i="2"/>
  <c r="O56" i="2"/>
  <c r="AD55" i="2"/>
  <c r="U66" i="2"/>
  <c r="AC62" i="2"/>
  <c r="AA55" i="2"/>
  <c r="AJ58" i="2"/>
  <c r="E30" i="2"/>
  <c r="U62" i="2"/>
  <c r="U59" i="2"/>
  <c r="AD63" i="2"/>
  <c r="AL62" i="2"/>
  <c r="U65" i="2"/>
  <c r="AB65" i="2"/>
  <c r="G17" i="2"/>
  <c r="AC60" i="2"/>
  <c r="F29" i="2"/>
  <c r="O65" i="2"/>
  <c r="U58" i="2"/>
  <c r="U63" i="2"/>
  <c r="G27" i="2"/>
  <c r="S58" i="2"/>
  <c r="O66" i="2"/>
  <c r="U55" i="2"/>
  <c r="O62" i="2"/>
  <c r="W57" i="2"/>
  <c r="AJ64" i="2"/>
  <c r="S56" i="2"/>
  <c r="W58" i="2"/>
  <c r="U57" i="2"/>
  <c r="AL61" i="2"/>
  <c r="AC57" i="2"/>
  <c r="S62" i="2"/>
  <c r="AL57" i="2"/>
  <c r="AL58" i="2"/>
  <c r="W56" i="2"/>
  <c r="AC65" i="2"/>
  <c r="S64" i="2"/>
  <c r="AL59" i="2"/>
  <c r="O58" i="2"/>
  <c r="AL55" i="2"/>
  <c r="AB66" i="2"/>
  <c r="W64" i="2"/>
  <c r="AC61" i="2"/>
  <c r="AL56" i="2"/>
  <c r="AB61" i="2"/>
  <c r="S57" i="2"/>
  <c r="W65" i="2"/>
  <c r="AB57" i="2"/>
  <c r="U60" i="2"/>
  <c r="AB59" i="2"/>
  <c r="W59" i="2"/>
  <c r="K65" i="2"/>
  <c r="L59" i="2"/>
  <c r="C32" i="2"/>
  <c r="C30" i="2"/>
  <c r="C33" i="2"/>
  <c r="C31" i="2"/>
  <c r="AB58" i="2"/>
  <c r="N62" i="2"/>
  <c r="L55" i="2"/>
  <c r="AB56" i="2"/>
  <c r="L64" i="2"/>
  <c r="T63" i="2"/>
  <c r="L60" i="2"/>
  <c r="N56" i="2"/>
  <c r="L66" i="2"/>
  <c r="N58" i="2"/>
  <c r="N64" i="2"/>
  <c r="T61" i="2"/>
  <c r="L62" i="2"/>
  <c r="AD59" i="2"/>
  <c r="AB60" i="2"/>
  <c r="AD65" i="2"/>
  <c r="N66" i="2"/>
  <c r="D29" i="2"/>
  <c r="T59" i="2"/>
  <c r="AB62" i="2"/>
  <c r="D31" i="2"/>
  <c r="N59" i="2"/>
  <c r="L56" i="2"/>
  <c r="T65" i="2"/>
  <c r="AJ57" i="2"/>
  <c r="AJ63" i="2"/>
  <c r="AJ59" i="2"/>
  <c r="AJ65" i="2"/>
  <c r="AJ55" i="2"/>
  <c r="AJ61" i="2"/>
  <c r="N57" i="2"/>
  <c r="G33" i="2"/>
  <c r="G31" i="2"/>
  <c r="G32" i="2"/>
  <c r="G30" i="2"/>
  <c r="AD62" i="2"/>
  <c r="AD56" i="2"/>
  <c r="L65" i="2"/>
  <c r="G29" i="2"/>
  <c r="D33" i="2"/>
  <c r="L57" i="2"/>
  <c r="AD60" i="2"/>
  <c r="E31" i="2"/>
  <c r="N60" i="2"/>
  <c r="T62" i="2"/>
  <c r="AD58" i="2"/>
  <c r="N55" i="2"/>
  <c r="E24" i="2"/>
  <c r="E14" i="2"/>
  <c r="AD64" i="2"/>
  <c r="N61" i="2"/>
  <c r="E29" i="2"/>
  <c r="D30" i="2"/>
  <c r="AB63" i="2"/>
  <c r="T60" i="2"/>
  <c r="E33" i="2"/>
  <c r="AB64" i="2"/>
  <c r="F33" i="2"/>
  <c r="F31" i="2"/>
  <c r="F32" i="2"/>
  <c r="F30" i="2"/>
  <c r="T58" i="2"/>
  <c r="C29" i="2"/>
  <c r="E17" i="2" l="1"/>
  <c r="G26" i="2"/>
  <c r="C27" i="2"/>
  <c r="G16" i="2"/>
  <c r="E16" i="2"/>
  <c r="F25" i="2"/>
  <c r="F15" i="2"/>
  <c r="C15" i="2"/>
  <c r="C16" i="2"/>
  <c r="C14" i="2"/>
  <c r="C17" i="2"/>
  <c r="F17" i="2"/>
  <c r="G15" i="2"/>
  <c r="C26" i="2"/>
  <c r="E15" i="2"/>
  <c r="E26" i="2"/>
  <c r="E25" i="2"/>
  <c r="F27" i="2"/>
  <c r="C25" i="2"/>
  <c r="G24" i="2"/>
  <c r="C24" i="2"/>
  <c r="G25" i="2"/>
  <c r="D16" i="2"/>
  <c r="F16" i="2"/>
  <c r="G14" i="2"/>
  <c r="D25" i="2"/>
  <c r="F26" i="2"/>
  <c r="D26" i="2"/>
  <c r="D27" i="2"/>
  <c r="D17" i="2"/>
  <c r="D24" i="2"/>
  <c r="D14" i="2"/>
  <c r="D15" i="2"/>
  <c r="F24" i="2"/>
  <c r="F14" i="2"/>
</calcChain>
</file>

<file path=xl/sharedStrings.xml><?xml version="1.0" encoding="utf-8"?>
<sst xmlns="http://schemas.openxmlformats.org/spreadsheetml/2006/main" count="242" uniqueCount="47">
  <si>
    <t>DS - REV 921</t>
  </si>
  <si>
    <t>DM</t>
  </si>
  <si>
    <t>N</t>
  </si>
  <si>
    <t>P2O5</t>
  </si>
  <si>
    <t>K2O</t>
  </si>
  <si>
    <t>NH4</t>
  </si>
  <si>
    <t>SEP</t>
  </si>
  <si>
    <t>Bias</t>
  </si>
  <si>
    <t>R2</t>
  </si>
  <si>
    <t>SLOPE</t>
  </si>
  <si>
    <t>N.</t>
  </si>
  <si>
    <t>AVG</t>
  </si>
  <si>
    <t>DEV.ST</t>
  </si>
  <si>
    <t>MIN</t>
  </si>
  <si>
    <t>MAX</t>
  </si>
  <si>
    <t>VALID - REV 921</t>
  </si>
  <si>
    <t>SEPC</t>
  </si>
  <si>
    <t>Err% &gt;35%</t>
  </si>
  <si>
    <t>Err% Avg.</t>
  </si>
  <si>
    <t>SN Master vs. Slave REV 921</t>
  </si>
  <si>
    <t>Sensor</t>
  </si>
  <si>
    <t>BIAS</t>
  </si>
  <si>
    <t>SEP -  MASTER</t>
  </si>
  <si>
    <t>SEPC -  MASTER</t>
  </si>
  <si>
    <t>SEP - AVG.</t>
  </si>
  <si>
    <t>MASTER</t>
  </si>
  <si>
    <t>AVG.</t>
  </si>
  <si>
    <t>ID</t>
  </si>
  <si>
    <t>REV 921</t>
  </si>
  <si>
    <t>Standard Deviation</t>
  </si>
  <si>
    <t>INFO</t>
  </si>
  <si>
    <t>Treatments</t>
  </si>
  <si>
    <t>\</t>
  </si>
  <si>
    <t xml:space="preserve">SNV, DERIVATA, SMOOTH </t>
  </si>
  <si>
    <t>WL Excluded</t>
  </si>
  <si>
    <t>Err</t>
  </si>
  <si>
    <t>Pred</t>
  </si>
  <si>
    <t>Lab</t>
  </si>
  <si>
    <t>NH4 - RBF 12 WL,  TM STD</t>
  </si>
  <si>
    <t>K2O - RBF TM STD 12WL</t>
  </si>
  <si>
    <t>P2O5 -RBF 12 WL,  TM STD</t>
  </si>
  <si>
    <t>N - RBF 12 WL,  TM STD</t>
  </si>
  <si>
    <t xml:space="preserve">DM - RBF 12WL,  NO TM </t>
  </si>
  <si>
    <t xml:space="preserve">DM </t>
  </si>
  <si>
    <t>Err%</t>
  </si>
  <si>
    <t>Predictions</t>
  </si>
  <si>
    <t>Pred. +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</si>
</sst>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2" fontId="0" fillId="4" borderId="0" xfId="0" applyNumberFormat="1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/>
    </xf>
    <xf numFmtId="2" fontId="0" fillId="4" borderId="12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" fontId="0" fillId="4" borderId="11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9" fontId="0" fillId="4" borderId="11" xfId="1" applyFont="1" applyFill="1" applyBorder="1" applyAlignment="1">
      <alignment horizontal="center"/>
    </xf>
    <xf numFmtId="9" fontId="0" fillId="4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4" xfId="0" applyFont="1" applyBorder="1" applyAlignment="1">
      <alignment horizontal="center"/>
    </xf>
    <xf numFmtId="0" fontId="2" fillId="7" borderId="0" xfId="0" applyFont="1" applyFill="1"/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7" borderId="0" xfId="0" applyNumberFormat="1" applyFill="1"/>
    <xf numFmtId="0" fontId="0" fillId="7" borderId="0" xfId="0" applyFill="1"/>
    <xf numFmtId="2" fontId="0" fillId="0" borderId="0" xfId="0" applyNumberFormat="1"/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0" xfId="1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'Results- Training'!$B$14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Training'!$B$15:$B$150</c:f>
              <c:numCache>
                <c:formatCode>General</c:formatCode>
                <c:ptCount val="136"/>
                <c:pt idx="0">
                  <c:v>5.63</c:v>
                </c:pt>
                <c:pt idx="1">
                  <c:v>4.59</c:v>
                </c:pt>
                <c:pt idx="2">
                  <c:v>7.66</c:v>
                </c:pt>
                <c:pt idx="3">
                  <c:v>7.66</c:v>
                </c:pt>
                <c:pt idx="4">
                  <c:v>8.43</c:v>
                </c:pt>
                <c:pt idx="5">
                  <c:v>9.17</c:v>
                </c:pt>
                <c:pt idx="6">
                  <c:v>8.7200000000000006</c:v>
                </c:pt>
                <c:pt idx="7">
                  <c:v>9.41</c:v>
                </c:pt>
                <c:pt idx="8">
                  <c:v>9.33</c:v>
                </c:pt>
                <c:pt idx="9">
                  <c:v>10.6</c:v>
                </c:pt>
                <c:pt idx="10">
                  <c:v>9.49</c:v>
                </c:pt>
                <c:pt idx="11">
                  <c:v>4.0999999999999996</c:v>
                </c:pt>
                <c:pt idx="12">
                  <c:v>4.76</c:v>
                </c:pt>
                <c:pt idx="13">
                  <c:v>9.76</c:v>
                </c:pt>
                <c:pt idx="14">
                  <c:v>11.07</c:v>
                </c:pt>
                <c:pt idx="15">
                  <c:v>11.75</c:v>
                </c:pt>
                <c:pt idx="16">
                  <c:v>8.9600000000000009</c:v>
                </c:pt>
                <c:pt idx="17">
                  <c:v>9.1999999999999993</c:v>
                </c:pt>
                <c:pt idx="18">
                  <c:v>7.36</c:v>
                </c:pt>
                <c:pt idx="19">
                  <c:v>6.91</c:v>
                </c:pt>
                <c:pt idx="20">
                  <c:v>7.66</c:v>
                </c:pt>
                <c:pt idx="21">
                  <c:v>12.13</c:v>
                </c:pt>
                <c:pt idx="22">
                  <c:v>7.35</c:v>
                </c:pt>
                <c:pt idx="23">
                  <c:v>8.66</c:v>
                </c:pt>
                <c:pt idx="24">
                  <c:v>10.34</c:v>
                </c:pt>
                <c:pt idx="25">
                  <c:v>12.56</c:v>
                </c:pt>
                <c:pt idx="26">
                  <c:v>7.55</c:v>
                </c:pt>
                <c:pt idx="27">
                  <c:v>12.3</c:v>
                </c:pt>
                <c:pt idx="28">
                  <c:v>11.79</c:v>
                </c:pt>
                <c:pt idx="29">
                  <c:v>8.98</c:v>
                </c:pt>
                <c:pt idx="30">
                  <c:v>7.97</c:v>
                </c:pt>
                <c:pt idx="31">
                  <c:v>11.5</c:v>
                </c:pt>
                <c:pt idx="32">
                  <c:v>12</c:v>
                </c:pt>
                <c:pt idx="33">
                  <c:v>5.9</c:v>
                </c:pt>
                <c:pt idx="34">
                  <c:v>15.1</c:v>
                </c:pt>
                <c:pt idx="35">
                  <c:v>12.5</c:v>
                </c:pt>
                <c:pt idx="36">
                  <c:v>11.3</c:v>
                </c:pt>
                <c:pt idx="37">
                  <c:v>11.7</c:v>
                </c:pt>
                <c:pt idx="38">
                  <c:v>12.5</c:v>
                </c:pt>
                <c:pt idx="39">
                  <c:v>9.8000000000000007</c:v>
                </c:pt>
                <c:pt idx="40">
                  <c:v>4</c:v>
                </c:pt>
                <c:pt idx="41">
                  <c:v>14.9</c:v>
                </c:pt>
                <c:pt idx="42">
                  <c:v>10.8</c:v>
                </c:pt>
                <c:pt idx="43">
                  <c:v>8.3000000000000007</c:v>
                </c:pt>
                <c:pt idx="44">
                  <c:v>7.1</c:v>
                </c:pt>
                <c:pt idx="45">
                  <c:v>13.2</c:v>
                </c:pt>
                <c:pt idx="46">
                  <c:v>10.5</c:v>
                </c:pt>
                <c:pt idx="47">
                  <c:v>9.4</c:v>
                </c:pt>
                <c:pt idx="48">
                  <c:v>9.4</c:v>
                </c:pt>
                <c:pt idx="49">
                  <c:v>7.3</c:v>
                </c:pt>
                <c:pt idx="50">
                  <c:v>10.199999999999999</c:v>
                </c:pt>
                <c:pt idx="51">
                  <c:v>3.7</c:v>
                </c:pt>
                <c:pt idx="52">
                  <c:v>10.9</c:v>
                </c:pt>
                <c:pt idx="53">
                  <c:v>11.6</c:v>
                </c:pt>
                <c:pt idx="54">
                  <c:v>9.8000000000000007</c:v>
                </c:pt>
                <c:pt idx="55">
                  <c:v>5.3</c:v>
                </c:pt>
                <c:pt idx="56">
                  <c:v>10.8</c:v>
                </c:pt>
                <c:pt idx="57">
                  <c:v>6.9</c:v>
                </c:pt>
                <c:pt idx="58">
                  <c:v>6.9</c:v>
                </c:pt>
                <c:pt idx="59">
                  <c:v>4.2</c:v>
                </c:pt>
                <c:pt idx="60">
                  <c:v>11.5</c:v>
                </c:pt>
                <c:pt idx="61">
                  <c:v>11.9</c:v>
                </c:pt>
                <c:pt idx="62">
                  <c:v>11.5</c:v>
                </c:pt>
                <c:pt idx="63">
                  <c:v>11.2</c:v>
                </c:pt>
                <c:pt idx="64">
                  <c:v>12.7</c:v>
                </c:pt>
                <c:pt idx="65">
                  <c:v>12.5</c:v>
                </c:pt>
                <c:pt idx="66">
                  <c:v>12.8</c:v>
                </c:pt>
                <c:pt idx="67">
                  <c:v>11.6</c:v>
                </c:pt>
                <c:pt idx="68">
                  <c:v>10.8</c:v>
                </c:pt>
                <c:pt idx="69">
                  <c:v>11</c:v>
                </c:pt>
                <c:pt idx="70">
                  <c:v>11.3</c:v>
                </c:pt>
                <c:pt idx="71">
                  <c:v>10.4</c:v>
                </c:pt>
                <c:pt idx="72">
                  <c:v>10.7</c:v>
                </c:pt>
                <c:pt idx="73">
                  <c:v>11.3</c:v>
                </c:pt>
                <c:pt idx="74">
                  <c:v>11.5</c:v>
                </c:pt>
                <c:pt idx="75">
                  <c:v>8.3000000000000007</c:v>
                </c:pt>
                <c:pt idx="76">
                  <c:v>8.6999999999999993</c:v>
                </c:pt>
                <c:pt idx="77">
                  <c:v>9.4</c:v>
                </c:pt>
                <c:pt idx="78">
                  <c:v>10</c:v>
                </c:pt>
                <c:pt idx="79">
                  <c:v>11.9</c:v>
                </c:pt>
                <c:pt idx="80">
                  <c:v>2.5</c:v>
                </c:pt>
                <c:pt idx="81">
                  <c:v>2.2999999999999998</c:v>
                </c:pt>
                <c:pt idx="82">
                  <c:v>10</c:v>
                </c:pt>
                <c:pt idx="83">
                  <c:v>11.8</c:v>
                </c:pt>
                <c:pt idx="84">
                  <c:v>12</c:v>
                </c:pt>
                <c:pt idx="85">
                  <c:v>8.5</c:v>
                </c:pt>
                <c:pt idx="86">
                  <c:v>9.6999999999999993</c:v>
                </c:pt>
                <c:pt idx="87">
                  <c:v>12.6</c:v>
                </c:pt>
                <c:pt idx="88">
                  <c:v>6.4</c:v>
                </c:pt>
                <c:pt idx="89">
                  <c:v>1.8</c:v>
                </c:pt>
                <c:pt idx="90">
                  <c:v>3</c:v>
                </c:pt>
                <c:pt idx="91">
                  <c:v>9.4</c:v>
                </c:pt>
                <c:pt idx="92">
                  <c:v>3</c:v>
                </c:pt>
                <c:pt idx="93">
                  <c:v>5.3</c:v>
                </c:pt>
                <c:pt idx="94">
                  <c:v>6.8</c:v>
                </c:pt>
                <c:pt idx="95">
                  <c:v>7.9</c:v>
                </c:pt>
                <c:pt idx="96">
                  <c:v>12.1</c:v>
                </c:pt>
                <c:pt idx="97">
                  <c:v>3.5</c:v>
                </c:pt>
                <c:pt idx="98">
                  <c:v>13.5</c:v>
                </c:pt>
                <c:pt idx="99">
                  <c:v>6.4</c:v>
                </c:pt>
                <c:pt idx="100">
                  <c:v>8.1</c:v>
                </c:pt>
                <c:pt idx="101">
                  <c:v>11.5</c:v>
                </c:pt>
                <c:pt idx="102">
                  <c:v>9.1</c:v>
                </c:pt>
                <c:pt idx="103">
                  <c:v>8.9</c:v>
                </c:pt>
                <c:pt idx="104">
                  <c:v>8.9</c:v>
                </c:pt>
                <c:pt idx="105">
                  <c:v>9.1</c:v>
                </c:pt>
                <c:pt idx="106">
                  <c:v>6.6</c:v>
                </c:pt>
                <c:pt idx="107">
                  <c:v>6.7</c:v>
                </c:pt>
                <c:pt idx="108">
                  <c:v>4.5999999999999996</c:v>
                </c:pt>
                <c:pt idx="109">
                  <c:v>1.8</c:v>
                </c:pt>
                <c:pt idx="110">
                  <c:v>3.8</c:v>
                </c:pt>
                <c:pt idx="111">
                  <c:v>8.4</c:v>
                </c:pt>
                <c:pt idx="112">
                  <c:v>1.9</c:v>
                </c:pt>
                <c:pt idx="113">
                  <c:v>6</c:v>
                </c:pt>
                <c:pt idx="114">
                  <c:v>11</c:v>
                </c:pt>
                <c:pt idx="115">
                  <c:v>5.9</c:v>
                </c:pt>
                <c:pt idx="116">
                  <c:v>9</c:v>
                </c:pt>
                <c:pt idx="117">
                  <c:v>5</c:v>
                </c:pt>
                <c:pt idx="118">
                  <c:v>7</c:v>
                </c:pt>
                <c:pt idx="119">
                  <c:v>8.1999999999999993</c:v>
                </c:pt>
                <c:pt idx="120">
                  <c:v>8.4</c:v>
                </c:pt>
                <c:pt idx="121">
                  <c:v>7.2</c:v>
                </c:pt>
                <c:pt idx="122">
                  <c:v>5.0999999999999996</c:v>
                </c:pt>
                <c:pt idx="123">
                  <c:v>9.9</c:v>
                </c:pt>
                <c:pt idx="124">
                  <c:v>11</c:v>
                </c:pt>
                <c:pt idx="125">
                  <c:v>1.9</c:v>
                </c:pt>
                <c:pt idx="126">
                  <c:v>5.2</c:v>
                </c:pt>
                <c:pt idx="127">
                  <c:v>4.7</c:v>
                </c:pt>
                <c:pt idx="128">
                  <c:v>3.1</c:v>
                </c:pt>
                <c:pt idx="129">
                  <c:v>3.9</c:v>
                </c:pt>
                <c:pt idx="130">
                  <c:v>2.5499999999999998</c:v>
                </c:pt>
                <c:pt idx="131">
                  <c:v>2.3250000000000002</c:v>
                </c:pt>
                <c:pt idx="132">
                  <c:v>1.55</c:v>
                </c:pt>
                <c:pt idx="133">
                  <c:v>2.4</c:v>
                </c:pt>
                <c:pt idx="134">
                  <c:v>3.5249999999999999</c:v>
                </c:pt>
                <c:pt idx="135">
                  <c:v>3.8250000000000002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E-488B-B5F5-D01CD9E11524}"/>
            </c:ext>
          </c:extLst>
        </c:ser>
        <c:ser>
          <c:idx val="1"/>
          <c:order val="1"/>
          <c:tx>
            <c:strRef>
              <c:f>'Results- Training'!$C$14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Training'!$C$15:$C$150</c:f>
              <c:numCache>
                <c:formatCode>General</c:formatCode>
                <c:ptCount val="136"/>
                <c:pt idx="0">
                  <c:v>6.4453588317468098</c:v>
                </c:pt>
                <c:pt idx="1">
                  <c:v>5.2170008635832001</c:v>
                </c:pt>
                <c:pt idx="2">
                  <c:v>8.3902128171156694</c:v>
                </c:pt>
                <c:pt idx="3">
                  <c:v>8.5464152697975404</c:v>
                </c:pt>
                <c:pt idx="4">
                  <c:v>9.08406688423986</c:v>
                </c:pt>
                <c:pt idx="5">
                  <c:v>9.2121639814864391</c:v>
                </c:pt>
                <c:pt idx="6">
                  <c:v>8.3565824457169207</c:v>
                </c:pt>
                <c:pt idx="7">
                  <c:v>9.6509117443754295</c:v>
                </c:pt>
                <c:pt idx="8">
                  <c:v>9.6830092560880807</c:v>
                </c:pt>
                <c:pt idx="9">
                  <c:v>10.406136066282601</c:v>
                </c:pt>
                <c:pt idx="10">
                  <c:v>8.8977794637522791</c:v>
                </c:pt>
                <c:pt idx="11">
                  <c:v>4.2592156923664604</c:v>
                </c:pt>
                <c:pt idx="12">
                  <c:v>5.1666608758631201</c:v>
                </c:pt>
                <c:pt idx="13">
                  <c:v>9.6615589082098499</c:v>
                </c:pt>
                <c:pt idx="14">
                  <c:v>10.6352249934447</c:v>
                </c:pt>
                <c:pt idx="15">
                  <c:v>11.1558181782944</c:v>
                </c:pt>
                <c:pt idx="16">
                  <c:v>7.8068444837278497</c:v>
                </c:pt>
                <c:pt idx="17">
                  <c:v>9.6140161166460008</c:v>
                </c:pt>
                <c:pt idx="18">
                  <c:v>8.5464341287146208</c:v>
                </c:pt>
                <c:pt idx="19">
                  <c:v>7.5919020627136398</c:v>
                </c:pt>
                <c:pt idx="20">
                  <c:v>7.8498050149534899</c:v>
                </c:pt>
                <c:pt idx="21">
                  <c:v>11.883775632535</c:v>
                </c:pt>
                <c:pt idx="22">
                  <c:v>8.9272642735231607</c:v>
                </c:pt>
                <c:pt idx="23">
                  <c:v>8.6542503637286394</c:v>
                </c:pt>
                <c:pt idx="24">
                  <c:v>9.4576433567917508</c:v>
                </c:pt>
                <c:pt idx="25">
                  <c:v>12.3292837980927</c:v>
                </c:pt>
                <c:pt idx="26">
                  <c:v>8.8618157948902105</c:v>
                </c:pt>
                <c:pt idx="27">
                  <c:v>12.1597540077579</c:v>
                </c:pt>
                <c:pt idx="28">
                  <c:v>11.567935197495601</c:v>
                </c:pt>
                <c:pt idx="29">
                  <c:v>8.7749270410159994</c:v>
                </c:pt>
                <c:pt idx="30">
                  <c:v>8.9306141390419693</c:v>
                </c:pt>
                <c:pt idx="31">
                  <c:v>12.142939633441699</c:v>
                </c:pt>
                <c:pt idx="32">
                  <c:v>11.3172937325888</c:v>
                </c:pt>
                <c:pt idx="33">
                  <c:v>5.2088724187379096</c:v>
                </c:pt>
                <c:pt idx="34">
                  <c:v>13.4037691704744</c:v>
                </c:pt>
                <c:pt idx="35">
                  <c:v>12.567896603109601</c:v>
                </c:pt>
                <c:pt idx="36">
                  <c:v>11.0033859836948</c:v>
                </c:pt>
                <c:pt idx="37">
                  <c:v>11.358451637523199</c:v>
                </c:pt>
                <c:pt idx="38">
                  <c:v>12.0818640994639</c:v>
                </c:pt>
                <c:pt idx="39">
                  <c:v>9.0101498225501508</c:v>
                </c:pt>
                <c:pt idx="40">
                  <c:v>3.5808301658975701</c:v>
                </c:pt>
                <c:pt idx="41">
                  <c:v>12.653355544574699</c:v>
                </c:pt>
                <c:pt idx="42">
                  <c:v>9.9997409628022496</c:v>
                </c:pt>
                <c:pt idx="43">
                  <c:v>8.0352631784296893</c:v>
                </c:pt>
                <c:pt idx="44">
                  <c:v>6.7546821808618303</c:v>
                </c:pt>
                <c:pt idx="45">
                  <c:v>12.9326761853868</c:v>
                </c:pt>
                <c:pt idx="46">
                  <c:v>10.7045153357858</c:v>
                </c:pt>
                <c:pt idx="47">
                  <c:v>9.6728789938559405</c:v>
                </c:pt>
                <c:pt idx="48">
                  <c:v>9.9535615138469993</c:v>
                </c:pt>
                <c:pt idx="49">
                  <c:v>7.94289999684558</c:v>
                </c:pt>
                <c:pt idx="50">
                  <c:v>11.883035752146901</c:v>
                </c:pt>
                <c:pt idx="51">
                  <c:v>3.90545927148366</c:v>
                </c:pt>
                <c:pt idx="52">
                  <c:v>11.920457783358399</c:v>
                </c:pt>
                <c:pt idx="53">
                  <c:v>10.5808298662818</c:v>
                </c:pt>
                <c:pt idx="54">
                  <c:v>9.0928877331722706</c:v>
                </c:pt>
                <c:pt idx="55">
                  <c:v>6.2374544094715301</c:v>
                </c:pt>
                <c:pt idx="56">
                  <c:v>11.798459636912099</c:v>
                </c:pt>
                <c:pt idx="57">
                  <c:v>6.9147819668460304</c:v>
                </c:pt>
                <c:pt idx="58">
                  <c:v>6.8695684963108796</c:v>
                </c:pt>
                <c:pt idx="59">
                  <c:v>4.5382539070260899</c:v>
                </c:pt>
                <c:pt idx="60">
                  <c:v>11.600493757381701</c:v>
                </c:pt>
                <c:pt idx="61">
                  <c:v>12.4797359795273</c:v>
                </c:pt>
                <c:pt idx="62">
                  <c:v>10.545469915849299</c:v>
                </c:pt>
                <c:pt idx="63">
                  <c:v>10.789051480817699</c:v>
                </c:pt>
                <c:pt idx="64">
                  <c:v>12.154382165179999</c:v>
                </c:pt>
                <c:pt idx="65">
                  <c:v>12.514967014589599</c:v>
                </c:pt>
                <c:pt idx="66">
                  <c:v>12.7295030329749</c:v>
                </c:pt>
                <c:pt idx="67">
                  <c:v>11.004362080868701</c:v>
                </c:pt>
                <c:pt idx="68">
                  <c:v>10.714085000690501</c:v>
                </c:pt>
                <c:pt idx="69">
                  <c:v>11.985295444379499</c:v>
                </c:pt>
                <c:pt idx="70">
                  <c:v>11.7259077902849</c:v>
                </c:pt>
                <c:pt idx="71">
                  <c:v>10.5154568029225</c:v>
                </c:pt>
                <c:pt idx="72">
                  <c:v>10.4043661775336</c:v>
                </c:pt>
                <c:pt idx="73">
                  <c:v>12.1277600705215</c:v>
                </c:pt>
                <c:pt idx="74">
                  <c:v>10.443055020088799</c:v>
                </c:pt>
                <c:pt idx="75">
                  <c:v>8.7333676808841592</c:v>
                </c:pt>
                <c:pt idx="76">
                  <c:v>9.2830016607252706</c:v>
                </c:pt>
                <c:pt idx="77">
                  <c:v>9.4279921782518308</c:v>
                </c:pt>
                <c:pt idx="78">
                  <c:v>9.6967105654543104</c:v>
                </c:pt>
                <c:pt idx="79">
                  <c:v>11.863706691993899</c:v>
                </c:pt>
                <c:pt idx="80">
                  <c:v>2.4998411993151901</c:v>
                </c:pt>
                <c:pt idx="81">
                  <c:v>2.8625913417928501</c:v>
                </c:pt>
                <c:pt idx="82">
                  <c:v>11.3532507725789</c:v>
                </c:pt>
                <c:pt idx="83">
                  <c:v>11.410897381954401</c:v>
                </c:pt>
                <c:pt idx="84">
                  <c:v>11.535769219058199</c:v>
                </c:pt>
                <c:pt idx="85">
                  <c:v>8.4086245647584601</c:v>
                </c:pt>
                <c:pt idx="86">
                  <c:v>9.8082914706859992</c:v>
                </c:pt>
                <c:pt idx="87">
                  <c:v>11.0024106087294</c:v>
                </c:pt>
                <c:pt idx="88">
                  <c:v>6.8793738908043496</c:v>
                </c:pt>
                <c:pt idx="89">
                  <c:v>2.0559968829994899</c:v>
                </c:pt>
                <c:pt idx="90">
                  <c:v>3.82485881131081</c:v>
                </c:pt>
                <c:pt idx="91">
                  <c:v>8.9630049214255791</c:v>
                </c:pt>
                <c:pt idx="92">
                  <c:v>2.6888381254154301</c:v>
                </c:pt>
                <c:pt idx="93">
                  <c:v>6.1512080786070298</c:v>
                </c:pt>
                <c:pt idx="94">
                  <c:v>7.2539017750177299</c:v>
                </c:pt>
                <c:pt idx="95">
                  <c:v>8.7997392667641794</c:v>
                </c:pt>
                <c:pt idx="96">
                  <c:v>11.464684921960799</c:v>
                </c:pt>
                <c:pt idx="97">
                  <c:v>2.89376083013435</c:v>
                </c:pt>
                <c:pt idx="98">
                  <c:v>12.7684930869368</c:v>
                </c:pt>
                <c:pt idx="99">
                  <c:v>6.8793738908043496</c:v>
                </c:pt>
                <c:pt idx="100">
                  <c:v>8.6244871054327792</c:v>
                </c:pt>
                <c:pt idx="101">
                  <c:v>11.0497139818549</c:v>
                </c:pt>
                <c:pt idx="102">
                  <c:v>8.6349003633863095</c:v>
                </c:pt>
                <c:pt idx="103">
                  <c:v>8.1791333551804399</c:v>
                </c:pt>
                <c:pt idx="104">
                  <c:v>8.3898131755747904</c:v>
                </c:pt>
                <c:pt idx="105">
                  <c:v>8.5545791414087091</c:v>
                </c:pt>
                <c:pt idx="106">
                  <c:v>7.1124785321050297</c:v>
                </c:pt>
                <c:pt idx="107">
                  <c:v>5.9078722122282503</c:v>
                </c:pt>
                <c:pt idx="108">
                  <c:v>3.9346973618301901</c:v>
                </c:pt>
                <c:pt idx="109">
                  <c:v>1.5021685402212801</c:v>
                </c:pt>
                <c:pt idx="110">
                  <c:v>2.8456970858779602</c:v>
                </c:pt>
                <c:pt idx="111">
                  <c:v>8.2347294999157299</c:v>
                </c:pt>
                <c:pt idx="112">
                  <c:v>2.1259072577301401</c:v>
                </c:pt>
                <c:pt idx="113">
                  <c:v>5.5088589776863497</c:v>
                </c:pt>
                <c:pt idx="114">
                  <c:v>12.1113042459942</c:v>
                </c:pt>
                <c:pt idx="115">
                  <c:v>4.8718043041358401</c:v>
                </c:pt>
                <c:pt idx="116">
                  <c:v>7.8658301140291798</c:v>
                </c:pt>
                <c:pt idx="117">
                  <c:v>5.4756838000927601</c:v>
                </c:pt>
                <c:pt idx="118">
                  <c:v>7.9065641282529597</c:v>
                </c:pt>
                <c:pt idx="119">
                  <c:v>8.9760017180712808</c:v>
                </c:pt>
                <c:pt idx="120">
                  <c:v>8.7311200342988293</c:v>
                </c:pt>
                <c:pt idx="121">
                  <c:v>7.8062420448071101</c:v>
                </c:pt>
                <c:pt idx="122">
                  <c:v>5.0831395498318201</c:v>
                </c:pt>
                <c:pt idx="123">
                  <c:v>9.5712331051521495</c:v>
                </c:pt>
                <c:pt idx="124">
                  <c:v>11.848365986588201</c:v>
                </c:pt>
                <c:pt idx="125">
                  <c:v>2.7824500881699601</c:v>
                </c:pt>
                <c:pt idx="126">
                  <c:v>6.0435989741598997</c:v>
                </c:pt>
                <c:pt idx="127">
                  <c:v>5.0504712333900601</c:v>
                </c:pt>
                <c:pt idx="128">
                  <c:v>2.1942492522931301</c:v>
                </c:pt>
                <c:pt idx="129">
                  <c:v>4.9264043072771004</c:v>
                </c:pt>
                <c:pt idx="130">
                  <c:v>1.9124232020512799</c:v>
                </c:pt>
                <c:pt idx="131">
                  <c:v>1.79277645426471</c:v>
                </c:pt>
                <c:pt idx="132">
                  <c:v>1.53476464465146</c:v>
                </c:pt>
                <c:pt idx="133">
                  <c:v>3.0797844121381299</c:v>
                </c:pt>
                <c:pt idx="134">
                  <c:v>4.2158329562072598</c:v>
                </c:pt>
                <c:pt idx="135">
                  <c:v>4.2570980303254897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E-488B-B5F5-D01CD9E11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'Results- Training'!$G$14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Training'!$G$15:$G$149</c:f>
              <c:numCache>
                <c:formatCode>General</c:formatCode>
                <c:ptCount val="135"/>
                <c:pt idx="0">
                  <c:v>2.2400000000000002</c:v>
                </c:pt>
                <c:pt idx="1">
                  <c:v>2.4700000000000002</c:v>
                </c:pt>
                <c:pt idx="2">
                  <c:v>3.76</c:v>
                </c:pt>
                <c:pt idx="3">
                  <c:v>3.89</c:v>
                </c:pt>
                <c:pt idx="4">
                  <c:v>3.01</c:v>
                </c:pt>
                <c:pt idx="5">
                  <c:v>3.77</c:v>
                </c:pt>
                <c:pt idx="6">
                  <c:v>3.6</c:v>
                </c:pt>
                <c:pt idx="7">
                  <c:v>5.3</c:v>
                </c:pt>
                <c:pt idx="8">
                  <c:v>4.47</c:v>
                </c:pt>
                <c:pt idx="9">
                  <c:v>3.66</c:v>
                </c:pt>
                <c:pt idx="10">
                  <c:v>5.16</c:v>
                </c:pt>
                <c:pt idx="11">
                  <c:v>6.1</c:v>
                </c:pt>
                <c:pt idx="12">
                  <c:v>4.3</c:v>
                </c:pt>
                <c:pt idx="13">
                  <c:v>4.6399999999999997</c:v>
                </c:pt>
                <c:pt idx="14">
                  <c:v>5.28</c:v>
                </c:pt>
                <c:pt idx="15">
                  <c:v>4.0999999999999996</c:v>
                </c:pt>
                <c:pt idx="16">
                  <c:v>4.24</c:v>
                </c:pt>
                <c:pt idx="17">
                  <c:v>4.04</c:v>
                </c:pt>
                <c:pt idx="18">
                  <c:v>3.74</c:v>
                </c:pt>
                <c:pt idx="19">
                  <c:v>3.94</c:v>
                </c:pt>
                <c:pt idx="20">
                  <c:v>5.67</c:v>
                </c:pt>
                <c:pt idx="21">
                  <c:v>3.33</c:v>
                </c:pt>
                <c:pt idx="22">
                  <c:v>4.07</c:v>
                </c:pt>
                <c:pt idx="23">
                  <c:v>4.82</c:v>
                </c:pt>
                <c:pt idx="24">
                  <c:v>5.69</c:v>
                </c:pt>
                <c:pt idx="25">
                  <c:v>3.65</c:v>
                </c:pt>
                <c:pt idx="26">
                  <c:v>5.54</c:v>
                </c:pt>
                <c:pt idx="27">
                  <c:v>3.92</c:v>
                </c:pt>
                <c:pt idx="28">
                  <c:v>3.46</c:v>
                </c:pt>
                <c:pt idx="29">
                  <c:v>3.47</c:v>
                </c:pt>
                <c:pt idx="30">
                  <c:v>3.42</c:v>
                </c:pt>
                <c:pt idx="31">
                  <c:v>2.96</c:v>
                </c:pt>
                <c:pt idx="32">
                  <c:v>3.02</c:v>
                </c:pt>
                <c:pt idx="33">
                  <c:v>3.36</c:v>
                </c:pt>
                <c:pt idx="34">
                  <c:v>4.93</c:v>
                </c:pt>
                <c:pt idx="35">
                  <c:v>4.13</c:v>
                </c:pt>
                <c:pt idx="36">
                  <c:v>2.5499999999999998</c:v>
                </c:pt>
                <c:pt idx="37">
                  <c:v>3.92</c:v>
                </c:pt>
                <c:pt idx="38">
                  <c:v>4.5599999999999996</c:v>
                </c:pt>
                <c:pt idx="39">
                  <c:v>3.59</c:v>
                </c:pt>
                <c:pt idx="40">
                  <c:v>4.08</c:v>
                </c:pt>
                <c:pt idx="41">
                  <c:v>3.32</c:v>
                </c:pt>
                <c:pt idx="42">
                  <c:v>3.28</c:v>
                </c:pt>
                <c:pt idx="43">
                  <c:v>1.96</c:v>
                </c:pt>
                <c:pt idx="44">
                  <c:v>3.74</c:v>
                </c:pt>
                <c:pt idx="45">
                  <c:v>2.1</c:v>
                </c:pt>
                <c:pt idx="46">
                  <c:v>2.97</c:v>
                </c:pt>
                <c:pt idx="47">
                  <c:v>2.2000000000000002</c:v>
                </c:pt>
                <c:pt idx="48">
                  <c:v>3.2</c:v>
                </c:pt>
                <c:pt idx="49">
                  <c:v>4.43</c:v>
                </c:pt>
                <c:pt idx="50">
                  <c:v>3.1</c:v>
                </c:pt>
                <c:pt idx="51">
                  <c:v>3.08</c:v>
                </c:pt>
                <c:pt idx="52">
                  <c:v>2.6</c:v>
                </c:pt>
                <c:pt idx="53">
                  <c:v>2.6</c:v>
                </c:pt>
                <c:pt idx="54">
                  <c:v>2.0099999999999998</c:v>
                </c:pt>
                <c:pt idx="55">
                  <c:v>3.18</c:v>
                </c:pt>
                <c:pt idx="56">
                  <c:v>3.71</c:v>
                </c:pt>
                <c:pt idx="57">
                  <c:v>3.9</c:v>
                </c:pt>
                <c:pt idx="58">
                  <c:v>3.31</c:v>
                </c:pt>
                <c:pt idx="59">
                  <c:v>3.04</c:v>
                </c:pt>
                <c:pt idx="60">
                  <c:v>3.07</c:v>
                </c:pt>
                <c:pt idx="61">
                  <c:v>1.9</c:v>
                </c:pt>
                <c:pt idx="62">
                  <c:v>2.97</c:v>
                </c:pt>
                <c:pt idx="63">
                  <c:v>3.1</c:v>
                </c:pt>
                <c:pt idx="64">
                  <c:v>2.81</c:v>
                </c:pt>
                <c:pt idx="65">
                  <c:v>3.81</c:v>
                </c:pt>
                <c:pt idx="66">
                  <c:v>2.68</c:v>
                </c:pt>
                <c:pt idx="67">
                  <c:v>3.83</c:v>
                </c:pt>
                <c:pt idx="68">
                  <c:v>3.23</c:v>
                </c:pt>
                <c:pt idx="69">
                  <c:v>3.96</c:v>
                </c:pt>
                <c:pt idx="70">
                  <c:v>4.07</c:v>
                </c:pt>
                <c:pt idx="71">
                  <c:v>3.99</c:v>
                </c:pt>
                <c:pt idx="72">
                  <c:v>4.24</c:v>
                </c:pt>
                <c:pt idx="73">
                  <c:v>1.3</c:v>
                </c:pt>
                <c:pt idx="74">
                  <c:v>1.1499999999999999</c:v>
                </c:pt>
                <c:pt idx="75">
                  <c:v>3.55</c:v>
                </c:pt>
                <c:pt idx="76">
                  <c:v>4.4000000000000004</c:v>
                </c:pt>
                <c:pt idx="77">
                  <c:v>3.88</c:v>
                </c:pt>
                <c:pt idx="78">
                  <c:v>3.52</c:v>
                </c:pt>
                <c:pt idx="79">
                  <c:v>2.93</c:v>
                </c:pt>
                <c:pt idx="80">
                  <c:v>3.14</c:v>
                </c:pt>
                <c:pt idx="81">
                  <c:v>2.27</c:v>
                </c:pt>
                <c:pt idx="82">
                  <c:v>1.02</c:v>
                </c:pt>
                <c:pt idx="83">
                  <c:v>1.42</c:v>
                </c:pt>
                <c:pt idx="84">
                  <c:v>2.6</c:v>
                </c:pt>
                <c:pt idx="85">
                  <c:v>2.2799999999999998</c:v>
                </c:pt>
                <c:pt idx="86">
                  <c:v>2.78</c:v>
                </c:pt>
                <c:pt idx="87">
                  <c:v>2.37</c:v>
                </c:pt>
                <c:pt idx="88">
                  <c:v>2.97</c:v>
                </c:pt>
                <c:pt idx="89">
                  <c:v>3.72</c:v>
                </c:pt>
                <c:pt idx="90">
                  <c:v>1.89</c:v>
                </c:pt>
                <c:pt idx="91">
                  <c:v>4.42</c:v>
                </c:pt>
                <c:pt idx="92">
                  <c:v>2.27</c:v>
                </c:pt>
                <c:pt idx="93">
                  <c:v>2.99</c:v>
                </c:pt>
                <c:pt idx="94">
                  <c:v>3.73</c:v>
                </c:pt>
                <c:pt idx="95">
                  <c:v>2.72</c:v>
                </c:pt>
                <c:pt idx="96">
                  <c:v>3.47</c:v>
                </c:pt>
                <c:pt idx="97">
                  <c:v>3.92</c:v>
                </c:pt>
                <c:pt idx="98">
                  <c:v>2.9</c:v>
                </c:pt>
                <c:pt idx="99">
                  <c:v>1.67</c:v>
                </c:pt>
                <c:pt idx="100">
                  <c:v>3.86</c:v>
                </c:pt>
                <c:pt idx="101">
                  <c:v>4.66</c:v>
                </c:pt>
                <c:pt idx="102">
                  <c:v>3.54</c:v>
                </c:pt>
                <c:pt idx="103">
                  <c:v>3.72</c:v>
                </c:pt>
                <c:pt idx="104">
                  <c:v>2.65</c:v>
                </c:pt>
                <c:pt idx="105">
                  <c:v>3.31</c:v>
                </c:pt>
                <c:pt idx="106">
                  <c:v>3.39</c:v>
                </c:pt>
                <c:pt idx="107">
                  <c:v>1.1100000000000001</c:v>
                </c:pt>
                <c:pt idx="108">
                  <c:v>2.72</c:v>
                </c:pt>
                <c:pt idx="109">
                  <c:v>3.59</c:v>
                </c:pt>
                <c:pt idx="110">
                  <c:v>2.65</c:v>
                </c:pt>
                <c:pt idx="111">
                  <c:v>3.31</c:v>
                </c:pt>
                <c:pt idx="112">
                  <c:v>4.3899999999999997</c:v>
                </c:pt>
                <c:pt idx="113">
                  <c:v>1.66</c:v>
                </c:pt>
                <c:pt idx="114">
                  <c:v>3.24</c:v>
                </c:pt>
                <c:pt idx="115">
                  <c:v>3.28</c:v>
                </c:pt>
                <c:pt idx="116">
                  <c:v>3.94</c:v>
                </c:pt>
                <c:pt idx="117">
                  <c:v>4.4800000000000004</c:v>
                </c:pt>
                <c:pt idx="118">
                  <c:v>3.69</c:v>
                </c:pt>
                <c:pt idx="119">
                  <c:v>3.34</c:v>
                </c:pt>
                <c:pt idx="120">
                  <c:v>5.29</c:v>
                </c:pt>
                <c:pt idx="121">
                  <c:v>1.87</c:v>
                </c:pt>
                <c:pt idx="122">
                  <c:v>3.33</c:v>
                </c:pt>
                <c:pt idx="123">
                  <c:v>2.2599999999999998</c:v>
                </c:pt>
                <c:pt idx="124">
                  <c:v>2.27</c:v>
                </c:pt>
                <c:pt idx="125">
                  <c:v>2.4975000000000001</c:v>
                </c:pt>
                <c:pt idx="126">
                  <c:v>1.18</c:v>
                </c:pt>
                <c:pt idx="127">
                  <c:v>1.7024999999999999</c:v>
                </c:pt>
                <c:pt idx="128">
                  <c:v>1.135</c:v>
                </c:pt>
                <c:pt idx="129">
                  <c:v>1.4750000000000001</c:v>
                </c:pt>
                <c:pt idx="130">
                  <c:v>1.6950000000000001</c:v>
                </c:pt>
                <c:pt idx="131">
                  <c:v>1.77</c:v>
                </c:pt>
                <c:pt idx="132">
                  <c:v>6.6</c:v>
                </c:pt>
                <c:pt idx="133">
                  <c:v>6.73</c:v>
                </c:pt>
                <c:pt idx="134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4-48CF-ADAD-33DE59E7CA19}"/>
            </c:ext>
          </c:extLst>
        </c:ser>
        <c:ser>
          <c:idx val="1"/>
          <c:order val="1"/>
          <c:tx>
            <c:strRef>
              <c:f>'Results- Training'!$H$14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Training'!$H$15:$H$149</c:f>
              <c:numCache>
                <c:formatCode>General</c:formatCode>
                <c:ptCount val="135"/>
                <c:pt idx="0">
                  <c:v>2.50299050941166</c:v>
                </c:pt>
                <c:pt idx="1">
                  <c:v>2.3979399078644899</c:v>
                </c:pt>
                <c:pt idx="2">
                  <c:v>3.64882276065268</c:v>
                </c:pt>
                <c:pt idx="3">
                  <c:v>3.8387381767450801</c:v>
                </c:pt>
                <c:pt idx="4">
                  <c:v>3.38898172500368</c:v>
                </c:pt>
                <c:pt idx="5">
                  <c:v>3.6901700716358499</c:v>
                </c:pt>
                <c:pt idx="6">
                  <c:v>3.5651702122985802</c:v>
                </c:pt>
                <c:pt idx="7">
                  <c:v>5.3509704142442098</c:v>
                </c:pt>
                <c:pt idx="8">
                  <c:v>4.86984689058065</c:v>
                </c:pt>
                <c:pt idx="9">
                  <c:v>3.79515404351138</c:v>
                </c:pt>
                <c:pt idx="10">
                  <c:v>5.4404803073995502</c:v>
                </c:pt>
                <c:pt idx="11">
                  <c:v>5.8599769285866898</c:v>
                </c:pt>
                <c:pt idx="12">
                  <c:v>4.2503311476030197</c:v>
                </c:pt>
                <c:pt idx="13">
                  <c:v>4.7805415694465703</c:v>
                </c:pt>
                <c:pt idx="14">
                  <c:v>5.0574990174866397</c:v>
                </c:pt>
                <c:pt idx="15">
                  <c:v>3.5874395482367998</c:v>
                </c:pt>
                <c:pt idx="16">
                  <c:v>4.3008574238329702</c:v>
                </c:pt>
                <c:pt idx="17">
                  <c:v>4.21940602955394</c:v>
                </c:pt>
                <c:pt idx="18">
                  <c:v>3.8271091312971799</c:v>
                </c:pt>
                <c:pt idx="19">
                  <c:v>3.9747275496913002</c:v>
                </c:pt>
                <c:pt idx="20">
                  <c:v>5.6365810201604702</c:v>
                </c:pt>
                <c:pt idx="21">
                  <c:v>3.3643784462183</c:v>
                </c:pt>
                <c:pt idx="22">
                  <c:v>4.3852295139403203</c:v>
                </c:pt>
                <c:pt idx="23">
                  <c:v>4.6080079366921201</c:v>
                </c:pt>
                <c:pt idx="24">
                  <c:v>5.6321162527535504</c:v>
                </c:pt>
                <c:pt idx="25">
                  <c:v>3.6642961103436398</c:v>
                </c:pt>
                <c:pt idx="26">
                  <c:v>5.3748517833043898</c:v>
                </c:pt>
                <c:pt idx="27">
                  <c:v>4.1311116359648903</c:v>
                </c:pt>
                <c:pt idx="28">
                  <c:v>3.4514824598946099</c:v>
                </c:pt>
                <c:pt idx="29">
                  <c:v>3.4754803438670701</c:v>
                </c:pt>
                <c:pt idx="30">
                  <c:v>3.3978824552923301</c:v>
                </c:pt>
                <c:pt idx="31">
                  <c:v>3.0170011785526398</c:v>
                </c:pt>
                <c:pt idx="32">
                  <c:v>3.0345636293273102</c:v>
                </c:pt>
                <c:pt idx="33">
                  <c:v>3.3192060689801601</c:v>
                </c:pt>
                <c:pt idx="34">
                  <c:v>4.63297641653452</c:v>
                </c:pt>
                <c:pt idx="35">
                  <c:v>3.9663967266145499</c:v>
                </c:pt>
                <c:pt idx="36">
                  <c:v>2.8375194170718201</c:v>
                </c:pt>
                <c:pt idx="37">
                  <c:v>4.1328197880939603</c:v>
                </c:pt>
                <c:pt idx="38">
                  <c:v>3.9497134428609102</c:v>
                </c:pt>
                <c:pt idx="39">
                  <c:v>3.2819483137580101</c:v>
                </c:pt>
                <c:pt idx="40">
                  <c:v>3.8577559208696299</c:v>
                </c:pt>
                <c:pt idx="41">
                  <c:v>3.4398255673565599</c:v>
                </c:pt>
                <c:pt idx="42">
                  <c:v>3.3867688620008201</c:v>
                </c:pt>
                <c:pt idx="43">
                  <c:v>1.66818347496548</c:v>
                </c:pt>
                <c:pt idx="44">
                  <c:v>3.7562755218928601</c:v>
                </c:pt>
                <c:pt idx="45">
                  <c:v>2.2156298918003601</c:v>
                </c:pt>
                <c:pt idx="46">
                  <c:v>2.8953883857626299</c:v>
                </c:pt>
                <c:pt idx="47">
                  <c:v>2.4791856543328299</c:v>
                </c:pt>
                <c:pt idx="48">
                  <c:v>3.7279532693363899</c:v>
                </c:pt>
                <c:pt idx="49">
                  <c:v>4.2773669304116098</c:v>
                </c:pt>
                <c:pt idx="50">
                  <c:v>3.0291840064509898</c:v>
                </c:pt>
                <c:pt idx="51">
                  <c:v>3.0055572705457698</c:v>
                </c:pt>
                <c:pt idx="52">
                  <c:v>2.86076914395167</c:v>
                </c:pt>
                <c:pt idx="53">
                  <c:v>3.069504071651</c:v>
                </c:pt>
                <c:pt idx="54">
                  <c:v>2.1553728013711</c:v>
                </c:pt>
                <c:pt idx="55">
                  <c:v>3.6671612431367002</c:v>
                </c:pt>
                <c:pt idx="56">
                  <c:v>3.6697772354146099</c:v>
                </c:pt>
                <c:pt idx="57">
                  <c:v>3.4047476584426901</c:v>
                </c:pt>
                <c:pt idx="58">
                  <c:v>3.0690020016562798</c:v>
                </c:pt>
                <c:pt idx="59">
                  <c:v>3.1855868606359699</c:v>
                </c:pt>
                <c:pt idx="60">
                  <c:v>3.16556375501523</c:v>
                </c:pt>
                <c:pt idx="61">
                  <c:v>2.0411979622178298</c:v>
                </c:pt>
                <c:pt idx="62">
                  <c:v>3.3427868475001099</c:v>
                </c:pt>
                <c:pt idx="63">
                  <c:v>3.35169253578565</c:v>
                </c:pt>
                <c:pt idx="64">
                  <c:v>3.2908329464019501</c:v>
                </c:pt>
                <c:pt idx="65">
                  <c:v>3.5164267968481799</c:v>
                </c:pt>
                <c:pt idx="66">
                  <c:v>3.1799895009605601</c:v>
                </c:pt>
                <c:pt idx="67">
                  <c:v>3.7552350208036098</c:v>
                </c:pt>
                <c:pt idx="68">
                  <c:v>3.4700941501893801</c:v>
                </c:pt>
                <c:pt idx="69">
                  <c:v>3.7707170680673099</c:v>
                </c:pt>
                <c:pt idx="70">
                  <c:v>3.8240736301937401</c:v>
                </c:pt>
                <c:pt idx="71">
                  <c:v>3.5002340054249101</c:v>
                </c:pt>
                <c:pt idx="72">
                  <c:v>3.9195990359833299</c:v>
                </c:pt>
                <c:pt idx="73">
                  <c:v>1.3644787382936401</c:v>
                </c:pt>
                <c:pt idx="74">
                  <c:v>1.33011085742609</c:v>
                </c:pt>
                <c:pt idx="75">
                  <c:v>3.5974505791910998</c:v>
                </c:pt>
                <c:pt idx="76">
                  <c:v>3.9527010293721299</c:v>
                </c:pt>
                <c:pt idx="77">
                  <c:v>3.71036434311161</c:v>
                </c:pt>
                <c:pt idx="78">
                  <c:v>3.5081912618951399</c:v>
                </c:pt>
                <c:pt idx="79">
                  <c:v>3.0752197302384001</c:v>
                </c:pt>
                <c:pt idx="80">
                  <c:v>3.3137370787014899</c:v>
                </c:pt>
                <c:pt idx="81">
                  <c:v>2.4176974366040902</c:v>
                </c:pt>
                <c:pt idx="82">
                  <c:v>1.0945845292369001</c:v>
                </c:pt>
                <c:pt idx="83">
                  <c:v>1.69127907211654</c:v>
                </c:pt>
                <c:pt idx="84">
                  <c:v>3.0027006846358799</c:v>
                </c:pt>
                <c:pt idx="85">
                  <c:v>1.88888350773901</c:v>
                </c:pt>
                <c:pt idx="86">
                  <c:v>2.77762271680924</c:v>
                </c:pt>
                <c:pt idx="87">
                  <c:v>2.2128143923959001</c:v>
                </c:pt>
                <c:pt idx="88">
                  <c:v>3.3653299556585599</c:v>
                </c:pt>
                <c:pt idx="89">
                  <c:v>3.8210270453984698</c:v>
                </c:pt>
                <c:pt idx="90">
                  <c:v>1.8945360678418901</c:v>
                </c:pt>
                <c:pt idx="91">
                  <c:v>4.4851912580662301</c:v>
                </c:pt>
                <c:pt idx="92">
                  <c:v>2.4176974366040902</c:v>
                </c:pt>
                <c:pt idx="93">
                  <c:v>3.2514004700488099</c:v>
                </c:pt>
                <c:pt idx="94">
                  <c:v>3.5776416460128302</c:v>
                </c:pt>
                <c:pt idx="95">
                  <c:v>2.9306184119023002</c:v>
                </c:pt>
                <c:pt idx="96">
                  <c:v>3.0979388817763001</c:v>
                </c:pt>
                <c:pt idx="97">
                  <c:v>3.25443760475321</c:v>
                </c:pt>
                <c:pt idx="98">
                  <c:v>2.9164256373187398</c:v>
                </c:pt>
                <c:pt idx="99">
                  <c:v>1.69281373508513</c:v>
                </c:pt>
                <c:pt idx="100">
                  <c:v>3.2355287323151298</c:v>
                </c:pt>
                <c:pt idx="101">
                  <c:v>3.9256655345371398</c:v>
                </c:pt>
                <c:pt idx="102">
                  <c:v>3.5346291571831898</c:v>
                </c:pt>
                <c:pt idx="103">
                  <c:v>3.7975058031519602</c:v>
                </c:pt>
                <c:pt idx="104">
                  <c:v>3.3235593144493398</c:v>
                </c:pt>
                <c:pt idx="105">
                  <c:v>3.3041974859871601</c:v>
                </c:pt>
                <c:pt idx="106">
                  <c:v>2.7643971454190299</c:v>
                </c:pt>
                <c:pt idx="107">
                  <c:v>1.2661598531868601</c:v>
                </c:pt>
                <c:pt idx="108">
                  <c:v>2.7849441737486802</c:v>
                </c:pt>
                <c:pt idx="109">
                  <c:v>3.6637866710935199</c:v>
                </c:pt>
                <c:pt idx="110">
                  <c:v>2.3513953672934398</c:v>
                </c:pt>
                <c:pt idx="111">
                  <c:v>3.5184229443411899</c:v>
                </c:pt>
                <c:pt idx="112">
                  <c:v>4.0743275835416197</c:v>
                </c:pt>
                <c:pt idx="113">
                  <c:v>1.6273527195178401</c:v>
                </c:pt>
                <c:pt idx="114">
                  <c:v>3.2918733401678</c:v>
                </c:pt>
                <c:pt idx="115">
                  <c:v>3.31216644556388</c:v>
                </c:pt>
                <c:pt idx="116">
                  <c:v>3.7861305198652202</c:v>
                </c:pt>
                <c:pt idx="117">
                  <c:v>4.5558606718534902</c:v>
                </c:pt>
                <c:pt idx="118">
                  <c:v>3.7733829874977198</c:v>
                </c:pt>
                <c:pt idx="119">
                  <c:v>3.8739236289761898</c:v>
                </c:pt>
                <c:pt idx="120">
                  <c:v>4.6723253836607599</c:v>
                </c:pt>
                <c:pt idx="121">
                  <c:v>1.72541446469344</c:v>
                </c:pt>
                <c:pt idx="122">
                  <c:v>3.1567374082341799</c:v>
                </c:pt>
                <c:pt idx="123">
                  <c:v>2.58043767592069</c:v>
                </c:pt>
                <c:pt idx="124">
                  <c:v>2.295522762939</c:v>
                </c:pt>
                <c:pt idx="125">
                  <c:v>2.4761146679625998</c:v>
                </c:pt>
                <c:pt idx="126">
                  <c:v>1.3546901986873501</c:v>
                </c:pt>
                <c:pt idx="127">
                  <c:v>1.7729831644189999</c:v>
                </c:pt>
                <c:pt idx="128">
                  <c:v>1.1957377778718701</c:v>
                </c:pt>
                <c:pt idx="129">
                  <c:v>1.4820336383780099</c:v>
                </c:pt>
                <c:pt idx="130">
                  <c:v>2.00548584747271</c:v>
                </c:pt>
                <c:pt idx="131">
                  <c:v>2.17405287954201</c:v>
                </c:pt>
                <c:pt idx="132">
                  <c:v>6.0850208081208397</c:v>
                </c:pt>
                <c:pt idx="133">
                  <c:v>6.6892196261839798</c:v>
                </c:pt>
                <c:pt idx="134">
                  <c:v>3.54870596975756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4-48CF-ADAD-33DE59E7C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P2O5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'Results- Training'!$L$14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Training'!$L$15:$L$165</c:f>
              <c:numCache>
                <c:formatCode>General</c:formatCode>
                <c:ptCount val="151"/>
                <c:pt idx="0">
                  <c:v>0.86</c:v>
                </c:pt>
                <c:pt idx="1">
                  <c:v>1.06</c:v>
                </c:pt>
                <c:pt idx="2">
                  <c:v>2.14</c:v>
                </c:pt>
                <c:pt idx="3">
                  <c:v>1.92</c:v>
                </c:pt>
                <c:pt idx="4">
                  <c:v>1.81</c:v>
                </c:pt>
                <c:pt idx="5">
                  <c:v>2.11</c:v>
                </c:pt>
                <c:pt idx="6">
                  <c:v>1.1000000000000001</c:v>
                </c:pt>
                <c:pt idx="7">
                  <c:v>1.1200000000000001</c:v>
                </c:pt>
                <c:pt idx="8">
                  <c:v>1.21</c:v>
                </c:pt>
                <c:pt idx="9">
                  <c:v>2.5</c:v>
                </c:pt>
                <c:pt idx="10">
                  <c:v>2.2999999999999998</c:v>
                </c:pt>
                <c:pt idx="11">
                  <c:v>2.5</c:v>
                </c:pt>
                <c:pt idx="12">
                  <c:v>1.32</c:v>
                </c:pt>
                <c:pt idx="13">
                  <c:v>3.26</c:v>
                </c:pt>
                <c:pt idx="14">
                  <c:v>3.36</c:v>
                </c:pt>
                <c:pt idx="15">
                  <c:v>0.99</c:v>
                </c:pt>
                <c:pt idx="16">
                  <c:v>1.1499999999999999</c:v>
                </c:pt>
                <c:pt idx="17">
                  <c:v>1.7</c:v>
                </c:pt>
                <c:pt idx="18">
                  <c:v>2.02</c:v>
                </c:pt>
                <c:pt idx="19">
                  <c:v>2.2999999999999998</c:v>
                </c:pt>
                <c:pt idx="20">
                  <c:v>1.68</c:v>
                </c:pt>
                <c:pt idx="21">
                  <c:v>2.36</c:v>
                </c:pt>
                <c:pt idx="22">
                  <c:v>2.1</c:v>
                </c:pt>
                <c:pt idx="23">
                  <c:v>2.0299999999999998</c:v>
                </c:pt>
                <c:pt idx="24">
                  <c:v>2.11</c:v>
                </c:pt>
                <c:pt idx="25">
                  <c:v>2.2799999999999998</c:v>
                </c:pt>
                <c:pt idx="26">
                  <c:v>1.42</c:v>
                </c:pt>
                <c:pt idx="27">
                  <c:v>1.88</c:v>
                </c:pt>
                <c:pt idx="28">
                  <c:v>1.59</c:v>
                </c:pt>
                <c:pt idx="29">
                  <c:v>2.94</c:v>
                </c:pt>
                <c:pt idx="30">
                  <c:v>1.54</c:v>
                </c:pt>
                <c:pt idx="31">
                  <c:v>1.42</c:v>
                </c:pt>
                <c:pt idx="32">
                  <c:v>1.35</c:v>
                </c:pt>
                <c:pt idx="33">
                  <c:v>1.32</c:v>
                </c:pt>
                <c:pt idx="34">
                  <c:v>1.65</c:v>
                </c:pt>
                <c:pt idx="35">
                  <c:v>1.75</c:v>
                </c:pt>
                <c:pt idx="36">
                  <c:v>1.91</c:v>
                </c:pt>
                <c:pt idx="37">
                  <c:v>0.6</c:v>
                </c:pt>
                <c:pt idx="38">
                  <c:v>2.1</c:v>
                </c:pt>
                <c:pt idx="39">
                  <c:v>2.5099999999999998</c:v>
                </c:pt>
                <c:pt idx="40">
                  <c:v>1.89</c:v>
                </c:pt>
                <c:pt idx="41">
                  <c:v>1.66</c:v>
                </c:pt>
                <c:pt idx="42">
                  <c:v>1.17</c:v>
                </c:pt>
                <c:pt idx="43">
                  <c:v>0.9</c:v>
                </c:pt>
                <c:pt idx="44">
                  <c:v>1.66</c:v>
                </c:pt>
                <c:pt idx="45">
                  <c:v>0.85</c:v>
                </c:pt>
                <c:pt idx="46">
                  <c:v>1.18</c:v>
                </c:pt>
                <c:pt idx="47">
                  <c:v>1.74</c:v>
                </c:pt>
                <c:pt idx="48">
                  <c:v>1.85</c:v>
                </c:pt>
                <c:pt idx="49">
                  <c:v>1.29</c:v>
                </c:pt>
                <c:pt idx="50">
                  <c:v>1.32</c:v>
                </c:pt>
                <c:pt idx="51">
                  <c:v>1.03</c:v>
                </c:pt>
                <c:pt idx="52">
                  <c:v>0.98</c:v>
                </c:pt>
                <c:pt idx="53">
                  <c:v>0.89</c:v>
                </c:pt>
                <c:pt idx="54">
                  <c:v>1.39</c:v>
                </c:pt>
                <c:pt idx="55">
                  <c:v>2.25</c:v>
                </c:pt>
                <c:pt idx="56">
                  <c:v>1.79</c:v>
                </c:pt>
                <c:pt idx="57">
                  <c:v>1.45</c:v>
                </c:pt>
                <c:pt idx="58">
                  <c:v>2.06</c:v>
                </c:pt>
                <c:pt idx="59">
                  <c:v>1.44</c:v>
                </c:pt>
                <c:pt idx="60">
                  <c:v>1.39</c:v>
                </c:pt>
                <c:pt idx="61">
                  <c:v>0.63</c:v>
                </c:pt>
                <c:pt idx="62">
                  <c:v>1.1399999999999999</c:v>
                </c:pt>
                <c:pt idx="63">
                  <c:v>2.0699999999999998</c:v>
                </c:pt>
                <c:pt idx="64">
                  <c:v>1.36</c:v>
                </c:pt>
                <c:pt idx="65">
                  <c:v>1.44</c:v>
                </c:pt>
                <c:pt idx="66">
                  <c:v>1.68</c:v>
                </c:pt>
                <c:pt idx="67">
                  <c:v>1.75</c:v>
                </c:pt>
                <c:pt idx="68">
                  <c:v>1.65</c:v>
                </c:pt>
                <c:pt idx="69">
                  <c:v>1.99</c:v>
                </c:pt>
                <c:pt idx="70">
                  <c:v>0.63</c:v>
                </c:pt>
                <c:pt idx="71">
                  <c:v>0.48</c:v>
                </c:pt>
                <c:pt idx="72">
                  <c:v>1.72</c:v>
                </c:pt>
                <c:pt idx="73">
                  <c:v>2.13</c:v>
                </c:pt>
                <c:pt idx="74">
                  <c:v>2.0099999999999998</c:v>
                </c:pt>
                <c:pt idx="75">
                  <c:v>1.89</c:v>
                </c:pt>
                <c:pt idx="76">
                  <c:v>1.53</c:v>
                </c:pt>
                <c:pt idx="77">
                  <c:v>1.98</c:v>
                </c:pt>
                <c:pt idx="78">
                  <c:v>0.92</c:v>
                </c:pt>
                <c:pt idx="79">
                  <c:v>0.35</c:v>
                </c:pt>
                <c:pt idx="80">
                  <c:v>0.68</c:v>
                </c:pt>
                <c:pt idx="81">
                  <c:v>1.26</c:v>
                </c:pt>
                <c:pt idx="82">
                  <c:v>0.62</c:v>
                </c:pt>
                <c:pt idx="83">
                  <c:v>1.26</c:v>
                </c:pt>
                <c:pt idx="84">
                  <c:v>1.4</c:v>
                </c:pt>
                <c:pt idx="85">
                  <c:v>1.49</c:v>
                </c:pt>
                <c:pt idx="86">
                  <c:v>0.56999999999999995</c:v>
                </c:pt>
                <c:pt idx="87">
                  <c:v>1.98</c:v>
                </c:pt>
                <c:pt idx="88">
                  <c:v>0.92</c:v>
                </c:pt>
                <c:pt idx="89">
                  <c:v>1.24</c:v>
                </c:pt>
                <c:pt idx="90">
                  <c:v>2.19</c:v>
                </c:pt>
                <c:pt idx="91">
                  <c:v>1.1200000000000001</c:v>
                </c:pt>
                <c:pt idx="92">
                  <c:v>1.48</c:v>
                </c:pt>
                <c:pt idx="93">
                  <c:v>1.59</c:v>
                </c:pt>
                <c:pt idx="94">
                  <c:v>1.2</c:v>
                </c:pt>
                <c:pt idx="95">
                  <c:v>0.82</c:v>
                </c:pt>
                <c:pt idx="96">
                  <c:v>1.56</c:v>
                </c:pt>
                <c:pt idx="97">
                  <c:v>1.95</c:v>
                </c:pt>
                <c:pt idx="98">
                  <c:v>1.66</c:v>
                </c:pt>
                <c:pt idx="99">
                  <c:v>2.02</c:v>
                </c:pt>
                <c:pt idx="100">
                  <c:v>1.47</c:v>
                </c:pt>
                <c:pt idx="101">
                  <c:v>1.31</c:v>
                </c:pt>
                <c:pt idx="102">
                  <c:v>0.57999999999999996</c:v>
                </c:pt>
                <c:pt idx="103">
                  <c:v>1.1499999999999999</c:v>
                </c:pt>
                <c:pt idx="104">
                  <c:v>1.62</c:v>
                </c:pt>
                <c:pt idx="105">
                  <c:v>0.22</c:v>
                </c:pt>
                <c:pt idx="106">
                  <c:v>1.91</c:v>
                </c:pt>
                <c:pt idx="107">
                  <c:v>1.98</c:v>
                </c:pt>
                <c:pt idx="108">
                  <c:v>1.04</c:v>
                </c:pt>
                <c:pt idx="109">
                  <c:v>1.44</c:v>
                </c:pt>
                <c:pt idx="110">
                  <c:v>1.44</c:v>
                </c:pt>
                <c:pt idx="111">
                  <c:v>2.0099999999999998</c:v>
                </c:pt>
                <c:pt idx="112">
                  <c:v>2.16</c:v>
                </c:pt>
                <c:pt idx="113">
                  <c:v>1.88</c:v>
                </c:pt>
                <c:pt idx="114">
                  <c:v>1.6</c:v>
                </c:pt>
                <c:pt idx="115">
                  <c:v>2.11</c:v>
                </c:pt>
                <c:pt idx="116">
                  <c:v>2.21</c:v>
                </c:pt>
                <c:pt idx="117">
                  <c:v>0.41</c:v>
                </c:pt>
                <c:pt idx="118">
                  <c:v>1.2</c:v>
                </c:pt>
                <c:pt idx="119">
                  <c:v>0.91</c:v>
                </c:pt>
                <c:pt idx="120">
                  <c:v>0.52</c:v>
                </c:pt>
                <c:pt idx="121">
                  <c:v>0.9</c:v>
                </c:pt>
                <c:pt idx="122">
                  <c:v>0.55000000000000004</c:v>
                </c:pt>
                <c:pt idx="123">
                  <c:v>0.39</c:v>
                </c:pt>
                <c:pt idx="124">
                  <c:v>0.26</c:v>
                </c:pt>
                <c:pt idx="125">
                  <c:v>0.44</c:v>
                </c:pt>
                <c:pt idx="126">
                  <c:v>0.6825</c:v>
                </c:pt>
                <c:pt idx="127">
                  <c:v>0.82499999999999996</c:v>
                </c:pt>
                <c:pt idx="128">
                  <c:v>2.1</c:v>
                </c:pt>
                <c:pt idx="129">
                  <c:v>1.9</c:v>
                </c:pt>
                <c:pt idx="130">
                  <c:v>1.86</c:v>
                </c:pt>
                <c:pt idx="131">
                  <c:v>1.5</c:v>
                </c:pt>
                <c:pt idx="132">
                  <c:v>2</c:v>
                </c:pt>
                <c:pt idx="133">
                  <c:v>1.0900000000000001</c:v>
                </c:pt>
                <c:pt idx="134">
                  <c:v>1.49</c:v>
                </c:pt>
                <c:pt idx="135">
                  <c:v>1.57</c:v>
                </c:pt>
                <c:pt idx="136">
                  <c:v>1.19</c:v>
                </c:pt>
                <c:pt idx="137">
                  <c:v>1.93</c:v>
                </c:pt>
                <c:pt idx="138">
                  <c:v>1.58</c:v>
                </c:pt>
                <c:pt idx="139">
                  <c:v>1.1399999999999999</c:v>
                </c:pt>
                <c:pt idx="140">
                  <c:v>0.22</c:v>
                </c:pt>
                <c:pt idx="141">
                  <c:v>2.14</c:v>
                </c:pt>
                <c:pt idx="142">
                  <c:v>1.19</c:v>
                </c:pt>
                <c:pt idx="143">
                  <c:v>1.56</c:v>
                </c:pt>
                <c:pt idx="144">
                  <c:v>0.25</c:v>
                </c:pt>
                <c:pt idx="145">
                  <c:v>0.28999999999999998</c:v>
                </c:pt>
                <c:pt idx="146">
                  <c:v>0.97</c:v>
                </c:pt>
                <c:pt idx="147">
                  <c:v>0.32</c:v>
                </c:pt>
                <c:pt idx="148">
                  <c:v>1.4</c:v>
                </c:pt>
                <c:pt idx="149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E-4DF3-AA54-581CB749AFF2}"/>
            </c:ext>
          </c:extLst>
        </c:ser>
        <c:ser>
          <c:idx val="1"/>
          <c:order val="1"/>
          <c:tx>
            <c:strRef>
              <c:f>'Results- Training'!$M$14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Training'!$M$15:$M$165</c:f>
              <c:numCache>
                <c:formatCode>General</c:formatCode>
                <c:ptCount val="151"/>
                <c:pt idx="0">
                  <c:v>0.93624680635148005</c:v>
                </c:pt>
                <c:pt idx="1">
                  <c:v>1.13865585971697</c:v>
                </c:pt>
                <c:pt idx="2">
                  <c:v>1.8295988316985501</c:v>
                </c:pt>
                <c:pt idx="3">
                  <c:v>1.8098321261223</c:v>
                </c:pt>
                <c:pt idx="4">
                  <c:v>1.5765952739262701</c:v>
                </c:pt>
                <c:pt idx="5">
                  <c:v>1.937973665004</c:v>
                </c:pt>
                <c:pt idx="6">
                  <c:v>1.1013150767125099</c:v>
                </c:pt>
                <c:pt idx="7">
                  <c:v>1.2407607926844499</c:v>
                </c:pt>
                <c:pt idx="8">
                  <c:v>1.31490735627382</c:v>
                </c:pt>
                <c:pt idx="9">
                  <c:v>2.4778447718002998</c:v>
                </c:pt>
                <c:pt idx="10">
                  <c:v>2.4409299467935699</c:v>
                </c:pt>
                <c:pt idx="11">
                  <c:v>2.5989309127901499</c:v>
                </c:pt>
                <c:pt idx="12">
                  <c:v>1.8330113334217899</c:v>
                </c:pt>
                <c:pt idx="13">
                  <c:v>2.9910167932548899</c:v>
                </c:pt>
                <c:pt idx="14">
                  <c:v>3.3213491354299598</c:v>
                </c:pt>
                <c:pt idx="15">
                  <c:v>0.88912236704478598</c:v>
                </c:pt>
                <c:pt idx="16">
                  <c:v>0.98013821840877402</c:v>
                </c:pt>
                <c:pt idx="17">
                  <c:v>1.7284593489995499</c:v>
                </c:pt>
                <c:pt idx="18">
                  <c:v>2.1877890912365401</c:v>
                </c:pt>
                <c:pt idx="19">
                  <c:v>2.3489967196040502</c:v>
                </c:pt>
                <c:pt idx="20">
                  <c:v>1.5497400381447901</c:v>
                </c:pt>
                <c:pt idx="21">
                  <c:v>2.1258703263437</c:v>
                </c:pt>
                <c:pt idx="22">
                  <c:v>2.1313577587944499</c:v>
                </c:pt>
                <c:pt idx="23">
                  <c:v>1.9676906812444901</c:v>
                </c:pt>
                <c:pt idx="24">
                  <c:v>2.0253875475960199</c:v>
                </c:pt>
                <c:pt idx="25">
                  <c:v>2.3671290859412601</c:v>
                </c:pt>
                <c:pt idx="26">
                  <c:v>1.4504023261183501</c:v>
                </c:pt>
                <c:pt idx="27">
                  <c:v>2.2598027764342601</c:v>
                </c:pt>
                <c:pt idx="28">
                  <c:v>1.59851486566097</c:v>
                </c:pt>
                <c:pt idx="29">
                  <c:v>2.55552356443421</c:v>
                </c:pt>
                <c:pt idx="30">
                  <c:v>1.85149215100826</c:v>
                </c:pt>
                <c:pt idx="31">
                  <c:v>1.5483916592735001</c:v>
                </c:pt>
                <c:pt idx="32">
                  <c:v>1.2887172577195301</c:v>
                </c:pt>
                <c:pt idx="33">
                  <c:v>1.4741006863143</c:v>
                </c:pt>
                <c:pt idx="34">
                  <c:v>1.5316793326307501</c:v>
                </c:pt>
                <c:pt idx="35">
                  <c:v>1.69585742843236</c:v>
                </c:pt>
                <c:pt idx="36">
                  <c:v>1.6351756414704299</c:v>
                </c:pt>
                <c:pt idx="37">
                  <c:v>1.0438711430988299</c:v>
                </c:pt>
                <c:pt idx="38">
                  <c:v>1.85191798758392</c:v>
                </c:pt>
                <c:pt idx="39">
                  <c:v>1.8799894100627901</c:v>
                </c:pt>
                <c:pt idx="40">
                  <c:v>1.89992938714507</c:v>
                </c:pt>
                <c:pt idx="41">
                  <c:v>1.71960829542697</c:v>
                </c:pt>
                <c:pt idx="42">
                  <c:v>1.62073107630084</c:v>
                </c:pt>
                <c:pt idx="43">
                  <c:v>0.66096161185073199</c:v>
                </c:pt>
                <c:pt idx="44">
                  <c:v>1.7942606074665901</c:v>
                </c:pt>
                <c:pt idx="45">
                  <c:v>0.89167868531547201</c:v>
                </c:pt>
                <c:pt idx="46">
                  <c:v>1.42731664701142</c:v>
                </c:pt>
                <c:pt idx="47">
                  <c:v>1.9455406737346801</c:v>
                </c:pt>
                <c:pt idx="48">
                  <c:v>1.8462932848254201</c:v>
                </c:pt>
                <c:pt idx="49">
                  <c:v>1.21479940372534</c:v>
                </c:pt>
                <c:pt idx="50">
                  <c:v>1.2322064847044101</c:v>
                </c:pt>
                <c:pt idx="51">
                  <c:v>1.27232916946705</c:v>
                </c:pt>
                <c:pt idx="52">
                  <c:v>1.3904704064026601</c:v>
                </c:pt>
                <c:pt idx="53">
                  <c:v>0.87749359281042205</c:v>
                </c:pt>
                <c:pt idx="54">
                  <c:v>1.7760432166264799</c:v>
                </c:pt>
                <c:pt idx="55">
                  <c:v>1.8710952735303099</c:v>
                </c:pt>
                <c:pt idx="56">
                  <c:v>1.5695348138459</c:v>
                </c:pt>
                <c:pt idx="57">
                  <c:v>1.5099863648726499</c:v>
                </c:pt>
                <c:pt idx="58">
                  <c:v>1.9882900761342299</c:v>
                </c:pt>
                <c:pt idx="59">
                  <c:v>1.49239768616683</c:v>
                </c:pt>
                <c:pt idx="60">
                  <c:v>1.4783583520111101</c:v>
                </c:pt>
                <c:pt idx="61">
                  <c:v>0.93478823895371199</c:v>
                </c:pt>
                <c:pt idx="62">
                  <c:v>1.51802754244816</c:v>
                </c:pt>
                <c:pt idx="63">
                  <c:v>1.7746619014298699</c:v>
                </c:pt>
                <c:pt idx="64">
                  <c:v>1.46886799012235</c:v>
                </c:pt>
                <c:pt idx="65">
                  <c:v>1.8204522666557199</c:v>
                </c:pt>
                <c:pt idx="66">
                  <c:v>1.6127256846783</c:v>
                </c:pt>
                <c:pt idx="67">
                  <c:v>1.6265674805786201</c:v>
                </c:pt>
                <c:pt idx="68">
                  <c:v>1.61678469514606</c:v>
                </c:pt>
                <c:pt idx="69">
                  <c:v>1.9707378354631699</c:v>
                </c:pt>
                <c:pt idx="70">
                  <c:v>0.57441444742660097</c:v>
                </c:pt>
                <c:pt idx="71">
                  <c:v>0.60044061392868497</c:v>
                </c:pt>
                <c:pt idx="72">
                  <c:v>1.95320642937668</c:v>
                </c:pt>
                <c:pt idx="73">
                  <c:v>1.82503567803899</c:v>
                </c:pt>
                <c:pt idx="74">
                  <c:v>1.8675509409741899</c:v>
                </c:pt>
                <c:pt idx="75">
                  <c:v>1.84007356844423</c:v>
                </c:pt>
                <c:pt idx="76">
                  <c:v>1.4056806077244399</c:v>
                </c:pt>
                <c:pt idx="77">
                  <c:v>1.8021369973853201</c:v>
                </c:pt>
                <c:pt idx="78">
                  <c:v>1.1815367105558801</c:v>
                </c:pt>
                <c:pt idx="79">
                  <c:v>0.46211780270078501</c:v>
                </c:pt>
                <c:pt idx="80">
                  <c:v>0.70713904377574099</c:v>
                </c:pt>
                <c:pt idx="81">
                  <c:v>1.57323760131637</c:v>
                </c:pt>
                <c:pt idx="82">
                  <c:v>0.63118152890078405</c:v>
                </c:pt>
                <c:pt idx="83">
                  <c:v>1.25254430773976</c:v>
                </c:pt>
                <c:pt idx="84">
                  <c:v>0.98291645654771198</c:v>
                </c:pt>
                <c:pt idx="85">
                  <c:v>1.46862941679088</c:v>
                </c:pt>
                <c:pt idx="86">
                  <c:v>0.76040924715953295</c:v>
                </c:pt>
                <c:pt idx="87">
                  <c:v>1.9075655650002401</c:v>
                </c:pt>
                <c:pt idx="88">
                  <c:v>1.1815367105558801</c:v>
                </c:pt>
                <c:pt idx="89">
                  <c:v>1.4566396596545601</c:v>
                </c:pt>
                <c:pt idx="90">
                  <c:v>1.68769150242235</c:v>
                </c:pt>
                <c:pt idx="91">
                  <c:v>1.2879122405029999</c:v>
                </c:pt>
                <c:pt idx="92">
                  <c:v>1.3743766454284401</c:v>
                </c:pt>
                <c:pt idx="93">
                  <c:v>1.4129872701983499</c:v>
                </c:pt>
                <c:pt idx="94">
                  <c:v>1.28907727883693</c:v>
                </c:pt>
                <c:pt idx="95">
                  <c:v>0.84376114282962</c:v>
                </c:pt>
                <c:pt idx="96">
                  <c:v>1.41149509998561</c:v>
                </c:pt>
                <c:pt idx="97">
                  <c:v>1.86806940568613</c:v>
                </c:pt>
                <c:pt idx="98">
                  <c:v>1.6294333121834199</c:v>
                </c:pt>
                <c:pt idx="99">
                  <c:v>1.822566861524</c:v>
                </c:pt>
                <c:pt idx="100">
                  <c:v>1.5389627386196301</c:v>
                </c:pt>
                <c:pt idx="101">
                  <c:v>1.1866416341374599</c:v>
                </c:pt>
                <c:pt idx="102">
                  <c:v>0.55012890556664895</c:v>
                </c:pt>
                <c:pt idx="103">
                  <c:v>0.96498231304490101</c:v>
                </c:pt>
                <c:pt idx="104">
                  <c:v>1.7534289827527101</c:v>
                </c:pt>
                <c:pt idx="105">
                  <c:v>0.42680204554072099</c:v>
                </c:pt>
                <c:pt idx="106">
                  <c:v>1.68246712606662</c:v>
                </c:pt>
                <c:pt idx="107">
                  <c:v>1.9188972283826999</c:v>
                </c:pt>
                <c:pt idx="108">
                  <c:v>0.68044964758846005</c:v>
                </c:pt>
                <c:pt idx="109">
                  <c:v>1.3397405379123</c:v>
                </c:pt>
                <c:pt idx="110">
                  <c:v>1.4333026858261699</c:v>
                </c:pt>
                <c:pt idx="111">
                  <c:v>1.7214092181421701</c:v>
                </c:pt>
                <c:pt idx="112">
                  <c:v>2.0043024362899802</c:v>
                </c:pt>
                <c:pt idx="113">
                  <c:v>1.8591428426773899</c:v>
                </c:pt>
                <c:pt idx="114">
                  <c:v>1.78569034527522</c:v>
                </c:pt>
                <c:pt idx="115">
                  <c:v>1.7116773188313701</c:v>
                </c:pt>
                <c:pt idx="116">
                  <c:v>2.0095161507256698</c:v>
                </c:pt>
                <c:pt idx="117">
                  <c:v>0.39672041238719802</c:v>
                </c:pt>
                <c:pt idx="118">
                  <c:v>1.1767785884436399</c:v>
                </c:pt>
                <c:pt idx="119">
                  <c:v>1.19310341113061</c:v>
                </c:pt>
                <c:pt idx="120">
                  <c:v>0.70724627347149105</c:v>
                </c:pt>
                <c:pt idx="121">
                  <c:v>1.0313518187597499</c:v>
                </c:pt>
                <c:pt idx="122">
                  <c:v>0.54914215980867997</c:v>
                </c:pt>
                <c:pt idx="123">
                  <c:v>0.40782898703128001</c:v>
                </c:pt>
                <c:pt idx="124">
                  <c:v>0.27246153511329302</c:v>
                </c:pt>
                <c:pt idx="125">
                  <c:v>0.53632225286099799</c:v>
                </c:pt>
                <c:pt idx="126">
                  <c:v>0.90336224039305002</c:v>
                </c:pt>
                <c:pt idx="127">
                  <c:v>0.93636683054140701</c:v>
                </c:pt>
                <c:pt idx="128">
                  <c:v>1.8353699053413099</c:v>
                </c:pt>
                <c:pt idx="129">
                  <c:v>1.86987581311268</c:v>
                </c:pt>
                <c:pt idx="130">
                  <c:v>1.84123367325034</c:v>
                </c:pt>
                <c:pt idx="131">
                  <c:v>1.6367220196530701</c:v>
                </c:pt>
                <c:pt idx="132">
                  <c:v>1.93925871048708</c:v>
                </c:pt>
                <c:pt idx="133">
                  <c:v>1.6573863861551199</c:v>
                </c:pt>
                <c:pt idx="134">
                  <c:v>1.31019262204807</c:v>
                </c:pt>
                <c:pt idx="135">
                  <c:v>1.62677561530321</c:v>
                </c:pt>
                <c:pt idx="136">
                  <c:v>1.0530936502117401</c:v>
                </c:pt>
                <c:pt idx="137">
                  <c:v>1.6073960284825699</c:v>
                </c:pt>
                <c:pt idx="138">
                  <c:v>1.60552772538996</c:v>
                </c:pt>
                <c:pt idx="139">
                  <c:v>1.1997557325336199</c:v>
                </c:pt>
                <c:pt idx="140">
                  <c:v>0.25339186803203301</c:v>
                </c:pt>
                <c:pt idx="141">
                  <c:v>1.90678349722944</c:v>
                </c:pt>
                <c:pt idx="142">
                  <c:v>1.1806171931034699</c:v>
                </c:pt>
                <c:pt idx="143">
                  <c:v>1.4453339273238099</c:v>
                </c:pt>
                <c:pt idx="144">
                  <c:v>0.51735167385525804</c:v>
                </c:pt>
                <c:pt idx="145">
                  <c:v>0.32078652874649699</c:v>
                </c:pt>
                <c:pt idx="146">
                  <c:v>1.05276597088233</c:v>
                </c:pt>
                <c:pt idx="147">
                  <c:v>0.46368127661944197</c:v>
                </c:pt>
                <c:pt idx="148">
                  <c:v>1.48949693919827</c:v>
                </c:pt>
                <c:pt idx="149">
                  <c:v>0.60608764169154905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E-4DF3-AA54-581CB749A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K2O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'Results- Training'!$Q$14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Training'!$Q$15:$Q$125</c:f>
              <c:numCache>
                <c:formatCode>General</c:formatCode>
                <c:ptCount val="111"/>
                <c:pt idx="0">
                  <c:v>4.76</c:v>
                </c:pt>
                <c:pt idx="1">
                  <c:v>5.17</c:v>
                </c:pt>
                <c:pt idx="2">
                  <c:v>5.35</c:v>
                </c:pt>
                <c:pt idx="3">
                  <c:v>5.28</c:v>
                </c:pt>
                <c:pt idx="4">
                  <c:v>4.6100000000000003</c:v>
                </c:pt>
                <c:pt idx="5">
                  <c:v>4.34</c:v>
                </c:pt>
                <c:pt idx="6">
                  <c:v>4.2699999999999996</c:v>
                </c:pt>
                <c:pt idx="7">
                  <c:v>3.93</c:v>
                </c:pt>
                <c:pt idx="8">
                  <c:v>2.13</c:v>
                </c:pt>
                <c:pt idx="9">
                  <c:v>5.4</c:v>
                </c:pt>
                <c:pt idx="10">
                  <c:v>2.81</c:v>
                </c:pt>
                <c:pt idx="11">
                  <c:v>5.08</c:v>
                </c:pt>
                <c:pt idx="12">
                  <c:v>3.08</c:v>
                </c:pt>
                <c:pt idx="13">
                  <c:v>4.16</c:v>
                </c:pt>
                <c:pt idx="14">
                  <c:v>3.83</c:v>
                </c:pt>
                <c:pt idx="15">
                  <c:v>3.98</c:v>
                </c:pt>
                <c:pt idx="16">
                  <c:v>3.68</c:v>
                </c:pt>
                <c:pt idx="17">
                  <c:v>4.88</c:v>
                </c:pt>
                <c:pt idx="18">
                  <c:v>2.23</c:v>
                </c:pt>
                <c:pt idx="19">
                  <c:v>5.26</c:v>
                </c:pt>
                <c:pt idx="20">
                  <c:v>4.03</c:v>
                </c:pt>
                <c:pt idx="21">
                  <c:v>4.6100000000000003</c:v>
                </c:pt>
                <c:pt idx="22">
                  <c:v>4.22</c:v>
                </c:pt>
                <c:pt idx="23">
                  <c:v>4.8499999999999996</c:v>
                </c:pt>
                <c:pt idx="24">
                  <c:v>3.87</c:v>
                </c:pt>
                <c:pt idx="25">
                  <c:v>3.85</c:v>
                </c:pt>
                <c:pt idx="26">
                  <c:v>4.32</c:v>
                </c:pt>
                <c:pt idx="27">
                  <c:v>3.56</c:v>
                </c:pt>
                <c:pt idx="28">
                  <c:v>3.66</c:v>
                </c:pt>
                <c:pt idx="29">
                  <c:v>4.9800000000000004</c:v>
                </c:pt>
                <c:pt idx="30">
                  <c:v>4.43</c:v>
                </c:pt>
                <c:pt idx="31">
                  <c:v>3.77</c:v>
                </c:pt>
                <c:pt idx="32">
                  <c:v>3.97</c:v>
                </c:pt>
                <c:pt idx="33">
                  <c:v>5.0599999999999996</c:v>
                </c:pt>
                <c:pt idx="34">
                  <c:v>3.95</c:v>
                </c:pt>
                <c:pt idx="35">
                  <c:v>6.3</c:v>
                </c:pt>
                <c:pt idx="36">
                  <c:v>2.1800000000000002</c:v>
                </c:pt>
                <c:pt idx="37">
                  <c:v>5.9</c:v>
                </c:pt>
                <c:pt idx="38">
                  <c:v>4.96</c:v>
                </c:pt>
                <c:pt idx="39">
                  <c:v>5.35</c:v>
                </c:pt>
                <c:pt idx="40">
                  <c:v>3.51</c:v>
                </c:pt>
                <c:pt idx="41">
                  <c:v>4.83</c:v>
                </c:pt>
                <c:pt idx="42">
                  <c:v>1.17</c:v>
                </c:pt>
                <c:pt idx="43">
                  <c:v>1.93</c:v>
                </c:pt>
                <c:pt idx="44">
                  <c:v>3.37</c:v>
                </c:pt>
                <c:pt idx="45">
                  <c:v>3.86</c:v>
                </c:pt>
                <c:pt idx="46">
                  <c:v>2.37</c:v>
                </c:pt>
                <c:pt idx="47">
                  <c:v>4.1399999999999997</c:v>
                </c:pt>
                <c:pt idx="48">
                  <c:v>3.74</c:v>
                </c:pt>
                <c:pt idx="49">
                  <c:v>4.2</c:v>
                </c:pt>
                <c:pt idx="50">
                  <c:v>3.9</c:v>
                </c:pt>
                <c:pt idx="51">
                  <c:v>4.83</c:v>
                </c:pt>
                <c:pt idx="52">
                  <c:v>4.84</c:v>
                </c:pt>
                <c:pt idx="53">
                  <c:v>5.04</c:v>
                </c:pt>
                <c:pt idx="54">
                  <c:v>2.73</c:v>
                </c:pt>
                <c:pt idx="55">
                  <c:v>3.69</c:v>
                </c:pt>
                <c:pt idx="56">
                  <c:v>2.91</c:v>
                </c:pt>
                <c:pt idx="57">
                  <c:v>1.02</c:v>
                </c:pt>
                <c:pt idx="58">
                  <c:v>4.4400000000000004</c:v>
                </c:pt>
                <c:pt idx="59">
                  <c:v>4.2699999999999996</c:v>
                </c:pt>
                <c:pt idx="60">
                  <c:v>5.07</c:v>
                </c:pt>
                <c:pt idx="61">
                  <c:v>2.48</c:v>
                </c:pt>
                <c:pt idx="62">
                  <c:v>4.01</c:v>
                </c:pt>
                <c:pt idx="63">
                  <c:v>3.78</c:v>
                </c:pt>
                <c:pt idx="64">
                  <c:v>1.36</c:v>
                </c:pt>
                <c:pt idx="65">
                  <c:v>3.56</c:v>
                </c:pt>
                <c:pt idx="66">
                  <c:v>6.58</c:v>
                </c:pt>
                <c:pt idx="67">
                  <c:v>4.26</c:v>
                </c:pt>
                <c:pt idx="68">
                  <c:v>5.0999999999999996</c:v>
                </c:pt>
                <c:pt idx="69">
                  <c:v>3.82</c:v>
                </c:pt>
                <c:pt idx="70">
                  <c:v>3.4</c:v>
                </c:pt>
                <c:pt idx="71">
                  <c:v>4.41</c:v>
                </c:pt>
                <c:pt idx="72">
                  <c:v>4.54</c:v>
                </c:pt>
                <c:pt idx="73">
                  <c:v>4.54</c:v>
                </c:pt>
                <c:pt idx="74">
                  <c:v>3.55</c:v>
                </c:pt>
                <c:pt idx="75">
                  <c:v>3.64</c:v>
                </c:pt>
                <c:pt idx="76">
                  <c:v>5.0199999999999996</c:v>
                </c:pt>
                <c:pt idx="77">
                  <c:v>4.3099999999999996</c:v>
                </c:pt>
                <c:pt idx="78">
                  <c:v>3.74</c:v>
                </c:pt>
                <c:pt idx="79">
                  <c:v>6.9</c:v>
                </c:pt>
                <c:pt idx="80">
                  <c:v>3.6</c:v>
                </c:pt>
                <c:pt idx="81">
                  <c:v>5.5</c:v>
                </c:pt>
                <c:pt idx="82">
                  <c:v>5.1749999999999998</c:v>
                </c:pt>
                <c:pt idx="83">
                  <c:v>2.2000000000000002</c:v>
                </c:pt>
                <c:pt idx="84">
                  <c:v>4.125</c:v>
                </c:pt>
                <c:pt idx="85">
                  <c:v>2.75</c:v>
                </c:pt>
                <c:pt idx="86">
                  <c:v>2.75</c:v>
                </c:pt>
                <c:pt idx="87">
                  <c:v>2.7</c:v>
                </c:pt>
                <c:pt idx="88">
                  <c:v>3.3</c:v>
                </c:pt>
                <c:pt idx="89">
                  <c:v>2.1</c:v>
                </c:pt>
                <c:pt idx="90">
                  <c:v>2.1</c:v>
                </c:pt>
                <c:pt idx="91">
                  <c:v>3.48</c:v>
                </c:pt>
                <c:pt idx="92">
                  <c:v>4.29</c:v>
                </c:pt>
                <c:pt idx="93">
                  <c:v>4.55</c:v>
                </c:pt>
                <c:pt idx="94">
                  <c:v>5.81</c:v>
                </c:pt>
                <c:pt idx="95">
                  <c:v>5.04</c:v>
                </c:pt>
                <c:pt idx="96">
                  <c:v>3.8</c:v>
                </c:pt>
                <c:pt idx="97">
                  <c:v>4.21</c:v>
                </c:pt>
                <c:pt idx="98">
                  <c:v>4.5599999999999996</c:v>
                </c:pt>
                <c:pt idx="99">
                  <c:v>4.3899999999999997</c:v>
                </c:pt>
                <c:pt idx="100">
                  <c:v>4.16</c:v>
                </c:pt>
                <c:pt idx="101">
                  <c:v>1.97</c:v>
                </c:pt>
                <c:pt idx="102">
                  <c:v>4.57</c:v>
                </c:pt>
                <c:pt idx="103">
                  <c:v>4.25</c:v>
                </c:pt>
                <c:pt idx="104">
                  <c:v>4.1100000000000003</c:v>
                </c:pt>
                <c:pt idx="105">
                  <c:v>1.07</c:v>
                </c:pt>
                <c:pt idx="106">
                  <c:v>2.41</c:v>
                </c:pt>
                <c:pt idx="107">
                  <c:v>4.0599999999999996</c:v>
                </c:pt>
                <c:pt idx="108">
                  <c:v>2.3199999999999998</c:v>
                </c:pt>
                <c:pt idx="109">
                  <c:v>3.47</c:v>
                </c:pt>
                <c:pt idx="110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8-4BBA-B0D6-0B11EBDABB8D}"/>
            </c:ext>
          </c:extLst>
        </c:ser>
        <c:ser>
          <c:idx val="1"/>
          <c:order val="1"/>
          <c:tx>
            <c:strRef>
              <c:f>'Results- Training'!$R$14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Training'!$R$15:$R$125</c:f>
              <c:numCache>
                <c:formatCode>General</c:formatCode>
                <c:ptCount val="111"/>
                <c:pt idx="0">
                  <c:v>4.7530080314664902</c:v>
                </c:pt>
                <c:pt idx="1">
                  <c:v>5.1432770479497298</c:v>
                </c:pt>
                <c:pt idx="2">
                  <c:v>5.1924045508662804</c:v>
                </c:pt>
                <c:pt idx="3">
                  <c:v>4.97038154270835</c:v>
                </c:pt>
                <c:pt idx="4">
                  <c:v>4.2757341932986801</c:v>
                </c:pt>
                <c:pt idx="5">
                  <c:v>4.7126863034057198</c:v>
                </c:pt>
                <c:pt idx="6">
                  <c:v>4.3835873936962804</c:v>
                </c:pt>
                <c:pt idx="7">
                  <c:v>4.1928704283407701</c:v>
                </c:pt>
                <c:pt idx="8">
                  <c:v>2.6099797317075</c:v>
                </c:pt>
                <c:pt idx="9">
                  <c:v>5.4374962687599</c:v>
                </c:pt>
                <c:pt idx="10">
                  <c:v>2.5599222024134698</c:v>
                </c:pt>
                <c:pt idx="11">
                  <c:v>4.4446044316545201</c:v>
                </c:pt>
                <c:pt idx="12">
                  <c:v>3.4941036373527101</c:v>
                </c:pt>
                <c:pt idx="13">
                  <c:v>3.9238705075485001</c:v>
                </c:pt>
                <c:pt idx="14">
                  <c:v>4.1041406935934104</c:v>
                </c:pt>
                <c:pt idx="15">
                  <c:v>4.22384199591992</c:v>
                </c:pt>
                <c:pt idx="16">
                  <c:v>3.3638467045529001</c:v>
                </c:pt>
                <c:pt idx="17">
                  <c:v>4.5748673509238804</c:v>
                </c:pt>
                <c:pt idx="18">
                  <c:v>3.06702645826388</c:v>
                </c:pt>
                <c:pt idx="19">
                  <c:v>4.95082709872813</c:v>
                </c:pt>
                <c:pt idx="20">
                  <c:v>4.4754631322733598</c:v>
                </c:pt>
                <c:pt idx="21">
                  <c:v>4.3513001223876797</c:v>
                </c:pt>
                <c:pt idx="22">
                  <c:v>4.3188379300050999</c:v>
                </c:pt>
                <c:pt idx="23">
                  <c:v>4.8651666620584999</c:v>
                </c:pt>
                <c:pt idx="24">
                  <c:v>4.2400611818677296</c:v>
                </c:pt>
                <c:pt idx="25">
                  <c:v>4.3551112655042896</c:v>
                </c:pt>
                <c:pt idx="26">
                  <c:v>4.2617226368838201</c:v>
                </c:pt>
                <c:pt idx="27">
                  <c:v>3.5826750318489902</c:v>
                </c:pt>
                <c:pt idx="28">
                  <c:v>3.7923436784512301</c:v>
                </c:pt>
                <c:pt idx="29">
                  <c:v>4.9557001744908202</c:v>
                </c:pt>
                <c:pt idx="30">
                  <c:v>4.6536365802349202</c:v>
                </c:pt>
                <c:pt idx="31">
                  <c:v>4.3176137528440197</c:v>
                </c:pt>
                <c:pt idx="32">
                  <c:v>4.0725022368955202</c:v>
                </c:pt>
                <c:pt idx="33">
                  <c:v>4.41691937631371</c:v>
                </c:pt>
                <c:pt idx="34">
                  <c:v>3.9989177492564001</c:v>
                </c:pt>
                <c:pt idx="35">
                  <c:v>5.8857923760714597</c:v>
                </c:pt>
                <c:pt idx="36">
                  <c:v>2.1210163197414502</c:v>
                </c:pt>
                <c:pt idx="37">
                  <c:v>5.0600370306690996</c:v>
                </c:pt>
                <c:pt idx="38">
                  <c:v>4.7332554612306401</c:v>
                </c:pt>
                <c:pt idx="39">
                  <c:v>5.2901730928762998</c:v>
                </c:pt>
                <c:pt idx="40">
                  <c:v>4.0775493014017803</c:v>
                </c:pt>
                <c:pt idx="41">
                  <c:v>4.2362753529017096</c:v>
                </c:pt>
                <c:pt idx="42">
                  <c:v>1.4306925823321599</c:v>
                </c:pt>
                <c:pt idx="43">
                  <c:v>2.19880294144017</c:v>
                </c:pt>
                <c:pt idx="44">
                  <c:v>2.8446377019470201</c:v>
                </c:pt>
                <c:pt idx="45">
                  <c:v>4.1403445182062404</c:v>
                </c:pt>
                <c:pt idx="46">
                  <c:v>2.9021925125176802</c:v>
                </c:pt>
                <c:pt idx="47">
                  <c:v>4.3236574090776996</c:v>
                </c:pt>
                <c:pt idx="48">
                  <c:v>4.2275344895119797</c:v>
                </c:pt>
                <c:pt idx="49">
                  <c:v>4.26936329404929</c:v>
                </c:pt>
                <c:pt idx="50">
                  <c:v>4.1609022617833604</c:v>
                </c:pt>
                <c:pt idx="51">
                  <c:v>4.2362753529017096</c:v>
                </c:pt>
                <c:pt idx="52">
                  <c:v>4.2472491705306901</c:v>
                </c:pt>
                <c:pt idx="53">
                  <c:v>4.9425606753151996</c:v>
                </c:pt>
                <c:pt idx="54">
                  <c:v>2.89284037370384</c:v>
                </c:pt>
                <c:pt idx="55">
                  <c:v>3.2058345063569802</c:v>
                </c:pt>
                <c:pt idx="56">
                  <c:v>2.9191381641940599</c:v>
                </c:pt>
                <c:pt idx="57">
                  <c:v>1.0442348269816499</c:v>
                </c:pt>
                <c:pt idx="58">
                  <c:v>4.16903283250576</c:v>
                </c:pt>
                <c:pt idx="59">
                  <c:v>4.26410340924033</c:v>
                </c:pt>
                <c:pt idx="60">
                  <c:v>5.4867736565065499</c:v>
                </c:pt>
                <c:pt idx="61">
                  <c:v>3.41164488804091</c:v>
                </c:pt>
                <c:pt idx="62">
                  <c:v>3.9170821443973001</c:v>
                </c:pt>
                <c:pt idx="63">
                  <c:v>3.51055913868991</c:v>
                </c:pt>
                <c:pt idx="64">
                  <c:v>1.36453221904836</c:v>
                </c:pt>
                <c:pt idx="65">
                  <c:v>3.8149560231347901</c:v>
                </c:pt>
                <c:pt idx="66">
                  <c:v>5.8125221438935499</c:v>
                </c:pt>
                <c:pt idx="67">
                  <c:v>4.2055264054824599</c:v>
                </c:pt>
                <c:pt idx="68">
                  <c:v>5.3826162145677898</c:v>
                </c:pt>
                <c:pt idx="69">
                  <c:v>3.6793352959875798</c:v>
                </c:pt>
                <c:pt idx="70">
                  <c:v>3.7459056670559798</c:v>
                </c:pt>
                <c:pt idx="71">
                  <c:v>4.3207106599658998</c:v>
                </c:pt>
                <c:pt idx="72">
                  <c:v>4.2313521398241498</c:v>
                </c:pt>
                <c:pt idx="73">
                  <c:v>4.4375991846371798</c:v>
                </c:pt>
                <c:pt idx="74">
                  <c:v>3.9565582091601299</c:v>
                </c:pt>
                <c:pt idx="75">
                  <c:v>3.6431154934559502</c:v>
                </c:pt>
                <c:pt idx="76">
                  <c:v>4.9831547207630598</c:v>
                </c:pt>
                <c:pt idx="77">
                  <c:v>4.3768462499443404</c:v>
                </c:pt>
                <c:pt idx="78">
                  <c:v>3.6216899619462599</c:v>
                </c:pt>
                <c:pt idx="79">
                  <c:v>6.2305501192069004</c:v>
                </c:pt>
                <c:pt idx="80">
                  <c:v>3.96601170392004</c:v>
                </c:pt>
                <c:pt idx="81">
                  <c:v>5.1328656383174103</c:v>
                </c:pt>
                <c:pt idx="82">
                  <c:v>4.7197080005388097</c:v>
                </c:pt>
                <c:pt idx="83">
                  <c:v>2.6071395460828999</c:v>
                </c:pt>
                <c:pt idx="84">
                  <c:v>4.0897916894253203</c:v>
                </c:pt>
                <c:pt idx="85">
                  <c:v>2.8432720718570201</c:v>
                </c:pt>
                <c:pt idx="86">
                  <c:v>2.9714599619865001</c:v>
                </c:pt>
                <c:pt idx="87">
                  <c:v>3.01082579579501</c:v>
                </c:pt>
                <c:pt idx="88">
                  <c:v>3.5446518580806399</c:v>
                </c:pt>
                <c:pt idx="89">
                  <c:v>2.1489046208085698</c:v>
                </c:pt>
                <c:pt idx="90">
                  <c:v>2.3608457103573199</c:v>
                </c:pt>
                <c:pt idx="91">
                  <c:v>3.7838477595736499</c:v>
                </c:pt>
                <c:pt idx="92">
                  <c:v>4.2463999009258897</c:v>
                </c:pt>
                <c:pt idx="93">
                  <c:v>4.9452293351823098</c:v>
                </c:pt>
                <c:pt idx="94">
                  <c:v>4.8876557768617497</c:v>
                </c:pt>
                <c:pt idx="95">
                  <c:v>4.6396046068757997</c:v>
                </c:pt>
                <c:pt idx="96">
                  <c:v>4.7436569111688698</c:v>
                </c:pt>
                <c:pt idx="97">
                  <c:v>3.4955038296759602</c:v>
                </c:pt>
                <c:pt idx="98">
                  <c:v>4.4061130338997403</c:v>
                </c:pt>
                <c:pt idx="99">
                  <c:v>4.1714882400373501</c:v>
                </c:pt>
                <c:pt idx="100">
                  <c:v>3.8821307678394601</c:v>
                </c:pt>
                <c:pt idx="101">
                  <c:v>1.9561540480544899</c:v>
                </c:pt>
                <c:pt idx="102">
                  <c:v>4.8666857532157799</c:v>
                </c:pt>
                <c:pt idx="103">
                  <c:v>4.2393375267070503</c:v>
                </c:pt>
                <c:pt idx="104">
                  <c:v>3.84725915739689</c:v>
                </c:pt>
                <c:pt idx="105">
                  <c:v>1.59640382968229</c:v>
                </c:pt>
                <c:pt idx="106">
                  <c:v>2.4199606220602798</c:v>
                </c:pt>
                <c:pt idx="107">
                  <c:v>3.7312172629303002</c:v>
                </c:pt>
                <c:pt idx="108">
                  <c:v>1.90357022016946</c:v>
                </c:pt>
                <c:pt idx="109">
                  <c:v>3.5719542103669499</c:v>
                </c:pt>
                <c:pt idx="110">
                  <c:v>3.2273760325417999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8-4BBA-B0D6-0B11EBDAB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'Results- Training'!$V$14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Training'!$V$15:$V$162</c:f>
              <c:numCache>
                <c:formatCode>General</c:formatCode>
                <c:ptCount val="148"/>
                <c:pt idx="0">
                  <c:v>1.64</c:v>
                </c:pt>
                <c:pt idx="1">
                  <c:v>1.5</c:v>
                </c:pt>
                <c:pt idx="2">
                  <c:v>1.78</c:v>
                </c:pt>
                <c:pt idx="3">
                  <c:v>1.35</c:v>
                </c:pt>
                <c:pt idx="4">
                  <c:v>1.37</c:v>
                </c:pt>
                <c:pt idx="5">
                  <c:v>1.8</c:v>
                </c:pt>
                <c:pt idx="6">
                  <c:v>2.75</c:v>
                </c:pt>
                <c:pt idx="7">
                  <c:v>2.6</c:v>
                </c:pt>
                <c:pt idx="8">
                  <c:v>1.96</c:v>
                </c:pt>
                <c:pt idx="9">
                  <c:v>1.38</c:v>
                </c:pt>
                <c:pt idx="10">
                  <c:v>2.06</c:v>
                </c:pt>
                <c:pt idx="11">
                  <c:v>2.44</c:v>
                </c:pt>
                <c:pt idx="12">
                  <c:v>1.25</c:v>
                </c:pt>
                <c:pt idx="13">
                  <c:v>1.64</c:v>
                </c:pt>
                <c:pt idx="14">
                  <c:v>1.64</c:v>
                </c:pt>
                <c:pt idx="15">
                  <c:v>1.84</c:v>
                </c:pt>
                <c:pt idx="16">
                  <c:v>1.68</c:v>
                </c:pt>
                <c:pt idx="17">
                  <c:v>1.66</c:v>
                </c:pt>
                <c:pt idx="18">
                  <c:v>1.73</c:v>
                </c:pt>
                <c:pt idx="19">
                  <c:v>2.23</c:v>
                </c:pt>
                <c:pt idx="20">
                  <c:v>1.33</c:v>
                </c:pt>
                <c:pt idx="21">
                  <c:v>1.63</c:v>
                </c:pt>
                <c:pt idx="22">
                  <c:v>1.93</c:v>
                </c:pt>
                <c:pt idx="23">
                  <c:v>2.33</c:v>
                </c:pt>
                <c:pt idx="24">
                  <c:v>1.59</c:v>
                </c:pt>
                <c:pt idx="25">
                  <c:v>2.25</c:v>
                </c:pt>
                <c:pt idx="26">
                  <c:v>1.54</c:v>
                </c:pt>
                <c:pt idx="27">
                  <c:v>1.42</c:v>
                </c:pt>
                <c:pt idx="28">
                  <c:v>1.6</c:v>
                </c:pt>
                <c:pt idx="29">
                  <c:v>1.37</c:v>
                </c:pt>
                <c:pt idx="30">
                  <c:v>1.18</c:v>
                </c:pt>
                <c:pt idx="31">
                  <c:v>1.21</c:v>
                </c:pt>
                <c:pt idx="32">
                  <c:v>1.34</c:v>
                </c:pt>
                <c:pt idx="33">
                  <c:v>2.2000000000000002</c:v>
                </c:pt>
                <c:pt idx="34">
                  <c:v>2.13</c:v>
                </c:pt>
                <c:pt idx="35">
                  <c:v>2.17</c:v>
                </c:pt>
                <c:pt idx="36">
                  <c:v>1.99</c:v>
                </c:pt>
                <c:pt idx="37">
                  <c:v>2.0099999999999998</c:v>
                </c:pt>
                <c:pt idx="38">
                  <c:v>0.83</c:v>
                </c:pt>
                <c:pt idx="39">
                  <c:v>1.69</c:v>
                </c:pt>
                <c:pt idx="40">
                  <c:v>0.89</c:v>
                </c:pt>
                <c:pt idx="41">
                  <c:v>1.59</c:v>
                </c:pt>
                <c:pt idx="42">
                  <c:v>1.72</c:v>
                </c:pt>
                <c:pt idx="43">
                  <c:v>2.04</c:v>
                </c:pt>
                <c:pt idx="44">
                  <c:v>1.41</c:v>
                </c:pt>
                <c:pt idx="45">
                  <c:v>1.07</c:v>
                </c:pt>
                <c:pt idx="46">
                  <c:v>1.6</c:v>
                </c:pt>
                <c:pt idx="47">
                  <c:v>2.25</c:v>
                </c:pt>
                <c:pt idx="48">
                  <c:v>1.45</c:v>
                </c:pt>
                <c:pt idx="49">
                  <c:v>1.44</c:v>
                </c:pt>
                <c:pt idx="50">
                  <c:v>1.04</c:v>
                </c:pt>
                <c:pt idx="51">
                  <c:v>0.97</c:v>
                </c:pt>
                <c:pt idx="52">
                  <c:v>1.22</c:v>
                </c:pt>
                <c:pt idx="53">
                  <c:v>1.18</c:v>
                </c:pt>
                <c:pt idx="54">
                  <c:v>1.71</c:v>
                </c:pt>
                <c:pt idx="55">
                  <c:v>1.84</c:v>
                </c:pt>
                <c:pt idx="56">
                  <c:v>1.94</c:v>
                </c:pt>
                <c:pt idx="57">
                  <c:v>1.59</c:v>
                </c:pt>
                <c:pt idx="58">
                  <c:v>1.84</c:v>
                </c:pt>
                <c:pt idx="59">
                  <c:v>1.84</c:v>
                </c:pt>
                <c:pt idx="60">
                  <c:v>1.26</c:v>
                </c:pt>
                <c:pt idx="61">
                  <c:v>1.38</c:v>
                </c:pt>
                <c:pt idx="62">
                  <c:v>1.37</c:v>
                </c:pt>
                <c:pt idx="63">
                  <c:v>2.31</c:v>
                </c:pt>
                <c:pt idx="64">
                  <c:v>1.04</c:v>
                </c:pt>
                <c:pt idx="65">
                  <c:v>1</c:v>
                </c:pt>
                <c:pt idx="66">
                  <c:v>1.8</c:v>
                </c:pt>
                <c:pt idx="67">
                  <c:v>2</c:v>
                </c:pt>
                <c:pt idx="68">
                  <c:v>2.1</c:v>
                </c:pt>
                <c:pt idx="69">
                  <c:v>1.69</c:v>
                </c:pt>
                <c:pt idx="70">
                  <c:v>2.5099999999999998</c:v>
                </c:pt>
                <c:pt idx="71">
                  <c:v>0.72</c:v>
                </c:pt>
                <c:pt idx="72">
                  <c:v>0.41</c:v>
                </c:pt>
                <c:pt idx="73">
                  <c:v>1.51</c:v>
                </c:pt>
                <c:pt idx="74">
                  <c:v>2.0099999999999998</c:v>
                </c:pt>
                <c:pt idx="75">
                  <c:v>1.95</c:v>
                </c:pt>
                <c:pt idx="76">
                  <c:v>1.8</c:v>
                </c:pt>
                <c:pt idx="77">
                  <c:v>1.21</c:v>
                </c:pt>
                <c:pt idx="78">
                  <c:v>1.43</c:v>
                </c:pt>
                <c:pt idx="79">
                  <c:v>1.32</c:v>
                </c:pt>
                <c:pt idx="80">
                  <c:v>0.56999999999999995</c:v>
                </c:pt>
                <c:pt idx="81">
                  <c:v>1.04</c:v>
                </c:pt>
                <c:pt idx="82">
                  <c:v>1.37</c:v>
                </c:pt>
                <c:pt idx="83">
                  <c:v>1.4</c:v>
                </c:pt>
                <c:pt idx="84">
                  <c:v>0.88</c:v>
                </c:pt>
                <c:pt idx="85">
                  <c:v>1.59</c:v>
                </c:pt>
                <c:pt idx="86">
                  <c:v>1.44</c:v>
                </c:pt>
                <c:pt idx="87">
                  <c:v>1.18</c:v>
                </c:pt>
                <c:pt idx="88">
                  <c:v>1.47</c:v>
                </c:pt>
                <c:pt idx="89">
                  <c:v>1.32</c:v>
                </c:pt>
                <c:pt idx="90">
                  <c:v>1.52</c:v>
                </c:pt>
                <c:pt idx="91">
                  <c:v>1.69</c:v>
                </c:pt>
                <c:pt idx="92">
                  <c:v>1.51</c:v>
                </c:pt>
                <c:pt idx="93">
                  <c:v>1.81</c:v>
                </c:pt>
                <c:pt idx="94">
                  <c:v>1.59</c:v>
                </c:pt>
                <c:pt idx="95">
                  <c:v>1.45</c:v>
                </c:pt>
                <c:pt idx="96">
                  <c:v>2.2999999999999998</c:v>
                </c:pt>
                <c:pt idx="97">
                  <c:v>1.7</c:v>
                </c:pt>
                <c:pt idx="98">
                  <c:v>2.15</c:v>
                </c:pt>
                <c:pt idx="99">
                  <c:v>2.0499999999999998</c:v>
                </c:pt>
                <c:pt idx="100">
                  <c:v>1.87</c:v>
                </c:pt>
                <c:pt idx="101">
                  <c:v>1.7</c:v>
                </c:pt>
                <c:pt idx="102">
                  <c:v>0.71</c:v>
                </c:pt>
                <c:pt idx="103">
                  <c:v>1.65</c:v>
                </c:pt>
                <c:pt idx="104">
                  <c:v>2.23</c:v>
                </c:pt>
                <c:pt idx="105">
                  <c:v>2.2400000000000002</c:v>
                </c:pt>
                <c:pt idx="106">
                  <c:v>1.91</c:v>
                </c:pt>
                <c:pt idx="107">
                  <c:v>1.83</c:v>
                </c:pt>
                <c:pt idx="108">
                  <c:v>0.38</c:v>
                </c:pt>
                <c:pt idx="109">
                  <c:v>1.28</c:v>
                </c:pt>
                <c:pt idx="110">
                  <c:v>1.57</c:v>
                </c:pt>
                <c:pt idx="111">
                  <c:v>2.4300000000000002</c:v>
                </c:pt>
                <c:pt idx="112">
                  <c:v>2.14</c:v>
                </c:pt>
                <c:pt idx="113">
                  <c:v>2.0099999999999998</c:v>
                </c:pt>
                <c:pt idx="114">
                  <c:v>1.56</c:v>
                </c:pt>
                <c:pt idx="115">
                  <c:v>2.645</c:v>
                </c:pt>
                <c:pt idx="116">
                  <c:v>0.83</c:v>
                </c:pt>
                <c:pt idx="117">
                  <c:v>1.9</c:v>
                </c:pt>
                <c:pt idx="118">
                  <c:v>1.3</c:v>
                </c:pt>
                <c:pt idx="119">
                  <c:v>1.5</c:v>
                </c:pt>
                <c:pt idx="120">
                  <c:v>1.425</c:v>
                </c:pt>
                <c:pt idx="121">
                  <c:v>0.65</c:v>
                </c:pt>
                <c:pt idx="122">
                  <c:v>1.125</c:v>
                </c:pt>
                <c:pt idx="123">
                  <c:v>0.75</c:v>
                </c:pt>
                <c:pt idx="124">
                  <c:v>0.8</c:v>
                </c:pt>
                <c:pt idx="125">
                  <c:v>0.97499999999999998</c:v>
                </c:pt>
                <c:pt idx="126">
                  <c:v>0.97499999999999998</c:v>
                </c:pt>
                <c:pt idx="127">
                  <c:v>3.3</c:v>
                </c:pt>
                <c:pt idx="128">
                  <c:v>3.3650000000000002</c:v>
                </c:pt>
                <c:pt idx="129">
                  <c:v>1.35</c:v>
                </c:pt>
                <c:pt idx="130">
                  <c:v>1.68</c:v>
                </c:pt>
                <c:pt idx="131">
                  <c:v>2.1</c:v>
                </c:pt>
                <c:pt idx="132">
                  <c:v>2.4700000000000002</c:v>
                </c:pt>
                <c:pt idx="133">
                  <c:v>1.68</c:v>
                </c:pt>
                <c:pt idx="134">
                  <c:v>1.91</c:v>
                </c:pt>
                <c:pt idx="135">
                  <c:v>1.55</c:v>
                </c:pt>
                <c:pt idx="136">
                  <c:v>2.13</c:v>
                </c:pt>
                <c:pt idx="137">
                  <c:v>1.93</c:v>
                </c:pt>
                <c:pt idx="138">
                  <c:v>0.67</c:v>
                </c:pt>
                <c:pt idx="139">
                  <c:v>1.68</c:v>
                </c:pt>
                <c:pt idx="140">
                  <c:v>1.47</c:v>
                </c:pt>
                <c:pt idx="141">
                  <c:v>1.62</c:v>
                </c:pt>
                <c:pt idx="142">
                  <c:v>0.1</c:v>
                </c:pt>
                <c:pt idx="143">
                  <c:v>0.78</c:v>
                </c:pt>
                <c:pt idx="144">
                  <c:v>1.49</c:v>
                </c:pt>
                <c:pt idx="145">
                  <c:v>0.51</c:v>
                </c:pt>
                <c:pt idx="146">
                  <c:v>1.44</c:v>
                </c:pt>
                <c:pt idx="147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1-4D82-9FB1-9EC96322475F}"/>
            </c:ext>
          </c:extLst>
        </c:ser>
        <c:ser>
          <c:idx val="1"/>
          <c:order val="1"/>
          <c:tx>
            <c:strRef>
              <c:f>'Results- Training'!$W$14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'Results- Training'!$W$15:$W$162</c:f>
              <c:numCache>
                <c:formatCode>General</c:formatCode>
                <c:ptCount val="148"/>
                <c:pt idx="0">
                  <c:v>1.56990522640302</c:v>
                </c:pt>
                <c:pt idx="1">
                  <c:v>1.6994413200055101</c:v>
                </c:pt>
                <c:pt idx="2">
                  <c:v>1.8086997437357999</c:v>
                </c:pt>
                <c:pt idx="3">
                  <c:v>1.3972221777840701</c:v>
                </c:pt>
                <c:pt idx="4">
                  <c:v>1.3261438271793</c:v>
                </c:pt>
                <c:pt idx="5">
                  <c:v>1.79018736839258</c:v>
                </c:pt>
                <c:pt idx="6">
                  <c:v>2.4876773503199199</c:v>
                </c:pt>
                <c:pt idx="7">
                  <c:v>2.4953353129049498</c:v>
                </c:pt>
                <c:pt idx="8">
                  <c:v>2.0516689605982199</c:v>
                </c:pt>
                <c:pt idx="9">
                  <c:v>1.6101612489199499</c:v>
                </c:pt>
                <c:pt idx="10">
                  <c:v>2.1064148375010499</c:v>
                </c:pt>
                <c:pt idx="11">
                  <c:v>2.2373500847646901</c:v>
                </c:pt>
                <c:pt idx="12">
                  <c:v>1.43964562261426</c:v>
                </c:pt>
                <c:pt idx="13">
                  <c:v>1.7188903465749099</c:v>
                </c:pt>
                <c:pt idx="14">
                  <c:v>1.8003242340245</c:v>
                </c:pt>
                <c:pt idx="15">
                  <c:v>1.9418158722226699</c:v>
                </c:pt>
                <c:pt idx="16">
                  <c:v>1.9648867829905501</c:v>
                </c:pt>
                <c:pt idx="17">
                  <c:v>1.7874364316631499</c:v>
                </c:pt>
                <c:pt idx="18">
                  <c:v>1.86010635867517</c:v>
                </c:pt>
                <c:pt idx="19">
                  <c:v>2.2658693583526199</c:v>
                </c:pt>
                <c:pt idx="20">
                  <c:v>1.3907833601352799</c:v>
                </c:pt>
                <c:pt idx="21">
                  <c:v>1.9705484399330899</c:v>
                </c:pt>
                <c:pt idx="22">
                  <c:v>1.9784006373087899</c:v>
                </c:pt>
                <c:pt idx="23">
                  <c:v>2.2158665160428099</c:v>
                </c:pt>
                <c:pt idx="24">
                  <c:v>1.44339465741308</c:v>
                </c:pt>
                <c:pt idx="25">
                  <c:v>2.1154157345033999</c:v>
                </c:pt>
                <c:pt idx="26">
                  <c:v>1.61636022801979</c:v>
                </c:pt>
                <c:pt idx="27">
                  <c:v>1.4412403678152901</c:v>
                </c:pt>
                <c:pt idx="28">
                  <c:v>1.29957127262964</c:v>
                </c:pt>
                <c:pt idx="29">
                  <c:v>1.2888269107122901</c:v>
                </c:pt>
                <c:pt idx="30">
                  <c:v>1.361338292416</c:v>
                </c:pt>
                <c:pt idx="31">
                  <c:v>1.3267823232956899</c:v>
                </c:pt>
                <c:pt idx="32">
                  <c:v>1.3209159288666801</c:v>
                </c:pt>
                <c:pt idx="33">
                  <c:v>1.99019379509741</c:v>
                </c:pt>
                <c:pt idx="34">
                  <c:v>1.86346013788753</c:v>
                </c:pt>
                <c:pt idx="35">
                  <c:v>2.0999133177850098</c:v>
                </c:pt>
                <c:pt idx="36">
                  <c:v>2.0021088209914901</c:v>
                </c:pt>
                <c:pt idx="37">
                  <c:v>1.7495408001322801</c:v>
                </c:pt>
                <c:pt idx="38">
                  <c:v>0.85989473768316105</c:v>
                </c:pt>
                <c:pt idx="39">
                  <c:v>1.78890214795115</c:v>
                </c:pt>
                <c:pt idx="40">
                  <c:v>1.2981839682438101</c:v>
                </c:pt>
                <c:pt idx="41">
                  <c:v>1.6822499955878001</c:v>
                </c:pt>
                <c:pt idx="42">
                  <c:v>1.42824231618605</c:v>
                </c:pt>
                <c:pt idx="43">
                  <c:v>2.01720199472746</c:v>
                </c:pt>
                <c:pt idx="44">
                  <c:v>1.39082759342206</c:v>
                </c:pt>
                <c:pt idx="45">
                  <c:v>1.42327696766103</c:v>
                </c:pt>
                <c:pt idx="46">
                  <c:v>1.5042602621744401</c:v>
                </c:pt>
                <c:pt idx="47">
                  <c:v>1.9798253943323301</c:v>
                </c:pt>
                <c:pt idx="48">
                  <c:v>1.32098417447688</c:v>
                </c:pt>
                <c:pt idx="49">
                  <c:v>1.2835214226307801</c:v>
                </c:pt>
                <c:pt idx="50">
                  <c:v>1.4393248929052</c:v>
                </c:pt>
                <c:pt idx="51">
                  <c:v>1.2144263414241301</c:v>
                </c:pt>
                <c:pt idx="52">
                  <c:v>1.19345274606494</c:v>
                </c:pt>
                <c:pt idx="53">
                  <c:v>1.6579546218110801</c:v>
                </c:pt>
                <c:pt idx="54">
                  <c:v>1.6097581790448601</c:v>
                </c:pt>
                <c:pt idx="55">
                  <c:v>1.5828503766491</c:v>
                </c:pt>
                <c:pt idx="56">
                  <c:v>1.67228779258245</c:v>
                </c:pt>
                <c:pt idx="57">
                  <c:v>1.71401727404652</c:v>
                </c:pt>
                <c:pt idx="58">
                  <c:v>1.8411703247730999</c:v>
                </c:pt>
                <c:pt idx="59">
                  <c:v>1.8703715007681501</c:v>
                </c:pt>
                <c:pt idx="60">
                  <c:v>1.4042447237478599</c:v>
                </c:pt>
                <c:pt idx="61">
                  <c:v>1.3948598107524399</c:v>
                </c:pt>
                <c:pt idx="62">
                  <c:v>1.66069379701278</c:v>
                </c:pt>
                <c:pt idx="63">
                  <c:v>1.7638141891603401</c:v>
                </c:pt>
                <c:pt idx="64">
                  <c:v>1.3298823230576</c:v>
                </c:pt>
                <c:pt idx="65">
                  <c:v>1.4687704115715501</c:v>
                </c:pt>
                <c:pt idx="66">
                  <c:v>1.8214475117159701</c:v>
                </c:pt>
                <c:pt idx="67">
                  <c:v>1.9520969421790699</c:v>
                </c:pt>
                <c:pt idx="68">
                  <c:v>1.8954971501697699</c:v>
                </c:pt>
                <c:pt idx="69">
                  <c:v>1.6586454698195601</c:v>
                </c:pt>
                <c:pt idx="70">
                  <c:v>1.8649480182817399</c:v>
                </c:pt>
                <c:pt idx="71">
                  <c:v>0.91576651246379803</c:v>
                </c:pt>
                <c:pt idx="72">
                  <c:v>0.71669835865176301</c:v>
                </c:pt>
                <c:pt idx="73">
                  <c:v>1.68340734248858</c:v>
                </c:pt>
                <c:pt idx="74">
                  <c:v>1.7075056638231501</c:v>
                </c:pt>
                <c:pt idx="75">
                  <c:v>1.5998714362358899</c:v>
                </c:pt>
                <c:pt idx="76">
                  <c:v>1.7831602978523899</c:v>
                </c:pt>
                <c:pt idx="77">
                  <c:v>1.4754320409536801</c:v>
                </c:pt>
                <c:pt idx="78">
                  <c:v>1.4462442924422001</c:v>
                </c:pt>
                <c:pt idx="79">
                  <c:v>1.3924781733096401</c:v>
                </c:pt>
                <c:pt idx="80">
                  <c:v>0.62766695495848601</c:v>
                </c:pt>
                <c:pt idx="81">
                  <c:v>1.49447663657885</c:v>
                </c:pt>
                <c:pt idx="82">
                  <c:v>1.02744633369382</c:v>
                </c:pt>
                <c:pt idx="83">
                  <c:v>1.6663826902532399</c:v>
                </c:pt>
                <c:pt idx="84">
                  <c:v>0.86155760653969404</c:v>
                </c:pt>
                <c:pt idx="85">
                  <c:v>1.6957922909998699</c:v>
                </c:pt>
                <c:pt idx="86">
                  <c:v>1.7463346504113599</c:v>
                </c:pt>
                <c:pt idx="87">
                  <c:v>1.3929330847330399</c:v>
                </c:pt>
                <c:pt idx="88">
                  <c:v>1.60465934229517</c:v>
                </c:pt>
                <c:pt idx="89">
                  <c:v>1.3924781733096401</c:v>
                </c:pt>
                <c:pt idx="90">
                  <c:v>1.7824741308523799</c:v>
                </c:pt>
                <c:pt idx="91">
                  <c:v>1.6085676344061699</c:v>
                </c:pt>
                <c:pt idx="92">
                  <c:v>1.5121482403873101</c:v>
                </c:pt>
                <c:pt idx="93">
                  <c:v>1.5281927877183801</c:v>
                </c:pt>
                <c:pt idx="94">
                  <c:v>1.5285129590400499</c:v>
                </c:pt>
                <c:pt idx="95">
                  <c:v>1.4642805280670199</c:v>
                </c:pt>
                <c:pt idx="96">
                  <c:v>1.95923168279725</c:v>
                </c:pt>
                <c:pt idx="97">
                  <c:v>1.6838566014907701</c:v>
                </c:pt>
                <c:pt idx="98">
                  <c:v>2.0969299908080798</c:v>
                </c:pt>
                <c:pt idx="99">
                  <c:v>1.8412839140828301</c:v>
                </c:pt>
                <c:pt idx="100">
                  <c:v>1.8314842603932</c:v>
                </c:pt>
                <c:pt idx="101">
                  <c:v>1.47497365083859</c:v>
                </c:pt>
                <c:pt idx="102">
                  <c:v>0.94234815295084995</c:v>
                </c:pt>
                <c:pt idx="103">
                  <c:v>1.51794729615507</c:v>
                </c:pt>
                <c:pt idx="104">
                  <c:v>2.1159033846501001</c:v>
                </c:pt>
                <c:pt idx="105">
                  <c:v>1.66730723398322</c:v>
                </c:pt>
                <c:pt idx="106">
                  <c:v>2.0963148823527198</c:v>
                </c:pt>
                <c:pt idx="107">
                  <c:v>1.8778243791523599</c:v>
                </c:pt>
                <c:pt idx="108">
                  <c:v>0.77392121214864396</c:v>
                </c:pt>
                <c:pt idx="109">
                  <c:v>1.38042871847578</c:v>
                </c:pt>
                <c:pt idx="110">
                  <c:v>1.50781485006939</c:v>
                </c:pt>
                <c:pt idx="111">
                  <c:v>1.7036083345820701</c:v>
                </c:pt>
                <c:pt idx="112">
                  <c:v>2.2427474532896201</c:v>
                </c:pt>
                <c:pt idx="113">
                  <c:v>1.97713582943091</c:v>
                </c:pt>
                <c:pt idx="114">
                  <c:v>2.0131928549202098</c:v>
                </c:pt>
                <c:pt idx="115">
                  <c:v>2.2478332632505298</c:v>
                </c:pt>
                <c:pt idx="116">
                  <c:v>0.820270728960803</c:v>
                </c:pt>
                <c:pt idx="117">
                  <c:v>1.7439392008918799</c:v>
                </c:pt>
                <c:pt idx="118">
                  <c:v>1.56463434291121</c:v>
                </c:pt>
                <c:pt idx="119">
                  <c:v>1.4920438317545299</c:v>
                </c:pt>
                <c:pt idx="120">
                  <c:v>1.2049327450560601</c:v>
                </c:pt>
                <c:pt idx="121">
                  <c:v>0.83571225241532598</c:v>
                </c:pt>
                <c:pt idx="122">
                  <c:v>1.0731258455221899</c:v>
                </c:pt>
                <c:pt idx="123">
                  <c:v>0.77837598426635501</c:v>
                </c:pt>
                <c:pt idx="124">
                  <c:v>0.77506222610118303</c:v>
                </c:pt>
                <c:pt idx="125">
                  <c:v>1.1393880070806299</c:v>
                </c:pt>
                <c:pt idx="126">
                  <c:v>0.96406307438244698</c:v>
                </c:pt>
                <c:pt idx="127">
                  <c:v>2.9509978034039701</c:v>
                </c:pt>
                <c:pt idx="128">
                  <c:v>3.2973287405762401</c:v>
                </c:pt>
                <c:pt idx="129">
                  <c:v>1.2542387380775899</c:v>
                </c:pt>
                <c:pt idx="130">
                  <c:v>1.6910724099064001</c:v>
                </c:pt>
                <c:pt idx="131">
                  <c:v>2.0807261047278001</c:v>
                </c:pt>
                <c:pt idx="132">
                  <c:v>2.18491251840058</c:v>
                </c:pt>
                <c:pt idx="133">
                  <c:v>1.48515253539131</c:v>
                </c:pt>
                <c:pt idx="134">
                  <c:v>1.70730395131654</c:v>
                </c:pt>
                <c:pt idx="135">
                  <c:v>1.1811053377592999</c:v>
                </c:pt>
                <c:pt idx="136">
                  <c:v>1.95828503882185</c:v>
                </c:pt>
                <c:pt idx="137">
                  <c:v>1.606702849213</c:v>
                </c:pt>
                <c:pt idx="138">
                  <c:v>0.69813359457274204</c:v>
                </c:pt>
                <c:pt idx="139">
                  <c:v>1.7376331917107699</c:v>
                </c:pt>
                <c:pt idx="140">
                  <c:v>1.4744432741046101</c:v>
                </c:pt>
                <c:pt idx="141">
                  <c:v>1.7999035322891701</c:v>
                </c:pt>
                <c:pt idx="142">
                  <c:v>0.49178908669232402</c:v>
                </c:pt>
                <c:pt idx="143">
                  <c:v>0.82809528927534304</c:v>
                </c:pt>
                <c:pt idx="144">
                  <c:v>1.6739521289314101</c:v>
                </c:pt>
                <c:pt idx="145">
                  <c:v>0.60957618075748399</c:v>
                </c:pt>
                <c:pt idx="146">
                  <c:v>1.73309445055874</c:v>
                </c:pt>
                <c:pt idx="147">
                  <c:v>2.0457195166548399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1-4D82-9FB1-9EC963224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'Results - Validation'!$D$11</c:f>
              <c:strCache>
                <c:ptCount val="1"/>
                <c:pt idx="0">
                  <c:v>Predictions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- Validation'!$C$12:$C$32</c:f>
              <c:numCache>
                <c:formatCode>0.00</c:formatCode>
                <c:ptCount val="21"/>
                <c:pt idx="0">
                  <c:v>6.3</c:v>
                </c:pt>
                <c:pt idx="1">
                  <c:v>7.8</c:v>
                </c:pt>
                <c:pt idx="2">
                  <c:v>8.6</c:v>
                </c:pt>
                <c:pt idx="3">
                  <c:v>4.5999999999999996</c:v>
                </c:pt>
                <c:pt idx="4">
                  <c:v>7.8</c:v>
                </c:pt>
                <c:pt idx="5">
                  <c:v>7.5</c:v>
                </c:pt>
                <c:pt idx="6">
                  <c:v>6.8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  <c:pt idx="10">
                  <c:v>7</c:v>
                </c:pt>
                <c:pt idx="11">
                  <c:v>7.3</c:v>
                </c:pt>
                <c:pt idx="12">
                  <c:v>6.3</c:v>
                </c:pt>
                <c:pt idx="13">
                  <c:v>8.9</c:v>
                </c:pt>
                <c:pt idx="14">
                  <c:v>5.8</c:v>
                </c:pt>
                <c:pt idx="15">
                  <c:v>11</c:v>
                </c:pt>
                <c:pt idx="16">
                  <c:v>5.0999999999999996</c:v>
                </c:pt>
                <c:pt idx="17">
                  <c:v>4.8</c:v>
                </c:pt>
                <c:pt idx="18">
                  <c:v>2.6</c:v>
                </c:pt>
                <c:pt idx="19">
                  <c:v>2.35</c:v>
                </c:pt>
                <c:pt idx="20">
                  <c:v>3.6</c:v>
                </c:pt>
              </c:numCache>
            </c:numRef>
          </c:xVal>
          <c:yVal>
            <c:numRef>
              <c:f>'Results - Validation'!$D$12:$D$32</c:f>
              <c:numCache>
                <c:formatCode>0.00</c:formatCode>
                <c:ptCount val="21"/>
                <c:pt idx="0">
                  <c:v>7.2085261070844302</c:v>
                </c:pt>
                <c:pt idx="1">
                  <c:v>7.3348345451389898</c:v>
                </c:pt>
                <c:pt idx="2">
                  <c:v>7.9975789068741596</c:v>
                </c:pt>
                <c:pt idx="3">
                  <c:v>5.8089109159697196</c:v>
                </c:pt>
                <c:pt idx="4">
                  <c:v>7.3308695380551798</c:v>
                </c:pt>
                <c:pt idx="5">
                  <c:v>7.27092310736814</c:v>
                </c:pt>
                <c:pt idx="6">
                  <c:v>6.5432853928506098</c:v>
                </c:pt>
                <c:pt idx="7">
                  <c:v>11.311304245994201</c:v>
                </c:pt>
                <c:pt idx="8">
                  <c:v>7.0658301140291799</c:v>
                </c:pt>
                <c:pt idx="9">
                  <c:v>4.6756838000927603</c:v>
                </c:pt>
                <c:pt idx="10">
                  <c:v>7.1065641282529501</c:v>
                </c:pt>
                <c:pt idx="11">
                  <c:v>8.0276049571902899</c:v>
                </c:pt>
                <c:pt idx="12">
                  <c:v>7.6085556650607797</c:v>
                </c:pt>
                <c:pt idx="13">
                  <c:v>8.9122426420709502</c:v>
                </c:pt>
                <c:pt idx="14">
                  <c:v>7.2254418028052099</c:v>
                </c:pt>
                <c:pt idx="15">
                  <c:v>11.1987328303127</c:v>
                </c:pt>
                <c:pt idx="16">
                  <c:v>4.0509392395051904</c:v>
                </c:pt>
                <c:pt idx="17">
                  <c:v>4.9120966226043699</c:v>
                </c:pt>
                <c:pt idx="18">
                  <c:v>2.5275174632164998</c:v>
                </c:pt>
                <c:pt idx="19">
                  <c:v>2.46764190331203</c:v>
                </c:pt>
                <c:pt idx="20">
                  <c:v>3.7493184172821499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81-4E8C-9E26-3F163773D570}"/>
            </c:ext>
          </c:extLst>
        </c:ser>
        <c:ser>
          <c:idx val="1"/>
          <c:order val="1"/>
          <c:tx>
            <c:strRef>
              <c:f>'Results - Validation'!$F$11</c:f>
              <c:strCache>
                <c:ptCount val="1"/>
                <c:pt idx="0">
                  <c:v>Pred. + Bias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 - Validation'!$C$12:$C$32</c:f>
              <c:numCache>
                <c:formatCode>0.00</c:formatCode>
                <c:ptCount val="21"/>
                <c:pt idx="0">
                  <c:v>6.3</c:v>
                </c:pt>
                <c:pt idx="1">
                  <c:v>7.8</c:v>
                </c:pt>
                <c:pt idx="2">
                  <c:v>8.6</c:v>
                </c:pt>
                <c:pt idx="3">
                  <c:v>4.5999999999999996</c:v>
                </c:pt>
                <c:pt idx="4">
                  <c:v>7.8</c:v>
                </c:pt>
                <c:pt idx="5">
                  <c:v>7.5</c:v>
                </c:pt>
                <c:pt idx="6">
                  <c:v>6.8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  <c:pt idx="10">
                  <c:v>7</c:v>
                </c:pt>
                <c:pt idx="11">
                  <c:v>7.3</c:v>
                </c:pt>
                <c:pt idx="12">
                  <c:v>6.3</c:v>
                </c:pt>
                <c:pt idx="13">
                  <c:v>8.9</c:v>
                </c:pt>
                <c:pt idx="14">
                  <c:v>5.8</c:v>
                </c:pt>
                <c:pt idx="15">
                  <c:v>11</c:v>
                </c:pt>
                <c:pt idx="16">
                  <c:v>5.0999999999999996</c:v>
                </c:pt>
                <c:pt idx="17">
                  <c:v>4.8</c:v>
                </c:pt>
                <c:pt idx="18">
                  <c:v>2.6</c:v>
                </c:pt>
                <c:pt idx="19">
                  <c:v>2.35</c:v>
                </c:pt>
                <c:pt idx="20">
                  <c:v>3.6</c:v>
                </c:pt>
              </c:numCache>
            </c:numRef>
          </c:xVal>
          <c:yVal>
            <c:numRef>
              <c:f>'Results - Validation'!$F$12:$F$32</c:f>
              <c:numCache>
                <c:formatCode>0.00</c:formatCode>
                <c:ptCount val="21"/>
                <c:pt idx="0">
                  <c:v>7.0568879001763118</c:v>
                </c:pt>
                <c:pt idx="1">
                  <c:v>7.1831963382308714</c:v>
                </c:pt>
                <c:pt idx="2">
                  <c:v>7.8459406999660413</c:v>
                </c:pt>
                <c:pt idx="3">
                  <c:v>5.6572727090616013</c:v>
                </c:pt>
                <c:pt idx="4">
                  <c:v>7.1792313311470615</c:v>
                </c:pt>
                <c:pt idx="5">
                  <c:v>7.1192849004600216</c:v>
                </c:pt>
                <c:pt idx="6">
                  <c:v>6.3916471859424915</c:v>
                </c:pt>
                <c:pt idx="7">
                  <c:v>11.159666039086082</c:v>
                </c:pt>
                <c:pt idx="8">
                  <c:v>6.9141919071210616</c:v>
                </c:pt>
                <c:pt idx="9">
                  <c:v>4.5240455931846419</c:v>
                </c:pt>
                <c:pt idx="10">
                  <c:v>6.9549259213448318</c:v>
                </c:pt>
                <c:pt idx="11">
                  <c:v>7.8759667502821715</c:v>
                </c:pt>
                <c:pt idx="12">
                  <c:v>7.4569174581526614</c:v>
                </c:pt>
                <c:pt idx="13">
                  <c:v>8.7606044351628309</c:v>
                </c:pt>
                <c:pt idx="14">
                  <c:v>7.0738035958970915</c:v>
                </c:pt>
                <c:pt idx="15">
                  <c:v>11.047094623404581</c:v>
                </c:pt>
                <c:pt idx="16">
                  <c:v>3.8993010325970716</c:v>
                </c:pt>
                <c:pt idx="17">
                  <c:v>4.7604584156962515</c:v>
                </c:pt>
                <c:pt idx="18">
                  <c:v>2.375879256308381</c:v>
                </c:pt>
                <c:pt idx="19">
                  <c:v>2.3160036964039112</c:v>
                </c:pt>
                <c:pt idx="20">
                  <c:v>3.5976802103740311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81-4E8C-9E26-3F163773D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360687"/>
        <c:axId val="1674362351"/>
      </c:scatterChart>
      <c:valAx>
        <c:axId val="167436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4362351"/>
        <c:crosses val="autoZero"/>
        <c:crossBetween val="midCat"/>
      </c:valAx>
      <c:valAx>
        <c:axId val="16743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436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'Results - Validation'!$K$11</c:f>
              <c:strCache>
                <c:ptCount val="1"/>
                <c:pt idx="0">
                  <c:v>Predictions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- Validation'!$J$12:$J$32</c:f>
              <c:numCache>
                <c:formatCode>0.00</c:formatCode>
                <c:ptCount val="21"/>
                <c:pt idx="0">
                  <c:v>2.79</c:v>
                </c:pt>
                <c:pt idx="1">
                  <c:v>3.2</c:v>
                </c:pt>
                <c:pt idx="2">
                  <c:v>3.17</c:v>
                </c:pt>
                <c:pt idx="3">
                  <c:v>2.3199999999999998</c:v>
                </c:pt>
                <c:pt idx="4">
                  <c:v>3.35</c:v>
                </c:pt>
                <c:pt idx="5">
                  <c:v>3.85</c:v>
                </c:pt>
                <c:pt idx="6">
                  <c:v>2.11</c:v>
                </c:pt>
                <c:pt idx="7">
                  <c:v>4.3899999999999997</c:v>
                </c:pt>
                <c:pt idx="8">
                  <c:v>3.24</c:v>
                </c:pt>
                <c:pt idx="9">
                  <c:v>3.28</c:v>
                </c:pt>
                <c:pt idx="10">
                  <c:v>3.94</c:v>
                </c:pt>
                <c:pt idx="11">
                  <c:v>4.33</c:v>
                </c:pt>
                <c:pt idx="12">
                  <c:v>2.95</c:v>
                </c:pt>
                <c:pt idx="13">
                  <c:v>2.7</c:v>
                </c:pt>
                <c:pt idx="14">
                  <c:v>3.74</c:v>
                </c:pt>
                <c:pt idx="15">
                  <c:v>2.36</c:v>
                </c:pt>
                <c:pt idx="16">
                  <c:v>2.95</c:v>
                </c:pt>
                <c:pt idx="17">
                  <c:v>1.665</c:v>
                </c:pt>
                <c:pt idx="18">
                  <c:v>1.1299999999999999</c:v>
                </c:pt>
                <c:pt idx="19">
                  <c:v>2.2124999999999999</c:v>
                </c:pt>
              </c:numCache>
            </c:numRef>
          </c:xVal>
          <c:yVal>
            <c:numRef>
              <c:f>'Results - Validation'!$K$12:$K$32</c:f>
              <c:numCache>
                <c:formatCode>0.00</c:formatCode>
                <c:ptCount val="21"/>
                <c:pt idx="0">
                  <c:v>2.9639962870368799</c:v>
                </c:pt>
                <c:pt idx="1">
                  <c:v>3.0510480916959799</c:v>
                </c:pt>
                <c:pt idx="2">
                  <c:v>3.19561210275833</c:v>
                </c:pt>
                <c:pt idx="3">
                  <c:v>2.8618932476010199</c:v>
                </c:pt>
                <c:pt idx="4">
                  <c:v>3.2008261851325601</c:v>
                </c:pt>
                <c:pt idx="5">
                  <c:v>3.2297298317241201</c:v>
                </c:pt>
                <c:pt idx="6">
                  <c:v>2.3267279232576801</c:v>
                </c:pt>
                <c:pt idx="7">
                  <c:v>4.0743275835416197</c:v>
                </c:pt>
                <c:pt idx="8">
                  <c:v>3.2918733401678</c:v>
                </c:pt>
                <c:pt idx="9">
                  <c:v>3.31216644556388</c:v>
                </c:pt>
                <c:pt idx="10">
                  <c:v>3.7861305198652202</c:v>
                </c:pt>
                <c:pt idx="11">
                  <c:v>3.7176421305836</c:v>
                </c:pt>
                <c:pt idx="12">
                  <c:v>3.4067858334802299</c:v>
                </c:pt>
                <c:pt idx="13">
                  <c:v>3.1519533090681602</c:v>
                </c:pt>
                <c:pt idx="14">
                  <c:v>4.1884876827188204</c:v>
                </c:pt>
                <c:pt idx="15">
                  <c:v>2.9042740787761798</c:v>
                </c:pt>
                <c:pt idx="16">
                  <c:v>2.6932494788063299</c:v>
                </c:pt>
                <c:pt idx="17">
                  <c:v>1.9400754687271</c:v>
                </c:pt>
                <c:pt idx="18">
                  <c:v>1.38441023572542</c:v>
                </c:pt>
                <c:pt idx="19">
                  <c:v>1.94424183244358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0-4C7E-96DA-41ADCECE2059}"/>
            </c:ext>
          </c:extLst>
        </c:ser>
        <c:ser>
          <c:idx val="1"/>
          <c:order val="1"/>
          <c:tx>
            <c:strRef>
              <c:f>'Results - Validation'!$M$11</c:f>
              <c:strCache>
                <c:ptCount val="1"/>
                <c:pt idx="0">
                  <c:v>Pred. + Bias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 - Validation'!$J$12:$J$32</c:f>
              <c:numCache>
                <c:formatCode>0.00</c:formatCode>
                <c:ptCount val="21"/>
                <c:pt idx="0">
                  <c:v>2.79</c:v>
                </c:pt>
                <c:pt idx="1">
                  <c:v>3.2</c:v>
                </c:pt>
                <c:pt idx="2">
                  <c:v>3.17</c:v>
                </c:pt>
                <c:pt idx="3">
                  <c:v>2.3199999999999998</c:v>
                </c:pt>
                <c:pt idx="4">
                  <c:v>3.35</c:v>
                </c:pt>
                <c:pt idx="5">
                  <c:v>3.85</c:v>
                </c:pt>
                <c:pt idx="6">
                  <c:v>2.11</c:v>
                </c:pt>
                <c:pt idx="7">
                  <c:v>4.3899999999999997</c:v>
                </c:pt>
                <c:pt idx="8">
                  <c:v>3.24</c:v>
                </c:pt>
                <c:pt idx="9">
                  <c:v>3.28</c:v>
                </c:pt>
                <c:pt idx="10">
                  <c:v>3.94</c:v>
                </c:pt>
                <c:pt idx="11">
                  <c:v>4.33</c:v>
                </c:pt>
                <c:pt idx="12">
                  <c:v>2.95</c:v>
                </c:pt>
                <c:pt idx="13">
                  <c:v>2.7</c:v>
                </c:pt>
                <c:pt idx="14">
                  <c:v>3.74</c:v>
                </c:pt>
                <c:pt idx="15">
                  <c:v>2.36</c:v>
                </c:pt>
                <c:pt idx="16">
                  <c:v>2.95</c:v>
                </c:pt>
                <c:pt idx="17">
                  <c:v>1.665</c:v>
                </c:pt>
                <c:pt idx="18">
                  <c:v>1.1299999999999999</c:v>
                </c:pt>
                <c:pt idx="19">
                  <c:v>2.2124999999999999</c:v>
                </c:pt>
              </c:numCache>
            </c:numRef>
          </c:xVal>
          <c:yVal>
            <c:numRef>
              <c:f>'Results - Validation'!$M$12:$M$32</c:f>
              <c:numCache>
                <c:formatCode>0.00</c:formatCode>
                <c:ptCount val="21"/>
                <c:pt idx="0">
                  <c:v>2.9165987066031542</c:v>
                </c:pt>
                <c:pt idx="1">
                  <c:v>3.0036505112622542</c:v>
                </c:pt>
                <c:pt idx="2">
                  <c:v>3.1482145223246043</c:v>
                </c:pt>
                <c:pt idx="3">
                  <c:v>2.8144956671672943</c:v>
                </c:pt>
                <c:pt idx="4">
                  <c:v>3.1534286046988345</c:v>
                </c:pt>
                <c:pt idx="5">
                  <c:v>3.1823322512903944</c:v>
                </c:pt>
                <c:pt idx="6">
                  <c:v>2.2793303428239544</c:v>
                </c:pt>
                <c:pt idx="7">
                  <c:v>4.0269300031078945</c:v>
                </c:pt>
                <c:pt idx="8">
                  <c:v>3.2444757597340743</c:v>
                </c:pt>
                <c:pt idx="9">
                  <c:v>3.2647688651301543</c:v>
                </c:pt>
                <c:pt idx="10">
                  <c:v>3.7387329394314945</c:v>
                </c:pt>
                <c:pt idx="11">
                  <c:v>3.6702445501498744</c:v>
                </c:pt>
                <c:pt idx="12">
                  <c:v>3.3593882530465042</c:v>
                </c:pt>
                <c:pt idx="13">
                  <c:v>3.1045557286344345</c:v>
                </c:pt>
                <c:pt idx="14">
                  <c:v>4.1410901022850952</c:v>
                </c:pt>
                <c:pt idx="15">
                  <c:v>2.8568764983424542</c:v>
                </c:pt>
                <c:pt idx="16">
                  <c:v>2.6458518983726043</c:v>
                </c:pt>
                <c:pt idx="17">
                  <c:v>1.8926778882933746</c:v>
                </c:pt>
                <c:pt idx="18">
                  <c:v>1.3370126552916946</c:v>
                </c:pt>
                <c:pt idx="19">
                  <c:v>1.8968442520098545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0-4C7E-96DA-41ADCECE2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360687"/>
        <c:axId val="1674362351"/>
      </c:scatterChart>
      <c:valAx>
        <c:axId val="167436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4362351"/>
        <c:crosses val="autoZero"/>
        <c:crossBetween val="midCat"/>
      </c:valAx>
      <c:valAx>
        <c:axId val="16743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436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P2O5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'Results - Validation'!$R$11</c:f>
              <c:strCache>
                <c:ptCount val="1"/>
                <c:pt idx="0">
                  <c:v>Predictions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- Validation'!$Q$12:$Q$31</c:f>
              <c:numCache>
                <c:formatCode>0.00</c:formatCode>
                <c:ptCount val="20"/>
                <c:pt idx="0">
                  <c:v>1.25</c:v>
                </c:pt>
                <c:pt idx="1">
                  <c:v>1.32</c:v>
                </c:pt>
                <c:pt idx="2">
                  <c:v>1.45</c:v>
                </c:pt>
                <c:pt idx="3">
                  <c:v>1.25</c:v>
                </c:pt>
                <c:pt idx="4">
                  <c:v>1.59</c:v>
                </c:pt>
                <c:pt idx="5">
                  <c:v>1.85</c:v>
                </c:pt>
                <c:pt idx="6">
                  <c:v>0.89</c:v>
                </c:pt>
                <c:pt idx="7">
                  <c:v>1.98</c:v>
                </c:pt>
                <c:pt idx="8">
                  <c:v>1.44</c:v>
                </c:pt>
                <c:pt idx="9">
                  <c:v>1.44</c:v>
                </c:pt>
                <c:pt idx="10">
                  <c:v>2.0099999999999998</c:v>
                </c:pt>
                <c:pt idx="11">
                  <c:v>1.55</c:v>
                </c:pt>
                <c:pt idx="12">
                  <c:v>1.6</c:v>
                </c:pt>
                <c:pt idx="13">
                  <c:v>1.45</c:v>
                </c:pt>
                <c:pt idx="14">
                  <c:v>2.1</c:v>
                </c:pt>
                <c:pt idx="15">
                  <c:v>1.1000000000000001</c:v>
                </c:pt>
                <c:pt idx="16">
                  <c:v>0.88</c:v>
                </c:pt>
                <c:pt idx="17">
                  <c:v>0.6</c:v>
                </c:pt>
                <c:pt idx="18">
                  <c:v>0.45500000000000002</c:v>
                </c:pt>
                <c:pt idx="19">
                  <c:v>0.66</c:v>
                </c:pt>
              </c:numCache>
            </c:numRef>
          </c:xVal>
          <c:yVal>
            <c:numRef>
              <c:f>'Results - Validation'!$R$12:$R$31</c:f>
              <c:numCache>
                <c:formatCode>0.00</c:formatCode>
                <c:ptCount val="20"/>
                <c:pt idx="0">
                  <c:v>1.2932453963514601</c:v>
                </c:pt>
                <c:pt idx="1">
                  <c:v>1.2920357310250801</c:v>
                </c:pt>
                <c:pt idx="2">
                  <c:v>1.40628961130008</c:v>
                </c:pt>
                <c:pt idx="3">
                  <c:v>1.41046479705765</c:v>
                </c:pt>
                <c:pt idx="4">
                  <c:v>1.2787018698052599</c:v>
                </c:pt>
                <c:pt idx="5">
                  <c:v>1.5001386192914801</c:v>
                </c:pt>
                <c:pt idx="6">
                  <c:v>0.85258589943656404</c:v>
                </c:pt>
                <c:pt idx="7">
                  <c:v>1.8888972283826999</c:v>
                </c:pt>
                <c:pt idx="8">
                  <c:v>1.3097405379122999</c:v>
                </c:pt>
                <c:pt idx="9">
                  <c:v>1.4033026858261699</c:v>
                </c:pt>
                <c:pt idx="10">
                  <c:v>1.69140921814217</c:v>
                </c:pt>
                <c:pt idx="11">
                  <c:v>1.5757021309282</c:v>
                </c:pt>
                <c:pt idx="12">
                  <c:v>1.48448661277784</c:v>
                </c:pt>
                <c:pt idx="13">
                  <c:v>1.3497055315539199</c:v>
                </c:pt>
                <c:pt idx="14">
                  <c:v>1.81600347880603</c:v>
                </c:pt>
                <c:pt idx="15">
                  <c:v>1.23033641753339</c:v>
                </c:pt>
                <c:pt idx="16">
                  <c:v>0.95735141834260795</c:v>
                </c:pt>
                <c:pt idx="17">
                  <c:v>0.67009231843804196</c:v>
                </c:pt>
                <c:pt idx="18">
                  <c:v>0.59540201214043698</c:v>
                </c:pt>
                <c:pt idx="19">
                  <c:v>0.738215832786004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B-407F-A442-7E7CE6FC891B}"/>
            </c:ext>
          </c:extLst>
        </c:ser>
        <c:ser>
          <c:idx val="1"/>
          <c:order val="1"/>
          <c:tx>
            <c:strRef>
              <c:f>'Results - Validation'!$T$11</c:f>
              <c:strCache>
                <c:ptCount val="1"/>
                <c:pt idx="0">
                  <c:v>Pred. + Bias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 - Validation'!$Q$12:$Q$31</c:f>
              <c:numCache>
                <c:formatCode>0.00</c:formatCode>
                <c:ptCount val="20"/>
                <c:pt idx="0">
                  <c:v>1.25</c:v>
                </c:pt>
                <c:pt idx="1">
                  <c:v>1.32</c:v>
                </c:pt>
                <c:pt idx="2">
                  <c:v>1.45</c:v>
                </c:pt>
                <c:pt idx="3">
                  <c:v>1.25</c:v>
                </c:pt>
                <c:pt idx="4">
                  <c:v>1.59</c:v>
                </c:pt>
                <c:pt idx="5">
                  <c:v>1.85</c:v>
                </c:pt>
                <c:pt idx="6">
                  <c:v>0.89</c:v>
                </c:pt>
                <c:pt idx="7">
                  <c:v>1.98</c:v>
                </c:pt>
                <c:pt idx="8">
                  <c:v>1.44</c:v>
                </c:pt>
                <c:pt idx="9">
                  <c:v>1.44</c:v>
                </c:pt>
                <c:pt idx="10">
                  <c:v>2.0099999999999998</c:v>
                </c:pt>
                <c:pt idx="11">
                  <c:v>1.55</c:v>
                </c:pt>
                <c:pt idx="12">
                  <c:v>1.6</c:v>
                </c:pt>
                <c:pt idx="13">
                  <c:v>1.45</c:v>
                </c:pt>
                <c:pt idx="14">
                  <c:v>2.1</c:v>
                </c:pt>
                <c:pt idx="15">
                  <c:v>1.1000000000000001</c:v>
                </c:pt>
                <c:pt idx="16">
                  <c:v>0.88</c:v>
                </c:pt>
                <c:pt idx="17">
                  <c:v>0.6</c:v>
                </c:pt>
                <c:pt idx="18">
                  <c:v>0.45500000000000002</c:v>
                </c:pt>
                <c:pt idx="19">
                  <c:v>0.66</c:v>
                </c:pt>
              </c:numCache>
            </c:numRef>
          </c:xVal>
          <c:yVal>
            <c:numRef>
              <c:f>'Results - Validation'!$T$12:$T$31</c:f>
              <c:numCache>
                <c:formatCode>0.00</c:formatCode>
                <c:ptCount val="20"/>
                <c:pt idx="0">
                  <c:v>1.2832453963514601</c:v>
                </c:pt>
                <c:pt idx="1">
                  <c:v>1.2820357310250801</c:v>
                </c:pt>
                <c:pt idx="2">
                  <c:v>1.39628961130008</c:v>
                </c:pt>
                <c:pt idx="3">
                  <c:v>1.40046479705765</c:v>
                </c:pt>
                <c:pt idx="4">
                  <c:v>1.2687018698052599</c:v>
                </c:pt>
                <c:pt idx="5">
                  <c:v>1.4901386192914801</c:v>
                </c:pt>
                <c:pt idx="6">
                  <c:v>0.84258589943656403</c:v>
                </c:pt>
                <c:pt idx="7">
                  <c:v>1.8788972283826999</c:v>
                </c:pt>
                <c:pt idx="8">
                  <c:v>1.2997405379122999</c:v>
                </c:pt>
                <c:pt idx="9">
                  <c:v>1.3933026858261699</c:v>
                </c:pt>
                <c:pt idx="10">
                  <c:v>1.68140921814217</c:v>
                </c:pt>
                <c:pt idx="11">
                  <c:v>1.5657021309282</c:v>
                </c:pt>
                <c:pt idx="12">
                  <c:v>1.47448661277784</c:v>
                </c:pt>
                <c:pt idx="13">
                  <c:v>1.3397055315539199</c:v>
                </c:pt>
                <c:pt idx="14">
                  <c:v>1.80600347880603</c:v>
                </c:pt>
                <c:pt idx="15">
                  <c:v>1.2203364175333899</c:v>
                </c:pt>
                <c:pt idx="16">
                  <c:v>0.94735141834260794</c:v>
                </c:pt>
                <c:pt idx="17">
                  <c:v>0.66009231843804195</c:v>
                </c:pt>
                <c:pt idx="18">
                  <c:v>0.58540201214043697</c:v>
                </c:pt>
                <c:pt idx="19">
                  <c:v>0.72821583278600399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7B-407F-A442-7E7CE6FC8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764271"/>
        <c:axId val="1798766767"/>
      </c:scatterChart>
      <c:valAx>
        <c:axId val="179876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8766767"/>
        <c:crosses val="autoZero"/>
        <c:crossBetween val="midCat"/>
      </c:valAx>
      <c:valAx>
        <c:axId val="17987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876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K2O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'Results - Validation'!$Y$11</c:f>
              <c:strCache>
                <c:ptCount val="1"/>
                <c:pt idx="0">
                  <c:v>Predictions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- Validation'!$X$12:$X$31</c:f>
              <c:numCache>
                <c:formatCode>0.00</c:formatCode>
                <c:ptCount val="20"/>
                <c:pt idx="0">
                  <c:v>2.78</c:v>
                </c:pt>
                <c:pt idx="1">
                  <c:v>3.27</c:v>
                </c:pt>
                <c:pt idx="2">
                  <c:v>3.43</c:v>
                </c:pt>
                <c:pt idx="3">
                  <c:v>3.65</c:v>
                </c:pt>
                <c:pt idx="4">
                  <c:v>3.48</c:v>
                </c:pt>
                <c:pt idx="5">
                  <c:v>4.47</c:v>
                </c:pt>
                <c:pt idx="6">
                  <c:v>2.79</c:v>
                </c:pt>
                <c:pt idx="7">
                  <c:v>5.0999999999999996</c:v>
                </c:pt>
                <c:pt idx="8">
                  <c:v>3.4</c:v>
                </c:pt>
                <c:pt idx="9">
                  <c:v>4.41</c:v>
                </c:pt>
                <c:pt idx="10">
                  <c:v>4.54</c:v>
                </c:pt>
                <c:pt idx="11">
                  <c:v>4.4400000000000004</c:v>
                </c:pt>
                <c:pt idx="12">
                  <c:v>4.53</c:v>
                </c:pt>
                <c:pt idx="13">
                  <c:v>5.93</c:v>
                </c:pt>
                <c:pt idx="14">
                  <c:v>5.21</c:v>
                </c:pt>
                <c:pt idx="15">
                  <c:v>4.4000000000000004</c:v>
                </c:pt>
                <c:pt idx="16">
                  <c:v>5.5</c:v>
                </c:pt>
                <c:pt idx="17">
                  <c:v>3.45</c:v>
                </c:pt>
                <c:pt idx="18">
                  <c:v>1.8</c:v>
                </c:pt>
                <c:pt idx="19">
                  <c:v>4.125</c:v>
                </c:pt>
              </c:numCache>
            </c:numRef>
          </c:xVal>
          <c:yVal>
            <c:numRef>
              <c:f>'Results - Validation'!$Y$12:$Y$31</c:f>
              <c:numCache>
                <c:formatCode>0.00</c:formatCode>
                <c:ptCount val="20"/>
                <c:pt idx="0">
                  <c:v>2.92369084665058</c:v>
                </c:pt>
                <c:pt idx="1">
                  <c:v>2.9881237591602798</c:v>
                </c:pt>
                <c:pt idx="2">
                  <c:v>3.3311479233332801</c:v>
                </c:pt>
                <c:pt idx="3">
                  <c:v>3.3183303891225</c:v>
                </c:pt>
                <c:pt idx="4">
                  <c:v>4.4040585596459003</c:v>
                </c:pt>
                <c:pt idx="5">
                  <c:v>4.3501024255968499</c:v>
                </c:pt>
                <c:pt idx="6">
                  <c:v>3.1499729280927999</c:v>
                </c:pt>
                <c:pt idx="7">
                  <c:v>5.3826162145677898</c:v>
                </c:pt>
                <c:pt idx="8">
                  <c:v>3.7459056670559798</c:v>
                </c:pt>
                <c:pt idx="9">
                  <c:v>4.3207106599658998</c:v>
                </c:pt>
                <c:pt idx="10">
                  <c:v>4.2313521398241498</c:v>
                </c:pt>
                <c:pt idx="11">
                  <c:v>4.2727700242004296</c:v>
                </c:pt>
                <c:pt idx="12">
                  <c:v>5.6563955624180302</c:v>
                </c:pt>
                <c:pt idx="13">
                  <c:v>4.4473859003965499</c:v>
                </c:pt>
                <c:pt idx="14">
                  <c:v>3.92135538241563</c:v>
                </c:pt>
                <c:pt idx="15">
                  <c:v>4.5181550642566197</c:v>
                </c:pt>
                <c:pt idx="16">
                  <c:v>4.9320437778828898</c:v>
                </c:pt>
                <c:pt idx="17">
                  <c:v>3.8249887241582701</c:v>
                </c:pt>
                <c:pt idx="18">
                  <c:v>1.5212434510155299</c:v>
                </c:pt>
                <c:pt idx="19">
                  <c:v>4.2285072027957504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F-46E2-BA7E-59480D0B1C6A}"/>
            </c:ext>
          </c:extLst>
        </c:ser>
        <c:ser>
          <c:idx val="1"/>
          <c:order val="1"/>
          <c:tx>
            <c:strRef>
              <c:f>'Results - Validation'!$AA$11</c:f>
              <c:strCache>
                <c:ptCount val="1"/>
                <c:pt idx="0">
                  <c:v>Pred. + Bias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 - Validation'!$X$12:$X$31</c:f>
              <c:numCache>
                <c:formatCode>0.00</c:formatCode>
                <c:ptCount val="20"/>
                <c:pt idx="0">
                  <c:v>2.78</c:v>
                </c:pt>
                <c:pt idx="1">
                  <c:v>3.27</c:v>
                </c:pt>
                <c:pt idx="2">
                  <c:v>3.43</c:v>
                </c:pt>
                <c:pt idx="3">
                  <c:v>3.65</c:v>
                </c:pt>
                <c:pt idx="4">
                  <c:v>3.48</c:v>
                </c:pt>
                <c:pt idx="5">
                  <c:v>4.47</c:v>
                </c:pt>
                <c:pt idx="6">
                  <c:v>2.79</c:v>
                </c:pt>
                <c:pt idx="7">
                  <c:v>5.0999999999999996</c:v>
                </c:pt>
                <c:pt idx="8">
                  <c:v>3.4</c:v>
                </c:pt>
                <c:pt idx="9">
                  <c:v>4.41</c:v>
                </c:pt>
                <c:pt idx="10">
                  <c:v>4.54</c:v>
                </c:pt>
                <c:pt idx="11">
                  <c:v>4.4400000000000004</c:v>
                </c:pt>
                <c:pt idx="12">
                  <c:v>4.53</c:v>
                </c:pt>
                <c:pt idx="13">
                  <c:v>5.93</c:v>
                </c:pt>
                <c:pt idx="14">
                  <c:v>5.21</c:v>
                </c:pt>
                <c:pt idx="15">
                  <c:v>4.4000000000000004</c:v>
                </c:pt>
                <c:pt idx="16">
                  <c:v>5.5</c:v>
                </c:pt>
                <c:pt idx="17">
                  <c:v>3.45</c:v>
                </c:pt>
                <c:pt idx="18">
                  <c:v>1.8</c:v>
                </c:pt>
                <c:pt idx="19">
                  <c:v>4.125</c:v>
                </c:pt>
              </c:numCache>
            </c:numRef>
          </c:xVal>
          <c:yVal>
            <c:numRef>
              <c:f>'Results - Validation'!$AA$12:$AA$32</c:f>
              <c:numCache>
                <c:formatCode>0.00</c:formatCode>
                <c:ptCount val="21"/>
                <c:pt idx="0">
                  <c:v>2.9854980165227945</c:v>
                </c:pt>
                <c:pt idx="1">
                  <c:v>3.0499309290324943</c:v>
                </c:pt>
                <c:pt idx="2">
                  <c:v>3.3929550932054946</c:v>
                </c:pt>
                <c:pt idx="3">
                  <c:v>3.3801375589947145</c:v>
                </c:pt>
                <c:pt idx="4">
                  <c:v>4.4658657295181152</c:v>
                </c:pt>
                <c:pt idx="5">
                  <c:v>4.4119095954690648</c:v>
                </c:pt>
                <c:pt idx="6">
                  <c:v>3.2117800979650144</c:v>
                </c:pt>
                <c:pt idx="7">
                  <c:v>5.4444233844400047</c:v>
                </c:pt>
                <c:pt idx="8">
                  <c:v>3.8077128369281943</c:v>
                </c:pt>
                <c:pt idx="9">
                  <c:v>4.3825178298381147</c:v>
                </c:pt>
                <c:pt idx="10">
                  <c:v>4.2931593096963647</c:v>
                </c:pt>
                <c:pt idx="11">
                  <c:v>4.3345771940726445</c:v>
                </c:pt>
                <c:pt idx="12">
                  <c:v>5.7182027322902451</c:v>
                </c:pt>
                <c:pt idx="13">
                  <c:v>4.5091930702687648</c:v>
                </c:pt>
                <c:pt idx="14">
                  <c:v>3.9831625522878444</c:v>
                </c:pt>
                <c:pt idx="15">
                  <c:v>4.5799622341288346</c:v>
                </c:pt>
                <c:pt idx="16">
                  <c:v>4.9938509477551047</c:v>
                </c:pt>
                <c:pt idx="17">
                  <c:v>3.8867958940304845</c:v>
                </c:pt>
                <c:pt idx="18">
                  <c:v>1.5830506208877444</c:v>
                </c:pt>
                <c:pt idx="19">
                  <c:v>4.2903143726679653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F-46E2-BA7E-59480D0B1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972287"/>
        <c:axId val="1661965215"/>
      </c:scatterChart>
      <c:valAx>
        <c:axId val="166197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1965215"/>
        <c:crosses val="autoZero"/>
        <c:crossBetween val="midCat"/>
      </c:valAx>
      <c:valAx>
        <c:axId val="166196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197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NH4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'Results - Validation'!$AF$11</c:f>
              <c:strCache>
                <c:ptCount val="1"/>
                <c:pt idx="0">
                  <c:v>Predictions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- Validation'!$AE$12:$AE$29</c:f>
              <c:numCache>
                <c:formatCode>0.00</c:formatCode>
                <c:ptCount val="18"/>
                <c:pt idx="0">
                  <c:v>1.56</c:v>
                </c:pt>
                <c:pt idx="1">
                  <c:v>1.53</c:v>
                </c:pt>
                <c:pt idx="2">
                  <c:v>1.56</c:v>
                </c:pt>
                <c:pt idx="3">
                  <c:v>1.61</c:v>
                </c:pt>
                <c:pt idx="4">
                  <c:v>1.46</c:v>
                </c:pt>
                <c:pt idx="5">
                  <c:v>1.75</c:v>
                </c:pt>
                <c:pt idx="6">
                  <c:v>1.05</c:v>
                </c:pt>
                <c:pt idx="7">
                  <c:v>1.83</c:v>
                </c:pt>
                <c:pt idx="8">
                  <c:v>1.28</c:v>
                </c:pt>
                <c:pt idx="9">
                  <c:v>1.57</c:v>
                </c:pt>
                <c:pt idx="10">
                  <c:v>1.28</c:v>
                </c:pt>
                <c:pt idx="11">
                  <c:v>1.37</c:v>
                </c:pt>
                <c:pt idx="12">
                  <c:v>1.76</c:v>
                </c:pt>
                <c:pt idx="13">
                  <c:v>1.3</c:v>
                </c:pt>
                <c:pt idx="14">
                  <c:v>1.6</c:v>
                </c:pt>
                <c:pt idx="15">
                  <c:v>0.95</c:v>
                </c:pt>
                <c:pt idx="16">
                  <c:v>0.65</c:v>
                </c:pt>
                <c:pt idx="17">
                  <c:v>1.2</c:v>
                </c:pt>
              </c:numCache>
            </c:numRef>
          </c:xVal>
          <c:yVal>
            <c:numRef>
              <c:f>'Results - Validation'!$AF$12:$AF$29</c:f>
              <c:numCache>
                <c:formatCode>0.00</c:formatCode>
                <c:ptCount val="18"/>
                <c:pt idx="0">
                  <c:v>1.5272435753447899</c:v>
                </c:pt>
                <c:pt idx="1">
                  <c:v>1.5177978922050199</c:v>
                </c:pt>
                <c:pt idx="2">
                  <c:v>1.5375710351995</c:v>
                </c:pt>
                <c:pt idx="3">
                  <c:v>1.6123623609636499</c:v>
                </c:pt>
                <c:pt idx="4">
                  <c:v>1.6013205912744699</c:v>
                </c:pt>
                <c:pt idx="5">
                  <c:v>1.4723950770566601</c:v>
                </c:pt>
                <c:pt idx="6">
                  <c:v>0.97614305682466695</c:v>
                </c:pt>
                <c:pt idx="7">
                  <c:v>1.8778243791523599</c:v>
                </c:pt>
                <c:pt idx="8">
                  <c:v>1.38042871847578</c:v>
                </c:pt>
                <c:pt idx="9">
                  <c:v>1.50781485006939</c:v>
                </c:pt>
                <c:pt idx="10">
                  <c:v>1.38951273817315</c:v>
                </c:pt>
                <c:pt idx="11">
                  <c:v>1.2805284022108401</c:v>
                </c:pt>
                <c:pt idx="12">
                  <c:v>1.8081353728132901</c:v>
                </c:pt>
                <c:pt idx="13">
                  <c:v>1.2785554198051601</c:v>
                </c:pt>
                <c:pt idx="14">
                  <c:v>1.2601323574232099</c:v>
                </c:pt>
                <c:pt idx="15">
                  <c:v>1.1230772522447501</c:v>
                </c:pt>
                <c:pt idx="16">
                  <c:v>0.77927834673391005</c:v>
                </c:pt>
                <c:pt idx="17">
                  <c:v>0.92314877381842197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8-4DF4-8519-50C81526E772}"/>
            </c:ext>
          </c:extLst>
        </c:ser>
        <c:ser>
          <c:idx val="1"/>
          <c:order val="1"/>
          <c:tx>
            <c:strRef>
              <c:f>'Results - Validation'!$AH$11</c:f>
              <c:strCache>
                <c:ptCount val="1"/>
                <c:pt idx="0">
                  <c:v>Pred. + Bias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 - Validation'!$AE$12:$AE$29</c:f>
              <c:numCache>
                <c:formatCode>0.00</c:formatCode>
                <c:ptCount val="18"/>
                <c:pt idx="0">
                  <c:v>1.56</c:v>
                </c:pt>
                <c:pt idx="1">
                  <c:v>1.53</c:v>
                </c:pt>
                <c:pt idx="2">
                  <c:v>1.56</c:v>
                </c:pt>
                <c:pt idx="3">
                  <c:v>1.61</c:v>
                </c:pt>
                <c:pt idx="4">
                  <c:v>1.46</c:v>
                </c:pt>
                <c:pt idx="5">
                  <c:v>1.75</c:v>
                </c:pt>
                <c:pt idx="6">
                  <c:v>1.05</c:v>
                </c:pt>
                <c:pt idx="7">
                  <c:v>1.83</c:v>
                </c:pt>
                <c:pt idx="8">
                  <c:v>1.28</c:v>
                </c:pt>
                <c:pt idx="9">
                  <c:v>1.57</c:v>
                </c:pt>
                <c:pt idx="10">
                  <c:v>1.28</c:v>
                </c:pt>
                <c:pt idx="11">
                  <c:v>1.37</c:v>
                </c:pt>
                <c:pt idx="12">
                  <c:v>1.76</c:v>
                </c:pt>
                <c:pt idx="13">
                  <c:v>1.3</c:v>
                </c:pt>
                <c:pt idx="14">
                  <c:v>1.6</c:v>
                </c:pt>
                <c:pt idx="15">
                  <c:v>0.95</c:v>
                </c:pt>
                <c:pt idx="16">
                  <c:v>0.65</c:v>
                </c:pt>
                <c:pt idx="17">
                  <c:v>1.2</c:v>
                </c:pt>
              </c:numCache>
            </c:numRef>
          </c:xVal>
          <c:yVal>
            <c:numRef>
              <c:f>'Results - Validation'!$AH$12:$AH$29</c:f>
              <c:numCache>
                <c:formatCode>0.00</c:formatCode>
                <c:ptCount val="18"/>
                <c:pt idx="0">
                  <c:v>1.5526174531342889</c:v>
                </c:pt>
                <c:pt idx="1">
                  <c:v>1.5431717699945189</c:v>
                </c:pt>
                <c:pt idx="2">
                  <c:v>1.562944912988999</c:v>
                </c:pt>
                <c:pt idx="3">
                  <c:v>1.6377362387531489</c:v>
                </c:pt>
                <c:pt idx="4">
                  <c:v>1.6266944690639689</c:v>
                </c:pt>
                <c:pt idx="5">
                  <c:v>1.497768954846159</c:v>
                </c:pt>
                <c:pt idx="6">
                  <c:v>1.0015169346141659</c:v>
                </c:pt>
                <c:pt idx="7">
                  <c:v>1.9031982569418588</c:v>
                </c:pt>
                <c:pt idx="8">
                  <c:v>1.4058025962652789</c:v>
                </c:pt>
                <c:pt idx="9">
                  <c:v>1.5331887278588889</c:v>
                </c:pt>
                <c:pt idx="10">
                  <c:v>1.414886615962649</c:v>
                </c:pt>
                <c:pt idx="11">
                  <c:v>1.305902280000339</c:v>
                </c:pt>
                <c:pt idx="12">
                  <c:v>1.833509250602789</c:v>
                </c:pt>
                <c:pt idx="13">
                  <c:v>1.303929297594659</c:v>
                </c:pt>
                <c:pt idx="14">
                  <c:v>1.2855062352127089</c:v>
                </c:pt>
                <c:pt idx="15">
                  <c:v>1.148451130034249</c:v>
                </c:pt>
                <c:pt idx="16">
                  <c:v>0.80465222452340901</c:v>
                </c:pt>
                <c:pt idx="17">
                  <c:v>0.94852265160792093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8-4DF4-8519-50C81526E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766351"/>
        <c:axId val="1798768847"/>
      </c:scatterChart>
      <c:valAx>
        <c:axId val="179876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8768847"/>
        <c:crosses val="autoZero"/>
        <c:crossBetween val="midCat"/>
      </c:valAx>
      <c:valAx>
        <c:axId val="179876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876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Robustezza!$B$40</c:f>
              <c:strCache>
                <c:ptCount val="1"/>
                <c:pt idx="0">
                  <c:v>MASTER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Robustezza!$E$42:$E$53</c:f>
              <c:numCache>
                <c:formatCode>0.00</c:formatCode>
                <c:ptCount val="12"/>
                <c:pt idx="0">
                  <c:v>2.0537973886994201</c:v>
                </c:pt>
                <c:pt idx="1">
                  <c:v>1.18954690872936</c:v>
                </c:pt>
                <c:pt idx="2">
                  <c:v>1.5565674313764799</c:v>
                </c:pt>
                <c:pt idx="3">
                  <c:v>1.88129238955609</c:v>
                </c:pt>
                <c:pt idx="4">
                  <c:v>1.97472381987704</c:v>
                </c:pt>
                <c:pt idx="5">
                  <c:v>1.50252458753633</c:v>
                </c:pt>
                <c:pt idx="6">
                  <c:v>1.85984740326482</c:v>
                </c:pt>
                <c:pt idx="7">
                  <c:v>2.1507489502166699</c:v>
                </c:pt>
                <c:pt idx="8">
                  <c:v>1.86426785876298</c:v>
                </c:pt>
                <c:pt idx="9">
                  <c:v>1.7320322532074299</c:v>
                </c:pt>
                <c:pt idx="10">
                  <c:v>0.78514953941033006</c:v>
                </c:pt>
                <c:pt idx="11">
                  <c:v>1.4108071761583501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5-4DFC-90E3-7EAC1F025C21}"/>
            </c:ext>
          </c:extLst>
        </c:ser>
        <c:ser>
          <c:idx val="1"/>
          <c:order val="1"/>
          <c:tx>
            <c:strRef>
              <c:f>[1]Robustezza!$J$95</c:f>
              <c:strCache>
                <c:ptCount val="1"/>
                <c:pt idx="0">
                  <c:v>189009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[1]Robustezza!$M$97:$M$108</c:f>
              <c:numCache>
                <c:formatCode>General</c:formatCode>
                <c:ptCount val="12"/>
                <c:pt idx="0">
                  <c:v>1.9924146713027699</c:v>
                </c:pt>
                <c:pt idx="1">
                  <c:v>1.3156266813167801</c:v>
                </c:pt>
                <c:pt idx="2">
                  <c:v>1.6475198982113599</c:v>
                </c:pt>
                <c:pt idx="3">
                  <c:v>1.8177756206284801</c:v>
                </c:pt>
                <c:pt idx="4">
                  <c:v>1.89495445880974</c:v>
                </c:pt>
                <c:pt idx="5">
                  <c:v>1.55551591333145</c:v>
                </c:pt>
                <c:pt idx="6">
                  <c:v>1.9167515267527599</c:v>
                </c:pt>
                <c:pt idx="7">
                  <c:v>2.14473990282838</c:v>
                </c:pt>
                <c:pt idx="8">
                  <c:v>2.0514126798295602</c:v>
                </c:pt>
                <c:pt idx="9">
                  <c:v>1.81511494993042</c:v>
                </c:pt>
                <c:pt idx="10">
                  <c:v>0.78398862530995606</c:v>
                </c:pt>
                <c:pt idx="11">
                  <c:v>1.48474658655502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5-4DFC-90E3-7EAC1F025C21}"/>
            </c:ext>
          </c:extLst>
        </c:ser>
        <c:ser>
          <c:idx val="2"/>
          <c:order val="2"/>
          <c:tx>
            <c:strRef>
              <c:f>Robustezza!$R$40</c:f>
              <c:strCache>
                <c:ptCount val="1"/>
                <c:pt idx="0">
                  <c:v>189013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Robustezza!$U$42:$U$53</c:f>
              <c:numCache>
                <c:formatCode>0.00</c:formatCode>
                <c:ptCount val="12"/>
                <c:pt idx="0">
                  <c:v>2.0966409503575099</c:v>
                </c:pt>
                <c:pt idx="1">
                  <c:v>1.16135162491609</c:v>
                </c:pt>
                <c:pt idx="2">
                  <c:v>1.4671931944550201</c:v>
                </c:pt>
                <c:pt idx="3">
                  <c:v>1.9088900095946599</c:v>
                </c:pt>
                <c:pt idx="4">
                  <c:v>2.01662707852195</c:v>
                </c:pt>
                <c:pt idx="5">
                  <c:v>1.49377495664472</c:v>
                </c:pt>
                <c:pt idx="6">
                  <c:v>1.86685632002323</c:v>
                </c:pt>
                <c:pt idx="7">
                  <c:v>2.1922012397174799</c:v>
                </c:pt>
                <c:pt idx="8">
                  <c:v>1.8209952692726801</c:v>
                </c:pt>
                <c:pt idx="9">
                  <c:v>1.7906412467545201</c:v>
                </c:pt>
                <c:pt idx="10">
                  <c:v>0.70686562075324</c:v>
                </c:pt>
                <c:pt idx="11">
                  <c:v>1.4308565598959699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E5-4DFC-90E3-7EAC1F025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239519"/>
        <c:axId val="1986256159"/>
      </c:lineChart>
      <c:catAx>
        <c:axId val="1986239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6256159"/>
        <c:crosses val="autoZero"/>
        <c:auto val="1"/>
        <c:lblAlgn val="ctr"/>
        <c:lblOffset val="100"/>
        <c:noMultiLvlLbl val="0"/>
      </c:catAx>
      <c:valAx>
        <c:axId val="198625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623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 DM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4.3739422803567664E-2"/>
          <c:y val="6.3646093284775551E-2"/>
          <c:w val="0.93320884034108398"/>
          <c:h val="0.8180600895654748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Robustezza!$C$42:$C$53</c:f>
              <c:numCache>
                <c:formatCode>0.00</c:formatCode>
                <c:ptCount val="12"/>
                <c:pt idx="0">
                  <c:v>10.1288780222715</c:v>
                </c:pt>
                <c:pt idx="1">
                  <c:v>7.064316199047</c:v>
                </c:pt>
                <c:pt idx="2">
                  <c:v>8.8212490344883392</c:v>
                </c:pt>
                <c:pt idx="3">
                  <c:v>10.981454643329</c:v>
                </c:pt>
                <c:pt idx="4">
                  <c:v>11.855123790419899</c:v>
                </c:pt>
                <c:pt idx="5">
                  <c:v>9.2063985071420102</c:v>
                </c:pt>
                <c:pt idx="6">
                  <c:v>8.5817094027306506</c:v>
                </c:pt>
                <c:pt idx="7">
                  <c:v>11.2424546832864</c:v>
                </c:pt>
                <c:pt idx="8">
                  <c:v>7.9187189832926101</c:v>
                </c:pt>
                <c:pt idx="9">
                  <c:v>8.5104075456276398</c:v>
                </c:pt>
                <c:pt idx="10">
                  <c:v>5.5954845112685003</c:v>
                </c:pt>
                <c:pt idx="11">
                  <c:v>7.6821402199184101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E-4598-B51D-B0A762AAFD7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[1]Robustezza!$K$97:$K$108</c:f>
              <c:numCache>
                <c:formatCode>General</c:formatCode>
                <c:ptCount val="12"/>
                <c:pt idx="0">
                  <c:v>10.063150672725399</c:v>
                </c:pt>
                <c:pt idx="1">
                  <c:v>8.2084511414609906</c:v>
                </c:pt>
                <c:pt idx="2">
                  <c:v>9.2830473111084899</c:v>
                </c:pt>
                <c:pt idx="3">
                  <c:v>10.5134439531694</c:v>
                </c:pt>
                <c:pt idx="4">
                  <c:v>11.6022993410336</c:v>
                </c:pt>
                <c:pt idx="5">
                  <c:v>9.6020195516920399</c:v>
                </c:pt>
                <c:pt idx="6">
                  <c:v>8.8219486392611799</c:v>
                </c:pt>
                <c:pt idx="7">
                  <c:v>10.9092747567516</c:v>
                </c:pt>
                <c:pt idx="8">
                  <c:v>8.6070645160413495</c:v>
                </c:pt>
                <c:pt idx="9">
                  <c:v>8.5715415767745498</c:v>
                </c:pt>
                <c:pt idx="10">
                  <c:v>5.53200184187485</c:v>
                </c:pt>
                <c:pt idx="11">
                  <c:v>8.0433833173610196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E-4598-B51D-B0A762AAFD7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Robustezza!$S$42:$S$53</c:f>
              <c:numCache>
                <c:formatCode>0.00</c:formatCode>
                <c:ptCount val="12"/>
                <c:pt idx="0">
                  <c:v>10.2461580445786</c:v>
                </c:pt>
                <c:pt idx="1">
                  <c:v>7.1449573414706702</c:v>
                </c:pt>
                <c:pt idx="2">
                  <c:v>8.3926454232926506</c:v>
                </c:pt>
                <c:pt idx="3">
                  <c:v>10.990798498620199</c:v>
                </c:pt>
                <c:pt idx="4">
                  <c:v>12.0305286440468</c:v>
                </c:pt>
                <c:pt idx="5">
                  <c:v>8.9266071385905104</c:v>
                </c:pt>
                <c:pt idx="6">
                  <c:v>8.3621880425233499</c:v>
                </c:pt>
                <c:pt idx="7">
                  <c:v>11.3896949160104</c:v>
                </c:pt>
                <c:pt idx="8">
                  <c:v>7.6187250132159399</c:v>
                </c:pt>
                <c:pt idx="9">
                  <c:v>8.7333985015879101</c:v>
                </c:pt>
                <c:pt idx="10">
                  <c:v>5.2003200199219801</c:v>
                </c:pt>
                <c:pt idx="11">
                  <c:v>7.5445208705381104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5E-4598-B51D-B0A762AAFD7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Robustezza!$AA$42:$AA$53</c:f>
              <c:numCache>
                <c:formatCode>0.00</c:formatCode>
                <c:ptCount val="12"/>
                <c:pt idx="0">
                  <c:v>10.646774353320399</c:v>
                </c:pt>
                <c:pt idx="1">
                  <c:v>6.4883795283348302</c:v>
                </c:pt>
                <c:pt idx="2">
                  <c:v>7.93215885840059</c:v>
                </c:pt>
                <c:pt idx="3">
                  <c:v>11.417627663411199</c:v>
                </c:pt>
                <c:pt idx="4">
                  <c:v>12.1355286522429</c:v>
                </c:pt>
                <c:pt idx="5">
                  <c:v>9.3213870807930199</c:v>
                </c:pt>
                <c:pt idx="6">
                  <c:v>8.6004182620280094</c:v>
                </c:pt>
                <c:pt idx="7">
                  <c:v>11.821492883331601</c:v>
                </c:pt>
                <c:pt idx="8">
                  <c:v>6.4133120361851104</c:v>
                </c:pt>
                <c:pt idx="9">
                  <c:v>8.8188077008773398</c:v>
                </c:pt>
                <c:pt idx="10">
                  <c:v>5.0147862908140901</c:v>
                </c:pt>
                <c:pt idx="11">
                  <c:v>7.5250906126144601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5E-4598-B51D-B0A762AAFD7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Robustezza!$AI$42:$AI$53</c:f>
              <c:numCache>
                <c:formatCode>0.00</c:formatCode>
                <c:ptCount val="12"/>
                <c:pt idx="0">
                  <c:v>9.9565616688241008</c:v>
                </c:pt>
                <c:pt idx="1">
                  <c:v>7.2389612638326799</c:v>
                </c:pt>
                <c:pt idx="2">
                  <c:v>8.79824846808547</c:v>
                </c:pt>
                <c:pt idx="3">
                  <c:v>10.72054478504</c:v>
                </c:pt>
                <c:pt idx="4">
                  <c:v>11.6810880024345</c:v>
                </c:pt>
                <c:pt idx="5">
                  <c:v>9.7025612788720501</c:v>
                </c:pt>
                <c:pt idx="6">
                  <c:v>8.5117294473130798</c:v>
                </c:pt>
                <c:pt idx="7">
                  <c:v>11.013309964282399</c:v>
                </c:pt>
                <c:pt idx="8">
                  <c:v>7.9921089191753696</c:v>
                </c:pt>
                <c:pt idx="9">
                  <c:v>8.3782164622188091</c:v>
                </c:pt>
                <c:pt idx="10">
                  <c:v>4.7224668362563502</c:v>
                </c:pt>
                <c:pt idx="11">
                  <c:v>7.82547775262179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5E-4598-B51D-B0A762AAF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Robustezza!$D$42:$D$53</c:f>
              <c:numCache>
                <c:formatCode>0.00</c:formatCode>
                <c:ptCount val="12"/>
                <c:pt idx="0">
                  <c:v>4.3386070562597396</c:v>
                </c:pt>
                <c:pt idx="1">
                  <c:v>2.9540000236636099</c:v>
                </c:pt>
                <c:pt idx="2">
                  <c:v>3.0817454365407899</c:v>
                </c:pt>
                <c:pt idx="3">
                  <c:v>4.0009990971763196</c:v>
                </c:pt>
                <c:pt idx="4">
                  <c:v>4.1439847208334699</c:v>
                </c:pt>
                <c:pt idx="5">
                  <c:v>3.3512046183917201</c:v>
                </c:pt>
                <c:pt idx="6">
                  <c:v>3.84308726285321</c:v>
                </c:pt>
                <c:pt idx="7">
                  <c:v>3.9807450060468499</c:v>
                </c:pt>
                <c:pt idx="8">
                  <c:v>3.4055597590788902</c:v>
                </c:pt>
                <c:pt idx="9">
                  <c:v>3.3417696379379702</c:v>
                </c:pt>
                <c:pt idx="10">
                  <c:v>2.15730711752733</c:v>
                </c:pt>
                <c:pt idx="11">
                  <c:v>2.9479060558892098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7-47E3-B0A2-9C67C916DE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[1]Robustezza!$L$97:$L$108</c:f>
              <c:numCache>
                <c:formatCode>General</c:formatCode>
                <c:ptCount val="12"/>
                <c:pt idx="0">
                  <c:v>4.1725078331136896</c:v>
                </c:pt>
                <c:pt idx="1">
                  <c:v>2.86513904359136</c:v>
                </c:pt>
                <c:pt idx="2">
                  <c:v>3.1837260019523401</c:v>
                </c:pt>
                <c:pt idx="3">
                  <c:v>3.8248858974764399</c:v>
                </c:pt>
                <c:pt idx="4">
                  <c:v>3.9765692536929702</c:v>
                </c:pt>
                <c:pt idx="5">
                  <c:v>3.3026936249632102</c:v>
                </c:pt>
                <c:pt idx="6">
                  <c:v>3.9350071177933201</c:v>
                </c:pt>
                <c:pt idx="7">
                  <c:v>4.0753628259546399</c:v>
                </c:pt>
                <c:pt idx="8">
                  <c:v>3.85061317772879</c:v>
                </c:pt>
                <c:pt idx="9">
                  <c:v>3.5652367285726099</c:v>
                </c:pt>
                <c:pt idx="10">
                  <c:v>2.1085107163732602</c:v>
                </c:pt>
                <c:pt idx="11">
                  <c:v>3.0738212680313999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B7-47E3-B0A2-9C67C916DE4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Robustezza!$T$42:$T$53</c:f>
              <c:numCache>
                <c:formatCode>0.00</c:formatCode>
                <c:ptCount val="12"/>
                <c:pt idx="0">
                  <c:v>4.4298532877105901</c:v>
                </c:pt>
                <c:pt idx="1">
                  <c:v>2.8160702502972899</c:v>
                </c:pt>
                <c:pt idx="2">
                  <c:v>2.93463043440364</c:v>
                </c:pt>
                <c:pt idx="3">
                  <c:v>4.0327294426221201</c:v>
                </c:pt>
                <c:pt idx="4">
                  <c:v>4.2300236710964203</c:v>
                </c:pt>
                <c:pt idx="5">
                  <c:v>3.44477057297747</c:v>
                </c:pt>
                <c:pt idx="6">
                  <c:v>3.8516178820048901</c:v>
                </c:pt>
                <c:pt idx="7">
                  <c:v>4.09324575836182</c:v>
                </c:pt>
                <c:pt idx="8">
                  <c:v>3.4210876326996802</c:v>
                </c:pt>
                <c:pt idx="9">
                  <c:v>3.4786181354474199</c:v>
                </c:pt>
                <c:pt idx="10">
                  <c:v>1.96088386003753</c:v>
                </c:pt>
                <c:pt idx="11">
                  <c:v>2.9367894343593899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B7-47E3-B0A2-9C67C916DE4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Robustezza!$AB$42:$AB$53</c:f>
              <c:numCache>
                <c:formatCode>0.00</c:formatCode>
                <c:ptCount val="12"/>
                <c:pt idx="0">
                  <c:v>4.1874910090208699</c:v>
                </c:pt>
                <c:pt idx="1">
                  <c:v>3.06662106738318</c:v>
                </c:pt>
                <c:pt idx="2">
                  <c:v>2.8756149271059299</c:v>
                </c:pt>
                <c:pt idx="3">
                  <c:v>3.8182479498142299</c:v>
                </c:pt>
                <c:pt idx="4">
                  <c:v>3.8919084816220599</c:v>
                </c:pt>
                <c:pt idx="5">
                  <c:v>3.4508319321773699</c:v>
                </c:pt>
                <c:pt idx="6">
                  <c:v>3.7019874611120498</c:v>
                </c:pt>
                <c:pt idx="7">
                  <c:v>3.75710197838599</c:v>
                </c:pt>
                <c:pt idx="8">
                  <c:v>3.0583968816565501</c:v>
                </c:pt>
                <c:pt idx="9">
                  <c:v>3.2299639165627898</c:v>
                </c:pt>
                <c:pt idx="10">
                  <c:v>2.09488652747552</c:v>
                </c:pt>
                <c:pt idx="11">
                  <c:v>2.9838625178012301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B7-47E3-B0A2-9C67C916DE4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Robustezza!$AJ$42:$AJ$53</c:f>
              <c:numCache>
                <c:formatCode>0.00</c:formatCode>
                <c:ptCount val="12"/>
                <c:pt idx="0">
                  <c:v>4.1212096473857596</c:v>
                </c:pt>
                <c:pt idx="1">
                  <c:v>2.99179290899911</c:v>
                </c:pt>
                <c:pt idx="2">
                  <c:v>2.9490052600210102</c:v>
                </c:pt>
                <c:pt idx="3">
                  <c:v>3.9555382891395201</c:v>
                </c:pt>
                <c:pt idx="4">
                  <c:v>4.2073302959046996</c:v>
                </c:pt>
                <c:pt idx="5">
                  <c:v>3.21374080399635</c:v>
                </c:pt>
                <c:pt idx="6">
                  <c:v>3.5938137555432799</c:v>
                </c:pt>
                <c:pt idx="7">
                  <c:v>3.8185573943511102</c:v>
                </c:pt>
                <c:pt idx="8">
                  <c:v>3.2211167945170902</c:v>
                </c:pt>
                <c:pt idx="9">
                  <c:v>3.16686792501284</c:v>
                </c:pt>
                <c:pt idx="10">
                  <c:v>2.1475831742418698</c:v>
                </c:pt>
                <c:pt idx="11">
                  <c:v>2.90363172868885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B7-47E3-B0A2-9C67C916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</a:t>
            </a:r>
            <a:r>
              <a:rPr lang="it-IT" baseline="0"/>
              <a:t> - P2O5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Robustezza!$E$42:$E$53</c:f>
              <c:numCache>
                <c:formatCode>0.00</c:formatCode>
                <c:ptCount val="12"/>
                <c:pt idx="0">
                  <c:v>2.0537973886994201</c:v>
                </c:pt>
                <c:pt idx="1">
                  <c:v>1.18954690872936</c:v>
                </c:pt>
                <c:pt idx="2">
                  <c:v>1.5565674313764799</c:v>
                </c:pt>
                <c:pt idx="3">
                  <c:v>1.88129238955609</c:v>
                </c:pt>
                <c:pt idx="4">
                  <c:v>1.97472381987704</c:v>
                </c:pt>
                <c:pt idx="5">
                  <c:v>1.50252458753633</c:v>
                </c:pt>
                <c:pt idx="6">
                  <c:v>1.85984740326482</c:v>
                </c:pt>
                <c:pt idx="7">
                  <c:v>2.1507489502166699</c:v>
                </c:pt>
                <c:pt idx="8">
                  <c:v>1.86426785876298</c:v>
                </c:pt>
                <c:pt idx="9">
                  <c:v>1.7320322532074299</c:v>
                </c:pt>
                <c:pt idx="10">
                  <c:v>0.78514953941033006</c:v>
                </c:pt>
                <c:pt idx="11">
                  <c:v>1.4108071761583501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1-4BC0-833D-2D0E94AF78C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[1]Robustezza!$M$97:$M$108</c:f>
              <c:numCache>
                <c:formatCode>General</c:formatCode>
                <c:ptCount val="12"/>
                <c:pt idx="0">
                  <c:v>1.9924146713027699</c:v>
                </c:pt>
                <c:pt idx="1">
                  <c:v>1.3156266813167801</c:v>
                </c:pt>
                <c:pt idx="2">
                  <c:v>1.6475198982113599</c:v>
                </c:pt>
                <c:pt idx="3">
                  <c:v>1.8177756206284801</c:v>
                </c:pt>
                <c:pt idx="4">
                  <c:v>1.89495445880974</c:v>
                </c:pt>
                <c:pt idx="5">
                  <c:v>1.55551591333145</c:v>
                </c:pt>
                <c:pt idx="6">
                  <c:v>1.9167515267527599</c:v>
                </c:pt>
                <c:pt idx="7">
                  <c:v>2.14473990282838</c:v>
                </c:pt>
                <c:pt idx="8">
                  <c:v>2.0514126798295602</c:v>
                </c:pt>
                <c:pt idx="9">
                  <c:v>1.81511494993042</c:v>
                </c:pt>
                <c:pt idx="10">
                  <c:v>0.78398862530995606</c:v>
                </c:pt>
                <c:pt idx="11">
                  <c:v>1.48474658655502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51-4BC0-833D-2D0E94AF78C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Robustezza!$U$42:$U$53</c:f>
              <c:numCache>
                <c:formatCode>0.00</c:formatCode>
                <c:ptCount val="12"/>
                <c:pt idx="0">
                  <c:v>2.0966409503575099</c:v>
                </c:pt>
                <c:pt idx="1">
                  <c:v>1.16135162491609</c:v>
                </c:pt>
                <c:pt idx="2">
                  <c:v>1.4671931944550201</c:v>
                </c:pt>
                <c:pt idx="3">
                  <c:v>1.9088900095946599</c:v>
                </c:pt>
                <c:pt idx="4">
                  <c:v>2.01662707852195</c:v>
                </c:pt>
                <c:pt idx="5">
                  <c:v>1.49377495664472</c:v>
                </c:pt>
                <c:pt idx="6">
                  <c:v>1.86685632002323</c:v>
                </c:pt>
                <c:pt idx="7">
                  <c:v>2.1922012397174799</c:v>
                </c:pt>
                <c:pt idx="8">
                  <c:v>1.8209952692726801</c:v>
                </c:pt>
                <c:pt idx="9">
                  <c:v>1.7906412467545201</c:v>
                </c:pt>
                <c:pt idx="10">
                  <c:v>0.70686562075324</c:v>
                </c:pt>
                <c:pt idx="11">
                  <c:v>1.4308565598959699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51-4BC0-833D-2D0E94AF78C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Robustezza!$AC$42:$AC$53</c:f>
              <c:numCache>
                <c:formatCode>0.00</c:formatCode>
                <c:ptCount val="12"/>
                <c:pt idx="0">
                  <c:v>2.0905321489111701</c:v>
                </c:pt>
                <c:pt idx="1">
                  <c:v>1.1386372293560101</c:v>
                </c:pt>
                <c:pt idx="2">
                  <c:v>1.3679126840223901</c:v>
                </c:pt>
                <c:pt idx="3">
                  <c:v>1.89627795226356</c:v>
                </c:pt>
                <c:pt idx="4">
                  <c:v>1.96290051647805</c:v>
                </c:pt>
                <c:pt idx="5">
                  <c:v>1.4738907276944999</c:v>
                </c:pt>
                <c:pt idx="6">
                  <c:v>1.88537078132753</c:v>
                </c:pt>
                <c:pt idx="7">
                  <c:v>2.1942558794903402</c:v>
                </c:pt>
                <c:pt idx="8">
                  <c:v>1.6180518654801599</c:v>
                </c:pt>
                <c:pt idx="9">
                  <c:v>1.7322139666604399</c:v>
                </c:pt>
                <c:pt idx="10">
                  <c:v>0.80086796554951301</c:v>
                </c:pt>
                <c:pt idx="11">
                  <c:v>1.4321145674518401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51-4BC0-833D-2D0E94AF78C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Robustezza!$AK$42:$AK$53</c:f>
              <c:numCache>
                <c:formatCode>0.00</c:formatCode>
                <c:ptCount val="12"/>
                <c:pt idx="0">
                  <c:v>1.99909849732348</c:v>
                </c:pt>
                <c:pt idx="1">
                  <c:v>1.2356739559201699</c:v>
                </c:pt>
                <c:pt idx="2">
                  <c:v>1.53637827333832</c:v>
                </c:pt>
                <c:pt idx="3">
                  <c:v>1.84624973353179</c:v>
                </c:pt>
                <c:pt idx="4">
                  <c:v>1.95697018102913</c:v>
                </c:pt>
                <c:pt idx="5">
                  <c:v>1.5349239921973801</c:v>
                </c:pt>
                <c:pt idx="6">
                  <c:v>1.83994771658161</c:v>
                </c:pt>
                <c:pt idx="7">
                  <c:v>2.1297364915611801</c:v>
                </c:pt>
                <c:pt idx="8">
                  <c:v>1.9001409391411901</c:v>
                </c:pt>
                <c:pt idx="9">
                  <c:v>1.73366585128926</c:v>
                </c:pt>
                <c:pt idx="10">
                  <c:v>0.70219488622940696</c:v>
                </c:pt>
                <c:pt idx="11">
                  <c:v>1.4328750914705799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51-4BC0-833D-2D0E94AF7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 K2O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Robustezza!$F$42:$F$53</c:f>
              <c:numCache>
                <c:formatCode>0.00</c:formatCode>
                <c:ptCount val="12"/>
                <c:pt idx="0">
                  <c:v>4.1901515080265899</c:v>
                </c:pt>
                <c:pt idx="1">
                  <c:v>2.74561166645963</c:v>
                </c:pt>
                <c:pt idx="2">
                  <c:v>3.2453837882965502</c:v>
                </c:pt>
                <c:pt idx="3">
                  <c:v>4.3790705558952698</c:v>
                </c:pt>
                <c:pt idx="4">
                  <c:v>4.7297358693195104</c:v>
                </c:pt>
                <c:pt idx="5">
                  <c:v>1.9955456143217101</c:v>
                </c:pt>
                <c:pt idx="6">
                  <c:v>3.4978947945492802</c:v>
                </c:pt>
                <c:pt idx="7">
                  <c:v>5.1056768791412797</c:v>
                </c:pt>
                <c:pt idx="8">
                  <c:v>4.8304916982373802</c:v>
                </c:pt>
                <c:pt idx="9">
                  <c:v>5.2000796814046701</c:v>
                </c:pt>
                <c:pt idx="10">
                  <c:v>2.0473995983712698</c:v>
                </c:pt>
                <c:pt idx="11">
                  <c:v>2.9518138086938999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F-4128-996F-E06A3E6DE90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[1]Robustezza!$N$97:$N$108</c:f>
              <c:numCache>
                <c:formatCode>General</c:formatCode>
                <c:ptCount val="12"/>
                <c:pt idx="0">
                  <c:v>3.9793883067623601</c:v>
                </c:pt>
                <c:pt idx="1">
                  <c:v>2.9204699691911902</c:v>
                </c:pt>
                <c:pt idx="2">
                  <c:v>3.4043655553207901</c:v>
                </c:pt>
                <c:pt idx="3">
                  <c:v>4.1033303166661099</c:v>
                </c:pt>
                <c:pt idx="4">
                  <c:v>4.33726221893785</c:v>
                </c:pt>
                <c:pt idx="5">
                  <c:v>1.7846012572857599</c:v>
                </c:pt>
                <c:pt idx="6">
                  <c:v>3.5744584711194101</c:v>
                </c:pt>
                <c:pt idx="7">
                  <c:v>5.27178124457759</c:v>
                </c:pt>
                <c:pt idx="8">
                  <c:v>5.6802983319477098</c:v>
                </c:pt>
                <c:pt idx="9">
                  <c:v>5.3537138221752398</c:v>
                </c:pt>
                <c:pt idx="10">
                  <c:v>1.9948506529128001</c:v>
                </c:pt>
                <c:pt idx="11">
                  <c:v>3.0727568165445902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F-4128-996F-E06A3E6DE90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Robustezza!$V$42:$V$53</c:f>
              <c:numCache>
                <c:formatCode>0.00</c:formatCode>
                <c:ptCount val="12"/>
                <c:pt idx="0">
                  <c:v>4.2291997672822399</c:v>
                </c:pt>
                <c:pt idx="1">
                  <c:v>2.7158011596202298</c:v>
                </c:pt>
                <c:pt idx="2">
                  <c:v>2.9324566744530598</c:v>
                </c:pt>
                <c:pt idx="3">
                  <c:v>4.33014557919872</c:v>
                </c:pt>
                <c:pt idx="4">
                  <c:v>4.8057929534210704</c:v>
                </c:pt>
                <c:pt idx="5">
                  <c:v>2.22208927532431</c:v>
                </c:pt>
                <c:pt idx="6">
                  <c:v>3.5549993433149898</c:v>
                </c:pt>
                <c:pt idx="7">
                  <c:v>5.2936875537736698</c:v>
                </c:pt>
                <c:pt idx="8">
                  <c:v>4.6275175687440999</c:v>
                </c:pt>
                <c:pt idx="9">
                  <c:v>5.4885969361564202</c:v>
                </c:pt>
                <c:pt idx="10">
                  <c:v>1.8290235652449101</c:v>
                </c:pt>
                <c:pt idx="11">
                  <c:v>2.8293779040879499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CF-4128-996F-E06A3E6DE90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Robustezza!$AD$42:$AD$53</c:f>
              <c:numCache>
                <c:formatCode>0.00</c:formatCode>
                <c:ptCount val="12"/>
                <c:pt idx="0">
                  <c:v>4.50358022362113</c:v>
                </c:pt>
                <c:pt idx="1">
                  <c:v>2.7487626843163802</c:v>
                </c:pt>
                <c:pt idx="2">
                  <c:v>2.81468726509509</c:v>
                </c:pt>
                <c:pt idx="3">
                  <c:v>4.7944628565127996</c:v>
                </c:pt>
                <c:pt idx="4">
                  <c:v>5.1344999545905097</c:v>
                </c:pt>
                <c:pt idx="5">
                  <c:v>2.5442516452081398</c:v>
                </c:pt>
                <c:pt idx="6">
                  <c:v>3.6704013750166702</c:v>
                </c:pt>
                <c:pt idx="7">
                  <c:v>5.6486181148664496</c:v>
                </c:pt>
                <c:pt idx="8">
                  <c:v>4.8839372572959503</c:v>
                </c:pt>
                <c:pt idx="9">
                  <c:v>5.8214179534758399</c:v>
                </c:pt>
                <c:pt idx="10">
                  <c:v>1.6591947370534601</c:v>
                </c:pt>
                <c:pt idx="11">
                  <c:v>2.95225053421591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CF-4128-996F-E06A3E6DE90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Robustezza!$AL$42:$AL$53</c:f>
              <c:numCache>
                <c:formatCode>0.00</c:formatCode>
                <c:ptCount val="12"/>
                <c:pt idx="0">
                  <c:v>4.3305552296726004</c:v>
                </c:pt>
                <c:pt idx="1">
                  <c:v>2.8067038242257101</c:v>
                </c:pt>
                <c:pt idx="2">
                  <c:v>3.2208133296915</c:v>
                </c:pt>
                <c:pt idx="3">
                  <c:v>4.6315949624991104</c:v>
                </c:pt>
                <c:pt idx="4">
                  <c:v>5.09663253271885</c:v>
                </c:pt>
                <c:pt idx="5">
                  <c:v>1.8033767983951301</c:v>
                </c:pt>
                <c:pt idx="6">
                  <c:v>3.3515807895468699</c:v>
                </c:pt>
                <c:pt idx="7">
                  <c:v>5.3544788536858903</c:v>
                </c:pt>
                <c:pt idx="8">
                  <c:v>4.9515554387591001</c:v>
                </c:pt>
                <c:pt idx="9">
                  <c:v>5.2251310803117503</c:v>
                </c:pt>
                <c:pt idx="10">
                  <c:v>1.6313804365993001</c:v>
                </c:pt>
                <c:pt idx="11">
                  <c:v>3.09162392186238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CF-4128-996F-E06A3E6DE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 NH4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Robustezza!$G$42:$G$53</c:f>
              <c:numCache>
                <c:formatCode>0.00</c:formatCode>
                <c:ptCount val="12"/>
                <c:pt idx="0">
                  <c:v>1.9586573699516401</c:v>
                </c:pt>
                <c:pt idx="1">
                  <c:v>1.33762249407206</c:v>
                </c:pt>
                <c:pt idx="2">
                  <c:v>1.6691492998461701</c:v>
                </c:pt>
                <c:pt idx="3">
                  <c:v>1.5127220084502</c:v>
                </c:pt>
                <c:pt idx="4">
                  <c:v>1.51467148988893</c:v>
                </c:pt>
                <c:pt idx="5">
                  <c:v>1.53779437931496</c:v>
                </c:pt>
                <c:pt idx="6">
                  <c:v>1.9286670372796499</c:v>
                </c:pt>
                <c:pt idx="7">
                  <c:v>1.8158905330806701</c:v>
                </c:pt>
                <c:pt idx="8">
                  <c:v>1.8054758778598801</c:v>
                </c:pt>
                <c:pt idx="9">
                  <c:v>1.6657030964047901</c:v>
                </c:pt>
                <c:pt idx="10">
                  <c:v>0.66418560238375601</c:v>
                </c:pt>
                <c:pt idx="11">
                  <c:v>1.5977077488517499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D-49EA-89E8-DA8339FCD6A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[1]Robustezza!$O$97:$O$108</c:f>
              <c:numCache>
                <c:formatCode>General</c:formatCode>
                <c:ptCount val="12"/>
                <c:pt idx="0">
                  <c:v>1.89909047734234</c:v>
                </c:pt>
                <c:pt idx="1">
                  <c:v>1.2750362248201901</c:v>
                </c:pt>
                <c:pt idx="2">
                  <c:v>1.70914933608318</c:v>
                </c:pt>
                <c:pt idx="3">
                  <c:v>1.5008544763298299</c:v>
                </c:pt>
                <c:pt idx="4">
                  <c:v>1.4542719932372401</c:v>
                </c:pt>
                <c:pt idx="5">
                  <c:v>1.5507230542491099</c:v>
                </c:pt>
                <c:pt idx="6">
                  <c:v>1.93695224842018</c:v>
                </c:pt>
                <c:pt idx="7">
                  <c:v>1.83832524594991</c:v>
                </c:pt>
                <c:pt idx="8">
                  <c:v>1.89932719553657</c:v>
                </c:pt>
                <c:pt idx="9">
                  <c:v>1.6758962792765599</c:v>
                </c:pt>
                <c:pt idx="10">
                  <c:v>0.63960139351377399</c:v>
                </c:pt>
                <c:pt idx="11">
                  <c:v>1.60003174306434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D-49EA-89E8-DA8339FCD6A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Robustezza!$W$42:$W$53</c:f>
              <c:numCache>
                <c:formatCode>0.00</c:formatCode>
                <c:ptCount val="12"/>
                <c:pt idx="0">
                  <c:v>1.9942507001761001</c:v>
                </c:pt>
                <c:pt idx="1">
                  <c:v>1.2938449490761901</c:v>
                </c:pt>
                <c:pt idx="2">
                  <c:v>1.6549401319843799</c:v>
                </c:pt>
                <c:pt idx="3">
                  <c:v>1.5628133625912</c:v>
                </c:pt>
                <c:pt idx="4">
                  <c:v>1.56366296042205</c:v>
                </c:pt>
                <c:pt idx="5">
                  <c:v>1.54018013723633</c:v>
                </c:pt>
                <c:pt idx="6">
                  <c:v>1.9382465180793</c:v>
                </c:pt>
                <c:pt idx="7">
                  <c:v>1.8132249975821499</c:v>
                </c:pt>
                <c:pt idx="8">
                  <c:v>1.77170565348855</c:v>
                </c:pt>
                <c:pt idx="9">
                  <c:v>1.6837858124243801</c:v>
                </c:pt>
                <c:pt idx="10">
                  <c:v>0.64179866020386001</c:v>
                </c:pt>
                <c:pt idx="11">
                  <c:v>1.60931279071311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2D-49EA-89E8-DA8339FCD6A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Robustezza!$AE$42:$AE$53</c:f>
              <c:numCache>
                <c:formatCode>0.00</c:formatCode>
                <c:ptCount val="12"/>
                <c:pt idx="0">
                  <c:v>1.95411835768012</c:v>
                </c:pt>
                <c:pt idx="1">
                  <c:v>1.35176381696794</c:v>
                </c:pt>
                <c:pt idx="2">
                  <c:v>1.6113036933050999</c:v>
                </c:pt>
                <c:pt idx="3">
                  <c:v>1.5365078225939599</c:v>
                </c:pt>
                <c:pt idx="4">
                  <c:v>1.54251104669646</c:v>
                </c:pt>
                <c:pt idx="5">
                  <c:v>1.56799838469235</c:v>
                </c:pt>
                <c:pt idx="6">
                  <c:v>1.96251522446358</c:v>
                </c:pt>
                <c:pt idx="7">
                  <c:v>1.77641561750341</c:v>
                </c:pt>
                <c:pt idx="8">
                  <c:v>1.76007320403692</c:v>
                </c:pt>
                <c:pt idx="9">
                  <c:v>1.6543950841366999</c:v>
                </c:pt>
                <c:pt idx="10">
                  <c:v>0.53223163862850098</c:v>
                </c:pt>
                <c:pt idx="11">
                  <c:v>1.6330265912150701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2D-49EA-89E8-DA8339FCD6A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Robustezza!$AM$42:$AM$53</c:f>
              <c:numCache>
                <c:formatCode>0.00</c:formatCode>
                <c:ptCount val="12"/>
                <c:pt idx="0">
                  <c:v>1.9479606773772</c:v>
                </c:pt>
                <c:pt idx="1">
                  <c:v>1.2380564921779</c:v>
                </c:pt>
                <c:pt idx="2">
                  <c:v>1.7180883757738199</c:v>
                </c:pt>
                <c:pt idx="3">
                  <c:v>1.5034791732550801</c:v>
                </c:pt>
                <c:pt idx="4">
                  <c:v>1.5084461908315201</c:v>
                </c:pt>
                <c:pt idx="5">
                  <c:v>1.53760428894796</c:v>
                </c:pt>
                <c:pt idx="6">
                  <c:v>1.8959832501512599</c:v>
                </c:pt>
                <c:pt idx="7">
                  <c:v>1.83676806732584</c:v>
                </c:pt>
                <c:pt idx="8">
                  <c:v>1.7679017267211099</c:v>
                </c:pt>
                <c:pt idx="9">
                  <c:v>1.6563315123515101</c:v>
                </c:pt>
                <c:pt idx="10">
                  <c:v>0.74791654157574095</c:v>
                </c:pt>
                <c:pt idx="11">
                  <c:v>1.5861370136978099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2D-49EA-89E8-DA8339FC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283029</xdr:colOff>
      <xdr:row>0</xdr:row>
      <xdr:rowOff>144236</xdr:rowOff>
    </xdr:from>
    <xdr:to>
      <xdr:col>35</xdr:col>
      <xdr:colOff>530679</xdr:colOff>
      <xdr:row>15</xdr:row>
      <xdr:rowOff>29936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228919</xdr:colOff>
      <xdr:row>16</xdr:row>
      <xdr:rowOff>12005</xdr:rowOff>
    </xdr:from>
    <xdr:to>
      <xdr:col>35</xdr:col>
      <xdr:colOff>488104</xdr:colOff>
      <xdr:row>30</xdr:row>
      <xdr:rowOff>88205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274144</xdr:colOff>
      <xdr:row>31</xdr:row>
      <xdr:rowOff>84604</xdr:rowOff>
    </xdr:from>
    <xdr:to>
      <xdr:col>35</xdr:col>
      <xdr:colOff>514614</xdr:colOff>
      <xdr:row>45</xdr:row>
      <xdr:rowOff>160804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311364</xdr:colOff>
      <xdr:row>46</xdr:row>
      <xdr:rowOff>108857</xdr:rowOff>
    </xdr:from>
    <xdr:to>
      <xdr:col>35</xdr:col>
      <xdr:colOff>574647</xdr:colOff>
      <xdr:row>62</xdr:row>
      <xdr:rowOff>0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376198</xdr:colOff>
      <xdr:row>62</xdr:row>
      <xdr:rowOff>132870</xdr:rowOff>
    </xdr:from>
    <xdr:to>
      <xdr:col>36</xdr:col>
      <xdr:colOff>11526</xdr:colOff>
      <xdr:row>77</xdr:row>
      <xdr:rowOff>18570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9</xdr:col>
      <xdr:colOff>163286</xdr:colOff>
      <xdr:row>52</xdr:row>
      <xdr:rowOff>81643</xdr:rowOff>
    </xdr:to>
    <xdr:graphicFrame macro="">
      <xdr:nvGraphicFramePr>
        <xdr:cNvPr id="8" name="Gra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231322</xdr:colOff>
      <xdr:row>34</xdr:row>
      <xdr:rowOff>27214</xdr:rowOff>
    </xdr:from>
    <xdr:to>
      <xdr:col>19</xdr:col>
      <xdr:colOff>367393</xdr:colOff>
      <xdr:row>52</xdr:row>
      <xdr:rowOff>108857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408213</xdr:colOff>
      <xdr:row>34</xdr:row>
      <xdr:rowOff>43541</xdr:rowOff>
    </xdr:from>
    <xdr:to>
      <xdr:col>29</xdr:col>
      <xdr:colOff>503464</xdr:colOff>
      <xdr:row>52</xdr:row>
      <xdr:rowOff>136070</xdr:rowOff>
    </xdr:to>
    <xdr:graphicFrame macro="">
      <xdr:nvGraphicFramePr>
        <xdr:cNvPr id="11" name="Gra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40822</xdr:colOff>
      <xdr:row>53</xdr:row>
      <xdr:rowOff>43542</xdr:rowOff>
    </xdr:from>
    <xdr:to>
      <xdr:col>9</xdr:col>
      <xdr:colOff>68036</xdr:colOff>
      <xdr:row>71</xdr:row>
      <xdr:rowOff>163286</xdr:rowOff>
    </xdr:to>
    <xdr:graphicFrame macro="">
      <xdr:nvGraphicFramePr>
        <xdr:cNvPr id="12" name="Gra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244927</xdr:colOff>
      <xdr:row>53</xdr:row>
      <xdr:rowOff>57150</xdr:rowOff>
    </xdr:from>
    <xdr:to>
      <xdr:col>19</xdr:col>
      <xdr:colOff>353784</xdr:colOff>
      <xdr:row>71</xdr:row>
      <xdr:rowOff>176894</xdr:rowOff>
    </xdr:to>
    <xdr:graphicFrame macro="">
      <xdr:nvGraphicFramePr>
        <xdr:cNvPr id="13" name="Gra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67830</xdr:colOff>
      <xdr:row>47</xdr:row>
      <xdr:rowOff>75662</xdr:rowOff>
    </xdr:from>
    <xdr:to>
      <xdr:col>93</xdr:col>
      <xdr:colOff>28409</xdr:colOff>
      <xdr:row>53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467591</xdr:colOff>
      <xdr:row>70</xdr:row>
      <xdr:rowOff>138546</xdr:rowOff>
    </xdr:from>
    <xdr:to>
      <xdr:col>17</xdr:col>
      <xdr:colOff>138545</xdr:colOff>
      <xdr:row>92</xdr:row>
      <xdr:rowOff>173182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588819</xdr:colOff>
      <xdr:row>70</xdr:row>
      <xdr:rowOff>34636</xdr:rowOff>
    </xdr:from>
    <xdr:to>
      <xdr:col>27</xdr:col>
      <xdr:colOff>173182</xdr:colOff>
      <xdr:row>92</xdr:row>
      <xdr:rowOff>103909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86591</xdr:colOff>
      <xdr:row>70</xdr:row>
      <xdr:rowOff>34636</xdr:rowOff>
    </xdr:from>
    <xdr:to>
      <xdr:col>40</xdr:col>
      <xdr:colOff>17318</xdr:colOff>
      <xdr:row>91</xdr:row>
      <xdr:rowOff>173181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346363</xdr:colOff>
      <xdr:row>94</xdr:row>
      <xdr:rowOff>86591</xdr:rowOff>
    </xdr:from>
    <xdr:to>
      <xdr:col>17</xdr:col>
      <xdr:colOff>155864</xdr:colOff>
      <xdr:row>116</xdr:row>
      <xdr:rowOff>69273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94</xdr:row>
      <xdr:rowOff>0</xdr:rowOff>
    </xdr:from>
    <xdr:to>
      <xdr:col>27</xdr:col>
      <xdr:colOff>363681</xdr:colOff>
      <xdr:row>116</xdr:row>
      <xdr:rowOff>138545</xdr:rowOff>
    </xdr:to>
    <xdr:graphicFrame macro="">
      <xdr:nvGraphicFramePr>
        <xdr:cNvPr id="20" name="Gra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_ISO-Prodotti_New/NIRS/FP_02-04/07_Realizzazione_Prototipi/IRB/CALIBRAZIONI%20&amp;%20SENSORI/Calibrazioni_Sensori_NIR/Calibrazioni/NIR%20P.224/Modelli%20LSSVM/950-1800/REV_921%20(EN%204.0)/100_COW/Regression/DB/241021_COW_REV_9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4"/>
      <sheetName val="NEW"/>
      <sheetName val="DATASET"/>
      <sheetName val="VALID AN STD"/>
      <sheetName val="VALID"/>
      <sheetName val="STAT "/>
      <sheetName val="STAT VALID AN"/>
      <sheetName val="STAT VALID"/>
      <sheetName val="Valid Agrolab"/>
      <sheetName val="STAT VALID (2)"/>
      <sheetName val="STAT VALID rev 919"/>
      <sheetName val="Robustezza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B14" t="str">
            <v>Lab</v>
          </cell>
        </row>
      </sheetData>
      <sheetData sheetId="6" refreshError="1"/>
      <sheetData sheetId="7" refreshError="1"/>
      <sheetData sheetId="8" refreshError="1"/>
      <sheetData sheetId="9">
        <row r="11">
          <cell r="C11" t="str">
            <v>Lab</v>
          </cell>
        </row>
      </sheetData>
      <sheetData sheetId="10">
        <row r="12">
          <cell r="AF12">
            <v>1.5922258829880001</v>
          </cell>
        </row>
      </sheetData>
      <sheetData sheetId="11">
        <row r="95">
          <cell r="J95">
            <v>189009</v>
          </cell>
        </row>
        <row r="97">
          <cell r="K97">
            <v>10.063150672725399</v>
          </cell>
          <cell r="L97">
            <v>4.1725078331136896</v>
          </cell>
          <cell r="M97">
            <v>1.9924146713027699</v>
          </cell>
          <cell r="N97">
            <v>3.9793883067623601</v>
          </cell>
          <cell r="O97">
            <v>1.89909047734234</v>
          </cell>
        </row>
        <row r="98">
          <cell r="K98">
            <v>8.2084511414609906</v>
          </cell>
          <cell r="L98">
            <v>2.86513904359136</v>
          </cell>
          <cell r="M98">
            <v>1.3156266813167801</v>
          </cell>
          <cell r="N98">
            <v>2.9204699691911902</v>
          </cell>
          <cell r="O98">
            <v>1.2750362248201901</v>
          </cell>
        </row>
        <row r="99">
          <cell r="K99">
            <v>9.2830473111084899</v>
          </cell>
          <cell r="L99">
            <v>3.1837260019523401</v>
          </cell>
          <cell r="M99">
            <v>1.6475198982113599</v>
          </cell>
          <cell r="N99">
            <v>3.4043655553207901</v>
          </cell>
          <cell r="O99">
            <v>1.70914933608318</v>
          </cell>
        </row>
        <row r="100">
          <cell r="K100">
            <v>10.5134439531694</v>
          </cell>
          <cell r="L100">
            <v>3.8248858974764399</v>
          </cell>
          <cell r="M100">
            <v>1.8177756206284801</v>
          </cell>
          <cell r="N100">
            <v>4.1033303166661099</v>
          </cell>
          <cell r="O100">
            <v>1.5008544763298299</v>
          </cell>
        </row>
        <row r="101">
          <cell r="K101">
            <v>11.6022993410336</v>
          </cell>
          <cell r="L101">
            <v>3.9765692536929702</v>
          </cell>
          <cell r="M101">
            <v>1.89495445880974</v>
          </cell>
          <cell r="N101">
            <v>4.33726221893785</v>
          </cell>
          <cell r="O101">
            <v>1.4542719932372401</v>
          </cell>
        </row>
        <row r="102">
          <cell r="K102">
            <v>9.6020195516920399</v>
          </cell>
          <cell r="L102">
            <v>3.3026936249632102</v>
          </cell>
          <cell r="M102">
            <v>1.55551591333145</v>
          </cell>
          <cell r="N102">
            <v>1.7846012572857599</v>
          </cell>
          <cell r="O102">
            <v>1.5507230542491099</v>
          </cell>
        </row>
        <row r="103">
          <cell r="K103">
            <v>8.8219486392611799</v>
          </cell>
          <cell r="L103">
            <v>3.9350071177933201</v>
          </cell>
          <cell r="M103">
            <v>1.9167515267527599</v>
          </cell>
          <cell r="N103">
            <v>3.5744584711194101</v>
          </cell>
          <cell r="O103">
            <v>1.93695224842018</v>
          </cell>
        </row>
        <row r="104">
          <cell r="K104">
            <v>10.9092747567516</v>
          </cell>
          <cell r="L104">
            <v>4.0753628259546399</v>
          </cell>
          <cell r="M104">
            <v>2.14473990282838</v>
          </cell>
          <cell r="N104">
            <v>5.27178124457759</v>
          </cell>
          <cell r="O104">
            <v>1.83832524594991</v>
          </cell>
        </row>
        <row r="105">
          <cell r="K105">
            <v>8.6070645160413495</v>
          </cell>
          <cell r="L105">
            <v>3.85061317772879</v>
          </cell>
          <cell r="M105">
            <v>2.0514126798295602</v>
          </cell>
          <cell r="N105">
            <v>5.6802983319477098</v>
          </cell>
          <cell r="O105">
            <v>1.89932719553657</v>
          </cell>
        </row>
        <row r="106">
          <cell r="K106">
            <v>8.5715415767745498</v>
          </cell>
          <cell r="L106">
            <v>3.5652367285726099</v>
          </cell>
          <cell r="M106">
            <v>1.81511494993042</v>
          </cell>
          <cell r="N106">
            <v>5.3537138221752398</v>
          </cell>
          <cell r="O106">
            <v>1.6758962792765599</v>
          </cell>
        </row>
        <row r="107">
          <cell r="K107">
            <v>5.53200184187485</v>
          </cell>
          <cell r="L107">
            <v>2.1085107163732602</v>
          </cell>
          <cell r="M107">
            <v>0.78398862530995606</v>
          </cell>
          <cell r="N107">
            <v>1.9948506529128001</v>
          </cell>
          <cell r="O107">
            <v>0.63960139351377399</v>
          </cell>
        </row>
        <row r="108">
          <cell r="K108">
            <v>8.0433833173610196</v>
          </cell>
          <cell r="L108">
            <v>3.0738212680313999</v>
          </cell>
          <cell r="M108">
            <v>1.48474658655502</v>
          </cell>
          <cell r="N108">
            <v>3.0727568165445902</v>
          </cell>
          <cell r="O108">
            <v>1.60003174306434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7" workbookViewId="0">
      <selection activeCell="A19" sqref="A19:F27"/>
    </sheetView>
  </sheetViews>
  <sheetFormatPr defaultRowHeight="14.5" x14ac:dyDescent="0.35"/>
  <cols>
    <col min="1" max="1" width="14.81640625" bestFit="1" customWidth="1"/>
    <col min="2" max="6" width="10.81640625" customWidth="1"/>
  </cols>
  <sheetData>
    <row r="1" spans="1:6" x14ac:dyDescent="0.35">
      <c r="B1" s="54" t="s">
        <v>30</v>
      </c>
      <c r="C1" s="55"/>
      <c r="D1" s="55"/>
      <c r="E1" s="55"/>
      <c r="F1" s="56"/>
    </row>
    <row r="2" spans="1:6" x14ac:dyDescent="0.35"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</row>
    <row r="3" spans="1:6" ht="43.5" x14ac:dyDescent="0.35">
      <c r="A3" s="42" t="s">
        <v>31</v>
      </c>
      <c r="B3" s="43" t="s">
        <v>32</v>
      </c>
      <c r="C3" s="44" t="s">
        <v>33</v>
      </c>
      <c r="D3" s="44" t="s">
        <v>33</v>
      </c>
      <c r="E3" s="44" t="s">
        <v>33</v>
      </c>
      <c r="F3" s="44" t="s">
        <v>33</v>
      </c>
    </row>
    <row r="4" spans="1:6" x14ac:dyDescent="0.35">
      <c r="A4" s="42" t="s">
        <v>34</v>
      </c>
      <c r="B4" s="43">
        <v>12</v>
      </c>
      <c r="C4" s="43">
        <v>12</v>
      </c>
      <c r="D4" s="43">
        <v>12</v>
      </c>
      <c r="E4" s="43">
        <v>12</v>
      </c>
      <c r="F4" s="43">
        <v>12</v>
      </c>
    </row>
    <row r="7" spans="1:6" x14ac:dyDescent="0.35">
      <c r="A7" s="1" t="s">
        <v>0</v>
      </c>
      <c r="B7" s="2" t="s">
        <v>1</v>
      </c>
      <c r="C7" s="3" t="s">
        <v>2</v>
      </c>
      <c r="D7" s="3" t="s">
        <v>3</v>
      </c>
      <c r="E7" s="3" t="s">
        <v>4</v>
      </c>
      <c r="F7" s="4" t="s">
        <v>5</v>
      </c>
    </row>
    <row r="8" spans="1:6" x14ac:dyDescent="0.35">
      <c r="A8" s="5" t="s">
        <v>6</v>
      </c>
      <c r="B8" s="6">
        <v>0.80221342854220179</v>
      </c>
      <c r="C8" s="6">
        <v>0.2678109094828669</v>
      </c>
      <c r="D8" s="6">
        <v>0.20359615340832721</v>
      </c>
      <c r="E8" s="6">
        <v>0.36713599095034755</v>
      </c>
      <c r="F8" s="7">
        <v>0.22174577705892345</v>
      </c>
    </row>
    <row r="9" spans="1:6" x14ac:dyDescent="0.35">
      <c r="A9" s="8" t="s">
        <v>7</v>
      </c>
      <c r="B9" s="9">
        <v>-1.6863594576723778E-3</v>
      </c>
      <c r="C9" s="9">
        <v>-4.6427508302506544E-16</v>
      </c>
      <c r="D9" s="9">
        <v>4.6999441375798294E-16</v>
      </c>
      <c r="E9" s="9">
        <v>-2.6405304369463184E-16</v>
      </c>
      <c r="F9" s="10">
        <v>5.7761603308200714E-17</v>
      </c>
    </row>
    <row r="10" spans="1:6" x14ac:dyDescent="0.35">
      <c r="A10" s="8" t="s">
        <v>8</v>
      </c>
      <c r="B10" s="9">
        <v>0.94188917353530965</v>
      </c>
      <c r="C10" s="9">
        <v>0.94416806534857234</v>
      </c>
      <c r="D10" s="9">
        <v>0.89231056036396184</v>
      </c>
      <c r="E10" s="9">
        <v>0.90205664607344971</v>
      </c>
      <c r="F10" s="10">
        <v>0.83692774906063228</v>
      </c>
    </row>
    <row r="11" spans="1:6" x14ac:dyDescent="0.35">
      <c r="A11" s="11" t="s">
        <v>9</v>
      </c>
      <c r="B11" s="12">
        <v>1.011396686244675</v>
      </c>
      <c r="C11" s="12">
        <v>1.0419848431408738</v>
      </c>
      <c r="D11" s="12">
        <v>1.0548419044330806</v>
      </c>
      <c r="E11" s="12">
        <v>1.0866158026418118</v>
      </c>
      <c r="F11" s="13">
        <v>1.1208847641067194</v>
      </c>
    </row>
    <row r="12" spans="1:6" x14ac:dyDescent="0.35">
      <c r="A12" s="5" t="s">
        <v>10</v>
      </c>
      <c r="B12" s="14">
        <v>157</v>
      </c>
      <c r="C12" s="14">
        <v>154</v>
      </c>
      <c r="D12" s="14">
        <v>150</v>
      </c>
      <c r="E12" s="14">
        <v>111</v>
      </c>
      <c r="F12" s="15">
        <v>148</v>
      </c>
    </row>
    <row r="13" spans="1:6" x14ac:dyDescent="0.35">
      <c r="A13" s="8" t="s">
        <v>11</v>
      </c>
      <c r="B13" s="9">
        <v>8.0781847133757996</v>
      </c>
      <c r="C13" s="9">
        <v>3.3034090909090916</v>
      </c>
      <c r="D13" s="9">
        <v>1.4633166666666662</v>
      </c>
      <c r="E13" s="9">
        <v>3.9545045045045071</v>
      </c>
      <c r="F13" s="10">
        <v>1.6034459459459467</v>
      </c>
    </row>
    <row r="14" spans="1:6" x14ac:dyDescent="0.35">
      <c r="A14" s="8" t="s">
        <v>12</v>
      </c>
      <c r="B14" s="9">
        <v>3.3350436871425462</v>
      </c>
      <c r="C14" s="9">
        <v>1.1218119613593205</v>
      </c>
      <c r="D14" s="9">
        <v>0.61563837773198227</v>
      </c>
      <c r="E14" s="9">
        <v>1.1453947225450485</v>
      </c>
      <c r="F14" s="10">
        <v>0.53523847166293814</v>
      </c>
    </row>
    <row r="15" spans="1:6" x14ac:dyDescent="0.35">
      <c r="A15" s="8" t="s">
        <v>13</v>
      </c>
      <c r="B15" s="9">
        <v>0.92</v>
      </c>
      <c r="C15" s="9">
        <v>0.44</v>
      </c>
      <c r="D15" s="9">
        <v>0.22</v>
      </c>
      <c r="E15" s="9">
        <v>1.02</v>
      </c>
      <c r="F15" s="10">
        <v>0.1</v>
      </c>
    </row>
    <row r="16" spans="1:6" x14ac:dyDescent="0.35">
      <c r="A16" s="11" t="s">
        <v>14</v>
      </c>
      <c r="B16" s="12">
        <v>15.1</v>
      </c>
      <c r="C16" s="12">
        <v>6.73</v>
      </c>
      <c r="D16" s="12">
        <v>3.36</v>
      </c>
      <c r="E16" s="12">
        <v>6.9</v>
      </c>
      <c r="F16" s="13">
        <v>3.3650000000000002</v>
      </c>
    </row>
    <row r="19" spans="1:6" x14ac:dyDescent="0.35">
      <c r="A19" s="1" t="s">
        <v>15</v>
      </c>
      <c r="B19" s="16" t="s">
        <v>1</v>
      </c>
      <c r="C19" s="17" t="s">
        <v>2</v>
      </c>
      <c r="D19" s="17" t="s">
        <v>3</v>
      </c>
      <c r="E19" s="17" t="s">
        <v>4</v>
      </c>
      <c r="F19" s="18" t="s">
        <v>5</v>
      </c>
    </row>
    <row r="20" spans="1:6" x14ac:dyDescent="0.35">
      <c r="A20" s="5" t="s">
        <v>6</v>
      </c>
      <c r="B20" s="6">
        <v>0.65064647440526946</v>
      </c>
      <c r="C20" s="6">
        <v>0.35293923336528321</v>
      </c>
      <c r="D20" s="6">
        <v>0.16394605924061231</v>
      </c>
      <c r="E20" s="6">
        <v>0.6017279025597686</v>
      </c>
      <c r="F20" s="7">
        <v>0.14569027064334142</v>
      </c>
    </row>
    <row r="21" spans="1:6" x14ac:dyDescent="0.35">
      <c r="A21" s="8" t="s">
        <v>7</v>
      </c>
      <c r="B21" s="9">
        <v>-0.15163820690811866</v>
      </c>
      <c r="C21" s="9">
        <v>-4.7397580433725495E-2</v>
      </c>
      <c r="D21" s="9">
        <v>-0.01</v>
      </c>
      <c r="E21" s="9">
        <v>6.180716987221456E-2</v>
      </c>
      <c r="F21" s="10">
        <v>2.5373877789498987E-2</v>
      </c>
    </row>
    <row r="22" spans="1:6" x14ac:dyDescent="0.35">
      <c r="A22" s="8" t="s">
        <v>8</v>
      </c>
      <c r="B22" s="9">
        <v>0.92530626765403257</v>
      </c>
      <c r="C22" s="9">
        <v>0.82996485642817019</v>
      </c>
      <c r="D22" s="9">
        <v>0.92374085334005418</v>
      </c>
      <c r="E22" s="9">
        <v>0.64851835349862552</v>
      </c>
      <c r="F22" s="10">
        <v>0.77295999403207938</v>
      </c>
    </row>
    <row r="23" spans="1:6" x14ac:dyDescent="0.35">
      <c r="A23" s="8" t="s">
        <v>9</v>
      </c>
      <c r="B23" s="9">
        <v>0.94718607808821842</v>
      </c>
      <c r="C23" s="9">
        <v>1.0948217031783916</v>
      </c>
      <c r="D23" s="9">
        <v>1.2497297548235913</v>
      </c>
      <c r="E23" s="9">
        <v>0.876145117245133</v>
      </c>
      <c r="F23" s="10">
        <v>0.91766898904147021</v>
      </c>
    </row>
    <row r="24" spans="1:6" x14ac:dyDescent="0.35">
      <c r="A24" s="8" t="s">
        <v>16</v>
      </c>
      <c r="B24" s="9">
        <v>0.65064647440526946</v>
      </c>
      <c r="C24" s="9">
        <v>0.35293923336528321</v>
      </c>
      <c r="D24" s="9">
        <v>0.16762816885204279</v>
      </c>
      <c r="E24" s="9">
        <v>0.59854518832863879</v>
      </c>
      <c r="F24" s="10">
        <v>0.14346365841582892</v>
      </c>
    </row>
    <row r="25" spans="1:6" x14ac:dyDescent="0.35">
      <c r="A25" s="11" t="s">
        <v>2</v>
      </c>
      <c r="B25" s="19">
        <v>0</v>
      </c>
      <c r="C25" s="19">
        <v>0</v>
      </c>
      <c r="D25" s="19">
        <v>0</v>
      </c>
      <c r="E25" s="19">
        <v>0</v>
      </c>
      <c r="F25" s="20">
        <v>0</v>
      </c>
    </row>
    <row r="26" spans="1:6" x14ac:dyDescent="0.35">
      <c r="A26" s="11" t="s">
        <v>17</v>
      </c>
      <c r="B26" s="19">
        <v>21</v>
      </c>
      <c r="C26" s="19">
        <v>20</v>
      </c>
      <c r="D26" s="19">
        <v>20</v>
      </c>
      <c r="E26" s="19">
        <v>20</v>
      </c>
      <c r="F26" s="20">
        <v>18</v>
      </c>
    </row>
    <row r="27" spans="1:6" x14ac:dyDescent="0.35">
      <c r="A27" s="11" t="s">
        <v>18</v>
      </c>
      <c r="B27" s="21">
        <v>8.3125596824832226E-2</v>
      </c>
      <c r="C27" s="21">
        <v>0.10516941656569054</v>
      </c>
      <c r="D27" s="21">
        <v>9.9384558699036618E-2</v>
      </c>
      <c r="E27" s="21">
        <v>0.10513626061016394</v>
      </c>
      <c r="F27" s="22">
        <v>8.6035438161259595E-2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zoomScale="70" zoomScaleNormal="70" workbookViewId="0">
      <selection activeCell="I38" sqref="I38"/>
    </sheetView>
  </sheetViews>
  <sheetFormatPr defaultColWidth="9.1796875" defaultRowHeight="14.5" x14ac:dyDescent="0.35"/>
  <cols>
    <col min="1" max="16384" width="9.1796875" style="23"/>
  </cols>
  <sheetData>
    <row r="1" spans="1:24" x14ac:dyDescent="0.35">
      <c r="A1" s="57" t="s">
        <v>42</v>
      </c>
      <c r="B1" s="57"/>
      <c r="C1" s="57"/>
      <c r="D1" s="57"/>
      <c r="F1" s="57" t="s">
        <v>41</v>
      </c>
      <c r="G1" s="57"/>
      <c r="H1" s="57"/>
      <c r="I1" s="57"/>
      <c r="K1" s="57" t="s">
        <v>40</v>
      </c>
      <c r="L1" s="57"/>
      <c r="M1" s="57"/>
      <c r="N1" s="57"/>
      <c r="P1" s="57" t="s">
        <v>39</v>
      </c>
      <c r="Q1" s="57"/>
      <c r="R1" s="57"/>
      <c r="S1" s="57"/>
      <c r="U1" s="57" t="s">
        <v>38</v>
      </c>
      <c r="V1" s="57"/>
      <c r="W1" s="57"/>
      <c r="X1" s="57"/>
    </row>
    <row r="3" spans="1:24" x14ac:dyDescent="0.35">
      <c r="A3" s="41" t="s">
        <v>6</v>
      </c>
      <c r="B3" s="23">
        <f>SQRT(SUMSQ(D15:D1048576)/COUNTA(D15:D1048576))</f>
        <v>0.80221342854220179</v>
      </c>
      <c r="F3" s="41" t="s">
        <v>6</v>
      </c>
      <c r="G3" s="23">
        <f>SQRT(SUMSQ(I15:I1048576)/COUNTA(I15:I1048576))</f>
        <v>0.2678109094828669</v>
      </c>
      <c r="K3" s="41" t="s">
        <v>6</v>
      </c>
      <c r="L3" s="23">
        <f>SQRT(SUMSQ(N15:N1048576)/COUNTA(N15:N1048576))</f>
        <v>0.20359615340832721</v>
      </c>
      <c r="P3" s="41" t="s">
        <v>6</v>
      </c>
      <c r="Q3" s="23">
        <f>SQRT(SUMSQ(S15:S1048576)/COUNTA(S15:S1048576))</f>
        <v>0.36713599095034755</v>
      </c>
      <c r="U3" s="41" t="s">
        <v>6</v>
      </c>
      <c r="V3" s="23">
        <f>SQRT(SUMSQ(X15:X1048576)/COUNTA(X15:X1048576))</f>
        <v>0.22174577705892345</v>
      </c>
    </row>
    <row r="4" spans="1:24" x14ac:dyDescent="0.35">
      <c r="A4" s="41" t="s">
        <v>7</v>
      </c>
      <c r="B4" s="23">
        <f>AVERAGE(D15:D1048576)</f>
        <v>-1.6863594576723778E-3</v>
      </c>
      <c r="F4" s="41" t="s">
        <v>7</v>
      </c>
      <c r="G4" s="23">
        <f>AVERAGE(I15:I1048576)</f>
        <v>-4.6427508302506544E-16</v>
      </c>
      <c r="K4" s="41" t="s">
        <v>7</v>
      </c>
      <c r="L4" s="23">
        <f>AVERAGE(N15:N1048576)</f>
        <v>4.6999441375798294E-16</v>
      </c>
      <c r="P4" s="41" t="s">
        <v>7</v>
      </c>
      <c r="Q4" s="23">
        <f>AVERAGE(S15:S1048576)</f>
        <v>-2.6405304369463184E-16</v>
      </c>
      <c r="U4" s="41" t="s">
        <v>7</v>
      </c>
      <c r="V4" s="23">
        <f>AVERAGE(X15:X1048576)</f>
        <v>5.7761603308200714E-17</v>
      </c>
    </row>
    <row r="5" spans="1:24" x14ac:dyDescent="0.35">
      <c r="A5" s="41" t="s">
        <v>8</v>
      </c>
      <c r="B5" s="23">
        <f>CORREL(B15:B1048576,C15:C1048576)^2</f>
        <v>0.94188917353530965</v>
      </c>
      <c r="F5" s="41" t="s">
        <v>8</v>
      </c>
      <c r="G5" s="23">
        <f>CORREL(G15:G1048576,H15:H1048576)^2</f>
        <v>0.94416806534857234</v>
      </c>
      <c r="K5" s="41" t="s">
        <v>8</v>
      </c>
      <c r="L5" s="23">
        <f>CORREL(L15:L1048576,M15:M1048576)^2</f>
        <v>0.89231056036396184</v>
      </c>
      <c r="P5" s="41" t="s">
        <v>8</v>
      </c>
      <c r="Q5" s="23">
        <f>CORREL(Q15:Q1048576,R15:R1048576)^2</f>
        <v>0.90205664607344971</v>
      </c>
      <c r="U5" s="41" t="s">
        <v>8</v>
      </c>
      <c r="V5" s="23">
        <f>CORREL(V15:V1048576,W15:W1048576)^2</f>
        <v>0.83692774906063228</v>
      </c>
    </row>
    <row r="6" spans="1:24" x14ac:dyDescent="0.35">
      <c r="A6" s="41" t="s">
        <v>9</v>
      </c>
      <c r="B6" s="23">
        <f>SLOPE(B15:B1048576,C15:C1048576)</f>
        <v>1.011396686244675</v>
      </c>
      <c r="F6" s="41" t="s">
        <v>9</v>
      </c>
      <c r="G6" s="23">
        <f>SLOPE(G15:G1048576,H15:H1048576)</f>
        <v>1.0419848431408738</v>
      </c>
      <c r="K6" s="41" t="s">
        <v>9</v>
      </c>
      <c r="L6" s="23">
        <f>SLOPE(L15:L1048576,M15:M1048576)</f>
        <v>1.0548419044330806</v>
      </c>
      <c r="P6" s="41" t="s">
        <v>9</v>
      </c>
      <c r="Q6" s="23">
        <f>SLOPE(Q15:Q1048576,R15:R1048576)</f>
        <v>1.0866158026418118</v>
      </c>
      <c r="U6" s="41" t="s">
        <v>9</v>
      </c>
      <c r="V6" s="23">
        <f>SLOPE(V15:V1048576,W15:W1048576)</f>
        <v>1.1208847641067194</v>
      </c>
    </row>
    <row r="7" spans="1:24" x14ac:dyDescent="0.35">
      <c r="A7" s="41"/>
      <c r="F7" s="41"/>
      <c r="K7" s="41"/>
      <c r="P7" s="41"/>
      <c r="U7" s="41"/>
    </row>
    <row r="8" spans="1:24" s="46" customFormat="1" x14ac:dyDescent="0.35">
      <c r="A8" s="47" t="s">
        <v>10</v>
      </c>
      <c r="B8" s="46">
        <f>COUNT(B15:B1048576)</f>
        <v>157</v>
      </c>
      <c r="F8" s="47" t="s">
        <v>10</v>
      </c>
      <c r="G8" s="46">
        <f>COUNT(G15:G1048576)</f>
        <v>154</v>
      </c>
      <c r="K8" s="47" t="s">
        <v>10</v>
      </c>
      <c r="L8" s="46">
        <f>COUNT(L15:L1048576)</f>
        <v>150</v>
      </c>
      <c r="P8" s="47" t="s">
        <v>10</v>
      </c>
      <c r="Q8" s="46">
        <f>COUNT(Q15:Q1048576)</f>
        <v>111</v>
      </c>
      <c r="U8" s="47" t="s">
        <v>10</v>
      </c>
      <c r="V8" s="46">
        <f>COUNT(V15:V1048576)</f>
        <v>148</v>
      </c>
    </row>
    <row r="9" spans="1:24" s="46" customFormat="1" x14ac:dyDescent="0.35">
      <c r="A9" s="47" t="s">
        <v>11</v>
      </c>
      <c r="B9" s="46">
        <f>AVERAGE(B15:B1048576)</f>
        <v>8.0781847133757996</v>
      </c>
      <c r="F9" s="47" t="s">
        <v>11</v>
      </c>
      <c r="G9" s="46">
        <f>AVERAGE(G15:G1048576)</f>
        <v>3.3034090909090916</v>
      </c>
      <c r="K9" s="47" t="s">
        <v>11</v>
      </c>
      <c r="L9" s="46">
        <f>AVERAGE(L15:L1048576)</f>
        <v>1.4633166666666662</v>
      </c>
      <c r="P9" s="47" t="s">
        <v>11</v>
      </c>
      <c r="Q9" s="46">
        <f>AVERAGE(Q15:Q1048576)</f>
        <v>3.9545045045045071</v>
      </c>
      <c r="U9" s="47" t="s">
        <v>11</v>
      </c>
      <c r="V9" s="46">
        <f>AVERAGE(V15:V1048576)</f>
        <v>1.6034459459459467</v>
      </c>
    </row>
    <row r="10" spans="1:24" s="46" customFormat="1" x14ac:dyDescent="0.35">
      <c r="A10" s="47" t="s">
        <v>12</v>
      </c>
      <c r="B10" s="46">
        <f>STDEV(B15:B1048576)</f>
        <v>3.3350436871425462</v>
      </c>
      <c r="F10" s="47" t="s">
        <v>12</v>
      </c>
      <c r="G10" s="46">
        <f>STDEV(G15:G1048576)</f>
        <v>1.1218119613593205</v>
      </c>
      <c r="K10" s="47" t="s">
        <v>12</v>
      </c>
      <c r="L10" s="46">
        <f>STDEV(L15:L1048576)</f>
        <v>0.61563837773198227</v>
      </c>
      <c r="P10" s="47" t="s">
        <v>12</v>
      </c>
      <c r="Q10" s="46">
        <f>STDEV(Q15:Q1048576)</f>
        <v>1.1453947225450485</v>
      </c>
      <c r="U10" s="47" t="s">
        <v>12</v>
      </c>
      <c r="V10" s="46">
        <f>STDEV(V15:V1048576)</f>
        <v>0.53523847166293814</v>
      </c>
    </row>
    <row r="11" spans="1:24" s="46" customFormat="1" x14ac:dyDescent="0.35">
      <c r="A11" s="47" t="s">
        <v>13</v>
      </c>
      <c r="B11" s="46">
        <f>MIN(B15:B1048576)</f>
        <v>0.92</v>
      </c>
      <c r="F11" s="47" t="s">
        <v>13</v>
      </c>
      <c r="G11" s="46">
        <f>MIN(G15:G1048576)</f>
        <v>0.44</v>
      </c>
      <c r="K11" s="47" t="s">
        <v>13</v>
      </c>
      <c r="L11" s="46">
        <f>MIN(L15:L1048576)</f>
        <v>0.22</v>
      </c>
      <c r="P11" s="47" t="s">
        <v>13</v>
      </c>
      <c r="Q11" s="46">
        <f>MIN(Q15:Q1048576)</f>
        <v>1.02</v>
      </c>
      <c r="U11" s="47" t="s">
        <v>13</v>
      </c>
      <c r="V11" s="46">
        <f>MIN(V15:V1048576)</f>
        <v>0.1</v>
      </c>
    </row>
    <row r="12" spans="1:24" s="46" customFormat="1" x14ac:dyDescent="0.35">
      <c r="A12" s="47" t="s">
        <v>14</v>
      </c>
      <c r="B12" s="46">
        <f>MAX(B15:B1048576)</f>
        <v>15.1</v>
      </c>
      <c r="F12" s="47" t="s">
        <v>14</v>
      </c>
      <c r="G12" s="46">
        <f>MAX(G15:G1048576)</f>
        <v>6.73</v>
      </c>
      <c r="K12" s="47" t="s">
        <v>14</v>
      </c>
      <c r="L12" s="46">
        <f>MAX(L15:L1048576)</f>
        <v>3.36</v>
      </c>
      <c r="P12" s="47" t="s">
        <v>14</v>
      </c>
      <c r="Q12" s="46">
        <f>MAX(Q15:Q1048576)</f>
        <v>6.9</v>
      </c>
      <c r="U12" s="47" t="s">
        <v>14</v>
      </c>
      <c r="V12" s="46">
        <f>MAX(V15:V1048576)</f>
        <v>3.3650000000000002</v>
      </c>
    </row>
    <row r="14" spans="1:24" x14ac:dyDescent="0.35">
      <c r="A14" s="41" t="s">
        <v>27</v>
      </c>
      <c r="B14" s="41" t="s">
        <v>37</v>
      </c>
      <c r="C14" s="41" t="s">
        <v>36</v>
      </c>
      <c r="D14" s="41" t="s">
        <v>35</v>
      </c>
      <c r="F14" s="41" t="s">
        <v>27</v>
      </c>
      <c r="G14" s="41" t="s">
        <v>37</v>
      </c>
      <c r="H14" s="41" t="s">
        <v>36</v>
      </c>
      <c r="I14" s="41" t="s">
        <v>35</v>
      </c>
      <c r="K14" s="41" t="s">
        <v>27</v>
      </c>
      <c r="L14" s="41" t="s">
        <v>37</v>
      </c>
      <c r="M14" s="41" t="s">
        <v>36</v>
      </c>
      <c r="N14" s="41" t="s">
        <v>35</v>
      </c>
      <c r="P14" s="41" t="s">
        <v>27</v>
      </c>
      <c r="Q14" s="41" t="s">
        <v>37</v>
      </c>
      <c r="R14" s="41" t="s">
        <v>36</v>
      </c>
      <c r="S14" s="41" t="s">
        <v>35</v>
      </c>
      <c r="U14" s="41" t="s">
        <v>27</v>
      </c>
      <c r="V14" s="41" t="s">
        <v>37</v>
      </c>
      <c r="W14" s="41" t="s">
        <v>36</v>
      </c>
      <c r="X14" s="41" t="s">
        <v>35</v>
      </c>
    </row>
    <row r="15" spans="1:24" x14ac:dyDescent="0.35">
      <c r="A15" s="23">
        <v>2</v>
      </c>
      <c r="B15" s="23">
        <v>5.63</v>
      </c>
      <c r="C15" s="23">
        <v>6.4453588317468098</v>
      </c>
      <c r="D15" s="45">
        <f t="shared" ref="D15:D46" si="0">(B15-C15)</f>
        <v>-0.8153588317468099</v>
      </c>
      <c r="F15" s="23">
        <v>2</v>
      </c>
      <c r="G15" s="23">
        <v>2.2400000000000002</v>
      </c>
      <c r="H15" s="23">
        <v>2.50299050941166</v>
      </c>
      <c r="I15" s="45">
        <f t="shared" ref="I15:I46" si="1">(G15-H15)</f>
        <v>-0.2629905094116598</v>
      </c>
      <c r="K15">
        <v>2</v>
      </c>
      <c r="L15">
        <v>0.86</v>
      </c>
      <c r="M15">
        <v>0.93624680635148005</v>
      </c>
      <c r="N15" s="45">
        <f t="shared" ref="N15:N46" si="2">(L15-M15)</f>
        <v>-7.6246806351480068E-2</v>
      </c>
      <c r="P15" s="23">
        <v>1023</v>
      </c>
      <c r="Q15" s="23">
        <v>4.76</v>
      </c>
      <c r="R15" s="23">
        <v>4.7530080314664902</v>
      </c>
      <c r="S15" s="45">
        <f t="shared" ref="S15:S46" si="3">(Q15-R15)</f>
        <v>6.9919685335095849E-3</v>
      </c>
      <c r="U15" s="23">
        <v>15</v>
      </c>
      <c r="V15" s="23">
        <v>1.64</v>
      </c>
      <c r="W15" s="23">
        <v>1.56990522640302</v>
      </c>
      <c r="X15" s="45">
        <f t="shared" ref="X15:X46" si="4">(V15-W15)</f>
        <v>7.0094773596979909E-2</v>
      </c>
    </row>
    <row r="16" spans="1:24" x14ac:dyDescent="0.35">
      <c r="A16" s="23">
        <v>4</v>
      </c>
      <c r="B16" s="23">
        <v>4.59</v>
      </c>
      <c r="C16" s="23">
        <v>5.2170008635832001</v>
      </c>
      <c r="D16" s="45">
        <f t="shared" si="0"/>
        <v>-0.62700086358320029</v>
      </c>
      <c r="F16" s="23">
        <v>4</v>
      </c>
      <c r="G16" s="23">
        <v>2.4700000000000002</v>
      </c>
      <c r="H16" s="23">
        <v>2.3979399078644899</v>
      </c>
      <c r="I16" s="45">
        <f t="shared" si="1"/>
        <v>7.2060092135510345E-2</v>
      </c>
      <c r="K16">
        <v>4</v>
      </c>
      <c r="L16">
        <v>1.06</v>
      </c>
      <c r="M16">
        <v>1.13865585971697</v>
      </c>
      <c r="N16" s="45">
        <f t="shared" si="2"/>
        <v>-7.8655859716969978E-2</v>
      </c>
      <c r="P16" s="23">
        <v>1024</v>
      </c>
      <c r="Q16" s="23">
        <v>5.17</v>
      </c>
      <c r="R16" s="23">
        <v>5.1432770479497298</v>
      </c>
      <c r="S16" s="45">
        <f t="shared" si="3"/>
        <v>2.6722952050270088E-2</v>
      </c>
      <c r="U16" s="23">
        <v>17</v>
      </c>
      <c r="V16" s="23">
        <v>1.5</v>
      </c>
      <c r="W16" s="23">
        <v>1.6994413200055101</v>
      </c>
      <c r="X16" s="45">
        <f t="shared" si="4"/>
        <v>-0.19944132000551007</v>
      </c>
    </row>
    <row r="17" spans="1:24" x14ac:dyDescent="0.35">
      <c r="A17" s="23">
        <v>15</v>
      </c>
      <c r="B17" s="23">
        <v>7.66</v>
      </c>
      <c r="C17" s="23">
        <v>8.3902128171156694</v>
      </c>
      <c r="D17" s="45">
        <f t="shared" si="0"/>
        <v>-0.73021281711566921</v>
      </c>
      <c r="F17" s="23">
        <v>15</v>
      </c>
      <c r="G17" s="23">
        <v>3.76</v>
      </c>
      <c r="H17" s="23">
        <v>3.64882276065268</v>
      </c>
      <c r="I17" s="45">
        <f t="shared" si="1"/>
        <v>0.11117723934731982</v>
      </c>
      <c r="K17">
        <v>15</v>
      </c>
      <c r="L17">
        <v>2.14</v>
      </c>
      <c r="M17">
        <v>1.8295988316985501</v>
      </c>
      <c r="N17" s="45">
        <f t="shared" si="2"/>
        <v>0.31040116830145004</v>
      </c>
      <c r="P17" s="23">
        <v>1032</v>
      </c>
      <c r="Q17" s="23">
        <v>5.35</v>
      </c>
      <c r="R17" s="23">
        <v>5.1924045508662804</v>
      </c>
      <c r="S17" s="45">
        <f t="shared" si="3"/>
        <v>0.15759544913371926</v>
      </c>
      <c r="U17" s="23">
        <v>38</v>
      </c>
      <c r="V17" s="23">
        <v>1.78</v>
      </c>
      <c r="W17" s="23">
        <v>1.8086997437357999</v>
      </c>
      <c r="X17" s="45">
        <f t="shared" si="4"/>
        <v>-2.8699743735799865E-2</v>
      </c>
    </row>
    <row r="18" spans="1:24" x14ac:dyDescent="0.35">
      <c r="A18" s="23">
        <v>17</v>
      </c>
      <c r="B18" s="23">
        <v>7.66</v>
      </c>
      <c r="C18" s="23">
        <v>8.5464152697975404</v>
      </c>
      <c r="D18" s="45">
        <f t="shared" si="0"/>
        <v>-0.88641526979754026</v>
      </c>
      <c r="F18" s="23">
        <v>17</v>
      </c>
      <c r="G18" s="23">
        <v>3.89</v>
      </c>
      <c r="H18" s="23">
        <v>3.8387381767450801</v>
      </c>
      <c r="I18" s="45">
        <f t="shared" si="1"/>
        <v>5.1261823254920014E-2</v>
      </c>
      <c r="K18">
        <v>17</v>
      </c>
      <c r="L18">
        <v>1.92</v>
      </c>
      <c r="M18">
        <v>1.8098321261223</v>
      </c>
      <c r="N18" s="45">
        <f t="shared" si="2"/>
        <v>0.11016787387769988</v>
      </c>
      <c r="P18" s="23">
        <v>1033</v>
      </c>
      <c r="Q18" s="23">
        <v>5.28</v>
      </c>
      <c r="R18" s="23">
        <v>4.97038154270835</v>
      </c>
      <c r="S18" s="45">
        <f t="shared" si="3"/>
        <v>0.30961845729165027</v>
      </c>
      <c r="U18" s="23">
        <v>21</v>
      </c>
      <c r="V18" s="23">
        <v>1.35</v>
      </c>
      <c r="W18" s="23">
        <v>1.3972221777840701</v>
      </c>
      <c r="X18" s="45">
        <f t="shared" si="4"/>
        <v>-4.7222177784070007E-2</v>
      </c>
    </row>
    <row r="19" spans="1:24" x14ac:dyDescent="0.35">
      <c r="A19" s="23">
        <v>35</v>
      </c>
      <c r="B19" s="23">
        <v>8.43</v>
      </c>
      <c r="C19" s="23">
        <v>9.08406688423986</v>
      </c>
      <c r="D19" s="45">
        <f t="shared" si="0"/>
        <v>-0.65406688423986026</v>
      </c>
      <c r="F19" s="23">
        <v>35</v>
      </c>
      <c r="G19" s="23">
        <v>3.01</v>
      </c>
      <c r="H19" s="23">
        <v>3.38898172500368</v>
      </c>
      <c r="I19" s="45">
        <f t="shared" si="1"/>
        <v>-0.37898172500368021</v>
      </c>
      <c r="K19">
        <v>35</v>
      </c>
      <c r="L19">
        <v>1.81</v>
      </c>
      <c r="M19">
        <v>1.5765952739262701</v>
      </c>
      <c r="N19" s="45">
        <f t="shared" si="2"/>
        <v>0.23340472607372997</v>
      </c>
      <c r="P19" s="23">
        <v>1044</v>
      </c>
      <c r="Q19" s="23">
        <v>4.6100000000000003</v>
      </c>
      <c r="R19" s="23">
        <v>4.2757341932986801</v>
      </c>
      <c r="S19" s="45">
        <f t="shared" si="3"/>
        <v>0.33426580670132022</v>
      </c>
      <c r="U19" s="23">
        <v>24</v>
      </c>
      <c r="V19" s="23">
        <v>1.37</v>
      </c>
      <c r="W19" s="23">
        <v>1.3261438271793</v>
      </c>
      <c r="X19" s="45">
        <f t="shared" si="4"/>
        <v>4.385617282070009E-2</v>
      </c>
    </row>
    <row r="20" spans="1:24" x14ac:dyDescent="0.35">
      <c r="A20" s="23">
        <v>38</v>
      </c>
      <c r="B20" s="23">
        <v>9.17</v>
      </c>
      <c r="C20" s="23">
        <v>9.2121639814864391</v>
      </c>
      <c r="D20" s="45">
        <f t="shared" si="0"/>
        <v>-4.2163981486439184E-2</v>
      </c>
      <c r="F20" s="23">
        <v>38</v>
      </c>
      <c r="G20" s="23">
        <v>3.77</v>
      </c>
      <c r="H20" s="23">
        <v>3.6901700716358499</v>
      </c>
      <c r="I20" s="45">
        <f t="shared" si="1"/>
        <v>7.9829928364150149E-2</v>
      </c>
      <c r="K20">
        <v>38</v>
      </c>
      <c r="L20">
        <v>2.11</v>
      </c>
      <c r="M20">
        <v>1.937973665004</v>
      </c>
      <c r="N20" s="45">
        <f t="shared" si="2"/>
        <v>0.17202633499599984</v>
      </c>
      <c r="P20" s="23">
        <v>1052</v>
      </c>
      <c r="Q20" s="23">
        <v>4.34</v>
      </c>
      <c r="R20" s="23">
        <v>4.7126863034057198</v>
      </c>
      <c r="S20" s="45">
        <f t="shared" si="3"/>
        <v>-0.37268630340571995</v>
      </c>
      <c r="U20" s="23">
        <v>30</v>
      </c>
      <c r="V20" s="23">
        <v>1.8</v>
      </c>
      <c r="W20" s="23">
        <v>1.79018736839258</v>
      </c>
      <c r="X20" s="45">
        <f t="shared" si="4"/>
        <v>9.8126316074200748E-3</v>
      </c>
    </row>
    <row r="21" spans="1:24" x14ac:dyDescent="0.35">
      <c r="A21" s="23">
        <v>30</v>
      </c>
      <c r="B21" s="23">
        <v>8.7200000000000006</v>
      </c>
      <c r="C21" s="23">
        <v>8.3565824457169207</v>
      </c>
      <c r="D21" s="45">
        <f t="shared" si="0"/>
        <v>0.36341755428307998</v>
      </c>
      <c r="F21" s="23">
        <v>30</v>
      </c>
      <c r="G21" s="23">
        <v>3.6</v>
      </c>
      <c r="H21" s="23">
        <v>3.5651702122985802</v>
      </c>
      <c r="I21" s="45">
        <f t="shared" si="1"/>
        <v>3.4829787701419868E-2</v>
      </c>
      <c r="K21">
        <v>21</v>
      </c>
      <c r="L21">
        <v>1.1000000000000001</v>
      </c>
      <c r="M21">
        <v>1.1013150767125099</v>
      </c>
      <c r="N21" s="45">
        <f t="shared" si="2"/>
        <v>-1.315076712509855E-3</v>
      </c>
      <c r="P21" s="23">
        <v>1058</v>
      </c>
      <c r="Q21" s="23">
        <v>4.2699999999999996</v>
      </c>
      <c r="R21" s="23">
        <v>4.3835873936962804</v>
      </c>
      <c r="S21" s="45">
        <f t="shared" si="3"/>
        <v>-0.11358739369628079</v>
      </c>
      <c r="U21" s="23">
        <v>1</v>
      </c>
      <c r="V21" s="23">
        <v>2.75</v>
      </c>
      <c r="W21" s="23">
        <v>2.4876773503199199</v>
      </c>
      <c r="X21" s="45">
        <f t="shared" si="4"/>
        <v>0.26232264968008012</v>
      </c>
    </row>
    <row r="22" spans="1:24" x14ac:dyDescent="0.35">
      <c r="A22" s="23">
        <v>1</v>
      </c>
      <c r="B22" s="23">
        <v>9.41</v>
      </c>
      <c r="C22" s="23">
        <v>9.6509117443754295</v>
      </c>
      <c r="D22" s="45">
        <f t="shared" si="0"/>
        <v>-0.24091174437542939</v>
      </c>
      <c r="F22" s="23">
        <v>2</v>
      </c>
      <c r="G22" s="23">
        <v>5.3</v>
      </c>
      <c r="H22" s="23">
        <v>5.3509704142442098</v>
      </c>
      <c r="I22" s="45">
        <f t="shared" si="1"/>
        <v>-5.0970414244210005E-2</v>
      </c>
      <c r="K22">
        <v>24</v>
      </c>
      <c r="L22">
        <v>1.1200000000000001</v>
      </c>
      <c r="M22">
        <v>1.2407607926844499</v>
      </c>
      <c r="N22" s="45">
        <f t="shared" si="2"/>
        <v>-0.12076079268444984</v>
      </c>
      <c r="P22" s="23">
        <v>1069</v>
      </c>
      <c r="Q22" s="23">
        <v>3.93</v>
      </c>
      <c r="R22" s="23">
        <v>4.1928704283407701</v>
      </c>
      <c r="S22" s="45">
        <f t="shared" si="3"/>
        <v>-0.2628704283407699</v>
      </c>
      <c r="U22" s="23">
        <v>2</v>
      </c>
      <c r="V22" s="23">
        <v>2.6</v>
      </c>
      <c r="W22" s="23">
        <v>2.4953353129049498</v>
      </c>
      <c r="X22" s="45">
        <f t="shared" si="4"/>
        <v>0.10466468709505028</v>
      </c>
    </row>
    <row r="23" spans="1:24" x14ac:dyDescent="0.35">
      <c r="A23" s="23">
        <v>2</v>
      </c>
      <c r="B23" s="23">
        <v>9.33</v>
      </c>
      <c r="C23" s="23">
        <v>9.6830092560880807</v>
      </c>
      <c r="D23" s="45">
        <f t="shared" si="0"/>
        <v>-0.35300925608808065</v>
      </c>
      <c r="F23" s="23">
        <v>5</v>
      </c>
      <c r="G23" s="23">
        <v>4.47</v>
      </c>
      <c r="H23" s="23">
        <v>4.86984689058065</v>
      </c>
      <c r="I23" s="45">
        <f t="shared" si="1"/>
        <v>-0.39984689058065026</v>
      </c>
      <c r="K23">
        <v>30</v>
      </c>
      <c r="L23">
        <v>1.21</v>
      </c>
      <c r="M23">
        <v>1.31490735627382</v>
      </c>
      <c r="N23" s="45">
        <f t="shared" si="2"/>
        <v>-0.10490735627382008</v>
      </c>
      <c r="P23" s="23">
        <v>1079</v>
      </c>
      <c r="Q23" s="23">
        <v>2.13</v>
      </c>
      <c r="R23" s="23">
        <v>2.6099797317075</v>
      </c>
      <c r="S23" s="45">
        <f t="shared" si="3"/>
        <v>-0.47997973170750008</v>
      </c>
      <c r="U23" s="23">
        <v>5</v>
      </c>
      <c r="V23" s="23">
        <v>1.96</v>
      </c>
      <c r="W23" s="23">
        <v>2.0516689605982199</v>
      </c>
      <c r="X23" s="45">
        <f t="shared" si="4"/>
        <v>-9.166896059821994E-2</v>
      </c>
    </row>
    <row r="24" spans="1:24" x14ac:dyDescent="0.35">
      <c r="A24" s="23">
        <v>5</v>
      </c>
      <c r="B24" s="23">
        <v>10.6</v>
      </c>
      <c r="C24" s="23">
        <v>10.406136066282601</v>
      </c>
      <c r="D24" s="45">
        <f t="shared" si="0"/>
        <v>0.19386393371739885</v>
      </c>
      <c r="F24" s="23">
        <v>7</v>
      </c>
      <c r="G24" s="23">
        <v>3.66</v>
      </c>
      <c r="H24" s="23">
        <v>3.79515404351138</v>
      </c>
      <c r="I24" s="45">
        <f t="shared" si="1"/>
        <v>-0.13515404351137983</v>
      </c>
      <c r="K24">
        <v>1</v>
      </c>
      <c r="L24">
        <v>2.5</v>
      </c>
      <c r="M24">
        <v>2.4778447718002998</v>
      </c>
      <c r="N24" s="45">
        <f t="shared" si="2"/>
        <v>2.2155228199700172E-2</v>
      </c>
      <c r="P24" s="23">
        <v>1084</v>
      </c>
      <c r="Q24" s="23">
        <v>5.4</v>
      </c>
      <c r="R24" s="23">
        <v>5.4374962687599</v>
      </c>
      <c r="S24" s="45">
        <f t="shared" si="3"/>
        <v>-3.7496268759899642E-2</v>
      </c>
      <c r="U24" s="23">
        <v>7</v>
      </c>
      <c r="V24" s="23">
        <v>1.38</v>
      </c>
      <c r="W24" s="23">
        <v>1.6101612489199499</v>
      </c>
      <c r="X24" s="45">
        <f t="shared" si="4"/>
        <v>-0.23016124891995005</v>
      </c>
    </row>
    <row r="25" spans="1:24" x14ac:dyDescent="0.35">
      <c r="A25" s="23">
        <v>7</v>
      </c>
      <c r="B25" s="23">
        <v>9.49</v>
      </c>
      <c r="C25" s="23">
        <v>8.8977794637522791</v>
      </c>
      <c r="D25" s="45">
        <f t="shared" si="0"/>
        <v>0.59222053624772109</v>
      </c>
      <c r="F25" s="23">
        <v>9</v>
      </c>
      <c r="G25" s="23">
        <v>5.16</v>
      </c>
      <c r="H25" s="23">
        <v>5.4404803073995502</v>
      </c>
      <c r="I25" s="45">
        <f t="shared" si="1"/>
        <v>-0.2804803073995501</v>
      </c>
      <c r="K25">
        <v>2</v>
      </c>
      <c r="L25">
        <v>2.2999999999999998</v>
      </c>
      <c r="M25">
        <v>2.4409299467935699</v>
      </c>
      <c r="N25" s="45">
        <f t="shared" si="2"/>
        <v>-0.14092994679357007</v>
      </c>
      <c r="P25" s="23">
        <v>1088</v>
      </c>
      <c r="Q25" s="23">
        <v>2.81</v>
      </c>
      <c r="R25" s="23">
        <v>2.5599222024134698</v>
      </c>
      <c r="S25" s="45">
        <f t="shared" si="3"/>
        <v>0.25007779758653026</v>
      </c>
      <c r="U25" s="23">
        <v>9</v>
      </c>
      <c r="V25" s="23">
        <v>2.06</v>
      </c>
      <c r="W25" s="23">
        <v>2.1064148375010499</v>
      </c>
      <c r="X25" s="45">
        <f t="shared" si="4"/>
        <v>-4.6414837501049799E-2</v>
      </c>
    </row>
    <row r="26" spans="1:24" x14ac:dyDescent="0.35">
      <c r="A26" s="23">
        <v>1</v>
      </c>
      <c r="B26" s="23">
        <v>4.0999999999999996</v>
      </c>
      <c r="C26" s="23">
        <v>4.2592156923664604</v>
      </c>
      <c r="D26" s="45">
        <f t="shared" si="0"/>
        <v>-0.15921569236646071</v>
      </c>
      <c r="F26" s="23">
        <v>10</v>
      </c>
      <c r="G26" s="23">
        <v>6.1</v>
      </c>
      <c r="H26" s="23">
        <v>5.8599769285866898</v>
      </c>
      <c r="I26" s="45">
        <f t="shared" si="1"/>
        <v>0.24002307141330981</v>
      </c>
      <c r="K26">
        <v>5</v>
      </c>
      <c r="L26">
        <v>2.5</v>
      </c>
      <c r="M26">
        <v>2.5989309127901499</v>
      </c>
      <c r="N26" s="45">
        <f t="shared" si="2"/>
        <v>-9.8930912790149872E-2</v>
      </c>
      <c r="P26" s="23">
        <v>1090</v>
      </c>
      <c r="Q26" s="23">
        <v>5.08</v>
      </c>
      <c r="R26" s="23">
        <v>4.4446044316545201</v>
      </c>
      <c r="S26" s="45">
        <f t="shared" si="3"/>
        <v>0.63539556834547994</v>
      </c>
      <c r="U26" s="23">
        <v>10</v>
      </c>
      <c r="V26" s="23">
        <v>2.44</v>
      </c>
      <c r="W26" s="23">
        <v>2.2373500847646901</v>
      </c>
      <c r="X26" s="45">
        <f t="shared" si="4"/>
        <v>0.20264991523530984</v>
      </c>
    </row>
    <row r="27" spans="1:24" x14ac:dyDescent="0.35">
      <c r="A27" s="23">
        <v>2</v>
      </c>
      <c r="B27" s="23">
        <v>4.76</v>
      </c>
      <c r="C27" s="23">
        <v>5.1666608758631201</v>
      </c>
      <c r="D27" s="45">
        <f t="shared" si="0"/>
        <v>-0.40666087586312027</v>
      </c>
      <c r="F27" s="23">
        <v>3</v>
      </c>
      <c r="G27" s="23">
        <v>4.3</v>
      </c>
      <c r="H27" s="23">
        <v>4.2503311476030197</v>
      </c>
      <c r="I27" s="45">
        <f t="shared" si="1"/>
        <v>4.9668852396980157E-2</v>
      </c>
      <c r="K27">
        <v>7</v>
      </c>
      <c r="L27">
        <v>1.32</v>
      </c>
      <c r="M27">
        <v>1.8330113334217899</v>
      </c>
      <c r="N27" s="45">
        <f t="shared" si="2"/>
        <v>-0.51301133342178984</v>
      </c>
      <c r="P27" s="23">
        <v>1106</v>
      </c>
      <c r="Q27" s="23">
        <v>3.08</v>
      </c>
      <c r="R27" s="23">
        <v>3.4941036373527101</v>
      </c>
      <c r="S27" s="45">
        <f t="shared" si="3"/>
        <v>-0.41410363735271005</v>
      </c>
      <c r="U27" s="23">
        <v>3</v>
      </c>
      <c r="V27" s="23">
        <v>1.25</v>
      </c>
      <c r="W27" s="23">
        <v>1.43964562261426</v>
      </c>
      <c r="X27" s="45">
        <f t="shared" si="4"/>
        <v>-0.18964562261425999</v>
      </c>
    </row>
    <row r="28" spans="1:24" x14ac:dyDescent="0.35">
      <c r="A28" s="23">
        <v>3</v>
      </c>
      <c r="B28" s="23">
        <v>9.76</v>
      </c>
      <c r="C28" s="23">
        <v>9.6615589082098499</v>
      </c>
      <c r="D28" s="45">
        <f t="shared" si="0"/>
        <v>9.8441091790149926E-2</v>
      </c>
      <c r="F28" s="23">
        <v>5</v>
      </c>
      <c r="G28" s="23">
        <v>4.6399999999999997</v>
      </c>
      <c r="H28" s="23">
        <v>4.7805415694465703</v>
      </c>
      <c r="I28" s="45">
        <f t="shared" si="1"/>
        <v>-0.14054156944657059</v>
      </c>
      <c r="K28">
        <v>9</v>
      </c>
      <c r="L28">
        <v>3.26</v>
      </c>
      <c r="M28">
        <v>2.9910167932548899</v>
      </c>
      <c r="N28" s="45">
        <f t="shared" si="2"/>
        <v>0.26898320674510989</v>
      </c>
      <c r="P28" s="23">
        <v>1115</v>
      </c>
      <c r="Q28" s="23">
        <v>4.16</v>
      </c>
      <c r="R28" s="23">
        <v>3.9238705075485001</v>
      </c>
      <c r="S28" s="45">
        <f t="shared" si="3"/>
        <v>0.23612949245150006</v>
      </c>
      <c r="U28" s="23">
        <v>5</v>
      </c>
      <c r="V28" s="23">
        <v>1.64</v>
      </c>
      <c r="W28" s="23">
        <v>1.7188903465749099</v>
      </c>
      <c r="X28" s="45">
        <f t="shared" si="4"/>
        <v>-7.8890346574910009E-2</v>
      </c>
    </row>
    <row r="29" spans="1:24" x14ac:dyDescent="0.35">
      <c r="A29" s="23">
        <v>5</v>
      </c>
      <c r="B29" s="23">
        <v>11.07</v>
      </c>
      <c r="C29" s="23">
        <v>10.6352249934447</v>
      </c>
      <c r="D29" s="45">
        <f t="shared" si="0"/>
        <v>0.43477500655530044</v>
      </c>
      <c r="F29" s="23">
        <v>6</v>
      </c>
      <c r="G29" s="23">
        <v>5.28</v>
      </c>
      <c r="H29" s="23">
        <v>5.0574990174866397</v>
      </c>
      <c r="I29" s="45">
        <f t="shared" si="1"/>
        <v>0.22250098251336059</v>
      </c>
      <c r="K29">
        <v>10</v>
      </c>
      <c r="L29">
        <v>3.36</v>
      </c>
      <c r="M29">
        <v>3.3213491354299598</v>
      </c>
      <c r="N29" s="45">
        <f t="shared" si="2"/>
        <v>3.8650864570040078E-2</v>
      </c>
      <c r="P29" s="23">
        <v>1119</v>
      </c>
      <c r="Q29" s="23">
        <v>3.83</v>
      </c>
      <c r="R29" s="23">
        <v>4.1041406935934104</v>
      </c>
      <c r="S29" s="45">
        <f t="shared" si="3"/>
        <v>-0.27414069359341031</v>
      </c>
      <c r="U29" s="23">
        <v>6</v>
      </c>
      <c r="V29" s="23">
        <v>1.64</v>
      </c>
      <c r="W29" s="23">
        <v>1.8003242340245</v>
      </c>
      <c r="X29" s="45">
        <f t="shared" si="4"/>
        <v>-0.16032423402450013</v>
      </c>
    </row>
    <row r="30" spans="1:24" x14ac:dyDescent="0.35">
      <c r="A30" s="23">
        <v>6</v>
      </c>
      <c r="B30" s="23">
        <v>11.75</v>
      </c>
      <c r="C30" s="23">
        <v>11.1558181782944</v>
      </c>
      <c r="D30" s="45">
        <f t="shared" si="0"/>
        <v>0.5941818217056003</v>
      </c>
      <c r="F30" s="23">
        <v>7</v>
      </c>
      <c r="G30" s="23">
        <v>4.0999999999999996</v>
      </c>
      <c r="H30" s="23">
        <v>3.5874395482367998</v>
      </c>
      <c r="I30" s="45">
        <f t="shared" si="1"/>
        <v>0.51256045176319986</v>
      </c>
      <c r="K30">
        <v>1</v>
      </c>
      <c r="L30">
        <v>0.99</v>
      </c>
      <c r="M30">
        <v>0.88912236704478598</v>
      </c>
      <c r="N30" s="45">
        <f t="shared" si="2"/>
        <v>0.10087763295521401</v>
      </c>
      <c r="P30" s="23">
        <v>1120</v>
      </c>
      <c r="Q30" s="23">
        <v>3.98</v>
      </c>
      <c r="R30" s="23">
        <v>4.22384199591992</v>
      </c>
      <c r="S30" s="45">
        <f t="shared" si="3"/>
        <v>-0.24384199591992006</v>
      </c>
      <c r="U30" s="23">
        <v>9</v>
      </c>
      <c r="V30" s="23">
        <v>1.84</v>
      </c>
      <c r="W30" s="23">
        <v>1.9418158722226699</v>
      </c>
      <c r="X30" s="45">
        <f t="shared" si="4"/>
        <v>-0.10181587222266986</v>
      </c>
    </row>
    <row r="31" spans="1:24" x14ac:dyDescent="0.35">
      <c r="A31" s="23">
        <v>7</v>
      </c>
      <c r="B31" s="23">
        <v>8.9600000000000009</v>
      </c>
      <c r="C31" s="23">
        <v>7.8068444837278497</v>
      </c>
      <c r="D31" s="45">
        <f t="shared" si="0"/>
        <v>1.1531555162721512</v>
      </c>
      <c r="F31" s="23">
        <v>9</v>
      </c>
      <c r="G31" s="23">
        <v>4.24</v>
      </c>
      <c r="H31" s="23">
        <v>4.3008574238329702</v>
      </c>
      <c r="I31" s="45">
        <f t="shared" si="1"/>
        <v>-6.0857423832969992E-2</v>
      </c>
      <c r="K31">
        <v>2</v>
      </c>
      <c r="L31">
        <v>1.1499999999999999</v>
      </c>
      <c r="M31">
        <v>0.98013821840877402</v>
      </c>
      <c r="N31" s="45">
        <f t="shared" si="2"/>
        <v>0.16986178159122589</v>
      </c>
      <c r="P31" s="23">
        <v>1127</v>
      </c>
      <c r="Q31" s="23">
        <v>3.68</v>
      </c>
      <c r="R31" s="23">
        <v>3.3638467045529001</v>
      </c>
      <c r="S31" s="45">
        <f t="shared" si="3"/>
        <v>0.31615329544710002</v>
      </c>
      <c r="U31" s="23">
        <v>11</v>
      </c>
      <c r="V31" s="23">
        <v>1.68</v>
      </c>
      <c r="W31" s="23">
        <v>1.9648867829905501</v>
      </c>
      <c r="X31" s="45">
        <f t="shared" si="4"/>
        <v>-0.28488678299055015</v>
      </c>
    </row>
    <row r="32" spans="1:24" x14ac:dyDescent="0.35">
      <c r="A32" s="23">
        <v>9</v>
      </c>
      <c r="B32" s="23">
        <v>9.1999999999999993</v>
      </c>
      <c r="C32" s="23">
        <v>9.6140161166460008</v>
      </c>
      <c r="D32" s="45">
        <f t="shared" si="0"/>
        <v>-0.41401611664600146</v>
      </c>
      <c r="F32" s="23">
        <v>11</v>
      </c>
      <c r="G32" s="23">
        <v>4.04</v>
      </c>
      <c r="H32" s="23">
        <v>4.21940602955394</v>
      </c>
      <c r="I32" s="45">
        <f t="shared" si="1"/>
        <v>-0.17940602955393992</v>
      </c>
      <c r="K32">
        <v>3</v>
      </c>
      <c r="L32">
        <v>1.7</v>
      </c>
      <c r="M32">
        <v>1.7284593489995499</v>
      </c>
      <c r="N32" s="45">
        <f t="shared" si="2"/>
        <v>-2.8459348999549938E-2</v>
      </c>
      <c r="P32" s="23">
        <v>1134</v>
      </c>
      <c r="Q32" s="23">
        <v>4.88</v>
      </c>
      <c r="R32" s="23">
        <v>4.5748673509238804</v>
      </c>
      <c r="S32" s="45">
        <f t="shared" si="3"/>
        <v>0.30513264907611948</v>
      </c>
      <c r="U32" s="23">
        <v>12</v>
      </c>
      <c r="V32" s="23">
        <v>1.66</v>
      </c>
      <c r="W32" s="23">
        <v>1.7874364316631499</v>
      </c>
      <c r="X32" s="45">
        <f t="shared" si="4"/>
        <v>-0.12743643166315</v>
      </c>
    </row>
    <row r="33" spans="1:24" x14ac:dyDescent="0.35">
      <c r="A33" s="23">
        <v>11</v>
      </c>
      <c r="B33" s="23">
        <v>7.36</v>
      </c>
      <c r="C33" s="23">
        <v>8.5464341287146208</v>
      </c>
      <c r="D33" s="45">
        <f t="shared" si="0"/>
        <v>-1.1864341287146205</v>
      </c>
      <c r="F33" s="23">
        <v>12</v>
      </c>
      <c r="G33" s="23">
        <v>3.74</v>
      </c>
      <c r="H33" s="23">
        <v>3.8271091312971799</v>
      </c>
      <c r="I33" s="45">
        <f t="shared" si="1"/>
        <v>-8.7109131297179676E-2</v>
      </c>
      <c r="K33">
        <v>5</v>
      </c>
      <c r="L33">
        <v>2.02</v>
      </c>
      <c r="M33">
        <v>2.1877890912365401</v>
      </c>
      <c r="N33" s="45">
        <f t="shared" si="2"/>
        <v>-0.16778909123654007</v>
      </c>
      <c r="P33" s="23">
        <v>1138</v>
      </c>
      <c r="Q33" s="23">
        <v>2.23</v>
      </c>
      <c r="R33" s="23">
        <v>3.06702645826388</v>
      </c>
      <c r="S33" s="45">
        <f t="shared" si="3"/>
        <v>-0.83702645826388</v>
      </c>
      <c r="U33" s="23">
        <v>13</v>
      </c>
      <c r="V33" s="23">
        <v>1.73</v>
      </c>
      <c r="W33" s="23">
        <v>1.86010635867517</v>
      </c>
      <c r="X33" s="45">
        <f t="shared" si="4"/>
        <v>-0.13010635867517006</v>
      </c>
    </row>
    <row r="34" spans="1:24" x14ac:dyDescent="0.35">
      <c r="A34" s="23">
        <v>12</v>
      </c>
      <c r="B34" s="23">
        <v>6.91</v>
      </c>
      <c r="C34" s="23">
        <v>7.5919020627136398</v>
      </c>
      <c r="D34" s="45">
        <f t="shared" si="0"/>
        <v>-0.68190206271363962</v>
      </c>
      <c r="F34" s="23">
        <v>13</v>
      </c>
      <c r="G34" s="23">
        <v>3.94</v>
      </c>
      <c r="H34" s="23">
        <v>3.9747275496913002</v>
      </c>
      <c r="I34" s="45">
        <f t="shared" si="1"/>
        <v>-3.4727549691300208E-2</v>
      </c>
      <c r="K34">
        <v>6</v>
      </c>
      <c r="L34">
        <v>2.2999999999999998</v>
      </c>
      <c r="M34">
        <v>2.3489967196040502</v>
      </c>
      <c r="N34" s="45">
        <f t="shared" si="2"/>
        <v>-4.8996719604050387E-2</v>
      </c>
      <c r="P34" s="23">
        <v>1153</v>
      </c>
      <c r="Q34" s="23">
        <v>5.26</v>
      </c>
      <c r="R34" s="23">
        <v>4.95082709872813</v>
      </c>
      <c r="S34" s="45">
        <f t="shared" si="3"/>
        <v>0.3091729012718698</v>
      </c>
      <c r="U34" s="23">
        <v>15</v>
      </c>
      <c r="V34" s="23">
        <v>2.23</v>
      </c>
      <c r="W34" s="23">
        <v>2.2658693583526199</v>
      </c>
      <c r="X34" s="45">
        <f t="shared" si="4"/>
        <v>-3.5869358352619951E-2</v>
      </c>
    </row>
    <row r="35" spans="1:24" x14ac:dyDescent="0.35">
      <c r="A35" s="23">
        <v>13</v>
      </c>
      <c r="B35" s="23">
        <v>7.66</v>
      </c>
      <c r="C35" s="23">
        <v>7.8498050149534899</v>
      </c>
      <c r="D35" s="45">
        <f t="shared" si="0"/>
        <v>-0.18980501495348978</v>
      </c>
      <c r="F35" s="23">
        <v>15</v>
      </c>
      <c r="G35" s="23">
        <v>5.67</v>
      </c>
      <c r="H35" s="23">
        <v>5.6365810201604702</v>
      </c>
      <c r="I35" s="45">
        <f t="shared" si="1"/>
        <v>3.3418979839529683E-2</v>
      </c>
      <c r="K35">
        <v>7</v>
      </c>
      <c r="L35">
        <v>1.68</v>
      </c>
      <c r="M35">
        <v>1.5497400381447901</v>
      </c>
      <c r="N35" s="45">
        <f t="shared" si="2"/>
        <v>0.13025996185520983</v>
      </c>
      <c r="P35" s="23">
        <v>1190</v>
      </c>
      <c r="Q35" s="23">
        <v>4.03</v>
      </c>
      <c r="R35" s="23">
        <v>4.4754631322733598</v>
      </c>
      <c r="S35" s="45">
        <f t="shared" si="3"/>
        <v>-0.44546313227335954</v>
      </c>
      <c r="U35" s="23">
        <v>17</v>
      </c>
      <c r="V35" s="23">
        <v>1.33</v>
      </c>
      <c r="W35" s="23">
        <v>1.3907833601352799</v>
      </c>
      <c r="X35" s="45">
        <f t="shared" si="4"/>
        <v>-6.0783360135279851E-2</v>
      </c>
    </row>
    <row r="36" spans="1:24" x14ac:dyDescent="0.35">
      <c r="A36" s="23">
        <v>15</v>
      </c>
      <c r="B36" s="23">
        <v>12.13</v>
      </c>
      <c r="C36" s="23">
        <v>11.883775632535</v>
      </c>
      <c r="D36" s="45">
        <f t="shared" si="0"/>
        <v>0.24622436746500043</v>
      </c>
      <c r="F36" s="23">
        <v>17</v>
      </c>
      <c r="G36" s="23">
        <v>3.33</v>
      </c>
      <c r="H36" s="23">
        <v>3.3643784462183</v>
      </c>
      <c r="I36" s="45">
        <f t="shared" si="1"/>
        <v>-3.4378446218299885E-2</v>
      </c>
      <c r="K36">
        <v>9</v>
      </c>
      <c r="L36">
        <v>2.36</v>
      </c>
      <c r="M36">
        <v>2.1258703263437</v>
      </c>
      <c r="N36" s="45">
        <f t="shared" si="2"/>
        <v>0.23412967365629989</v>
      </c>
      <c r="P36" s="23">
        <v>1193</v>
      </c>
      <c r="Q36" s="23">
        <v>4.6100000000000003</v>
      </c>
      <c r="R36" s="23">
        <v>4.3513001223876797</v>
      </c>
      <c r="S36" s="45">
        <f t="shared" si="3"/>
        <v>0.25869987761232061</v>
      </c>
      <c r="U36" s="23">
        <v>19</v>
      </c>
      <c r="V36" s="23">
        <v>1.63</v>
      </c>
      <c r="W36" s="23">
        <v>1.9705484399330899</v>
      </c>
      <c r="X36" s="45">
        <f t="shared" si="4"/>
        <v>-0.34054843993309003</v>
      </c>
    </row>
    <row r="37" spans="1:24" x14ac:dyDescent="0.35">
      <c r="A37" s="23">
        <v>17</v>
      </c>
      <c r="B37" s="23">
        <v>7.35</v>
      </c>
      <c r="C37" s="23">
        <v>8.9272642735231607</v>
      </c>
      <c r="D37" s="45">
        <f t="shared" si="0"/>
        <v>-1.577264273523161</v>
      </c>
      <c r="F37" s="23">
        <v>19</v>
      </c>
      <c r="G37" s="23">
        <v>4.07</v>
      </c>
      <c r="H37" s="23">
        <v>4.3852295139403203</v>
      </c>
      <c r="I37" s="45">
        <f t="shared" si="1"/>
        <v>-0.31522951394032006</v>
      </c>
      <c r="K37">
        <v>11</v>
      </c>
      <c r="L37">
        <v>2.1</v>
      </c>
      <c r="M37">
        <v>2.1313577587944499</v>
      </c>
      <c r="N37" s="45">
        <f t="shared" si="2"/>
        <v>-3.1357758794449797E-2</v>
      </c>
      <c r="P37" s="23">
        <v>1195</v>
      </c>
      <c r="Q37" s="23">
        <v>4.22</v>
      </c>
      <c r="R37" s="23">
        <v>4.3188379300050999</v>
      </c>
      <c r="S37" s="45">
        <f t="shared" si="3"/>
        <v>-9.8837930005100105E-2</v>
      </c>
      <c r="U37" s="23">
        <v>21</v>
      </c>
      <c r="V37" s="23">
        <v>1.93</v>
      </c>
      <c r="W37" s="23">
        <v>1.9784006373087899</v>
      </c>
      <c r="X37" s="45">
        <f t="shared" si="4"/>
        <v>-4.8400637308789962E-2</v>
      </c>
    </row>
    <row r="38" spans="1:24" x14ac:dyDescent="0.35">
      <c r="A38" s="23">
        <v>19</v>
      </c>
      <c r="B38" s="23">
        <v>8.66</v>
      </c>
      <c r="C38" s="23">
        <v>8.6542503637286394</v>
      </c>
      <c r="D38" s="45">
        <f t="shared" si="0"/>
        <v>5.7496362713607141E-3</v>
      </c>
      <c r="F38" s="23">
        <v>21</v>
      </c>
      <c r="G38" s="23">
        <v>4.82</v>
      </c>
      <c r="H38" s="23">
        <v>4.6080079366921201</v>
      </c>
      <c r="I38" s="45">
        <f t="shared" si="1"/>
        <v>0.21199206330788023</v>
      </c>
      <c r="K38">
        <v>12</v>
      </c>
      <c r="L38">
        <v>2.0299999999999998</v>
      </c>
      <c r="M38">
        <v>1.9676906812444901</v>
      </c>
      <c r="N38" s="45">
        <f t="shared" si="2"/>
        <v>6.2309318755509713E-2</v>
      </c>
      <c r="P38" s="23">
        <v>1196</v>
      </c>
      <c r="Q38" s="23">
        <v>4.8499999999999996</v>
      </c>
      <c r="R38" s="23">
        <v>4.8651666620584999</v>
      </c>
      <c r="S38" s="45">
        <f t="shared" si="3"/>
        <v>-1.5166662058500258E-2</v>
      </c>
      <c r="U38" s="23">
        <v>2</v>
      </c>
      <c r="V38" s="23">
        <v>2.33</v>
      </c>
      <c r="W38" s="23">
        <v>2.2158665160428099</v>
      </c>
      <c r="X38" s="45">
        <f t="shared" si="4"/>
        <v>0.11413348395719014</v>
      </c>
    </row>
    <row r="39" spans="1:24" x14ac:dyDescent="0.35">
      <c r="A39" s="23">
        <v>21</v>
      </c>
      <c r="B39" s="23">
        <v>10.34</v>
      </c>
      <c r="C39" s="23">
        <v>9.4576433567917508</v>
      </c>
      <c r="D39" s="45">
        <f t="shared" si="0"/>
        <v>0.88235664320824903</v>
      </c>
      <c r="F39" s="23">
        <v>2</v>
      </c>
      <c r="G39" s="23">
        <v>5.69</v>
      </c>
      <c r="H39" s="23">
        <v>5.6321162527535504</v>
      </c>
      <c r="I39" s="45">
        <f t="shared" si="1"/>
        <v>5.7883747246449957E-2</v>
      </c>
      <c r="K39">
        <v>13</v>
      </c>
      <c r="L39">
        <v>2.11</v>
      </c>
      <c r="M39">
        <v>2.0253875475960199</v>
      </c>
      <c r="N39" s="45">
        <f t="shared" si="2"/>
        <v>8.4612452403979965E-2</v>
      </c>
      <c r="P39" s="23">
        <v>1203</v>
      </c>
      <c r="Q39" s="23">
        <v>3.87</v>
      </c>
      <c r="R39" s="23">
        <v>4.2400611818677296</v>
      </c>
      <c r="S39" s="45">
        <f t="shared" si="3"/>
        <v>-0.37006118186772952</v>
      </c>
      <c r="U39" s="23">
        <v>4</v>
      </c>
      <c r="V39" s="23">
        <v>1.59</v>
      </c>
      <c r="W39" s="23">
        <v>1.44339465741308</v>
      </c>
      <c r="X39" s="45">
        <f t="shared" si="4"/>
        <v>0.14660534258692004</v>
      </c>
    </row>
    <row r="40" spans="1:24" x14ac:dyDescent="0.35">
      <c r="A40" s="23">
        <v>2</v>
      </c>
      <c r="B40" s="23">
        <v>12.56</v>
      </c>
      <c r="C40" s="23">
        <v>12.3292837980927</v>
      </c>
      <c r="D40" s="45">
        <f t="shared" si="0"/>
        <v>0.2307162019073008</v>
      </c>
      <c r="F40" s="23">
        <v>4</v>
      </c>
      <c r="G40" s="23">
        <v>3.65</v>
      </c>
      <c r="H40" s="23">
        <v>3.6642961103436398</v>
      </c>
      <c r="I40" s="45">
        <f t="shared" si="1"/>
        <v>-1.4296110343639867E-2</v>
      </c>
      <c r="K40">
        <v>15</v>
      </c>
      <c r="L40">
        <v>2.2799999999999998</v>
      </c>
      <c r="M40">
        <v>2.3671290859412601</v>
      </c>
      <c r="N40" s="45">
        <f t="shared" si="2"/>
        <v>-8.7129085941260342E-2</v>
      </c>
      <c r="P40" s="23">
        <v>1204</v>
      </c>
      <c r="Q40" s="23">
        <v>3.85</v>
      </c>
      <c r="R40" s="23">
        <v>4.3551112655042896</v>
      </c>
      <c r="S40" s="45">
        <f t="shared" si="3"/>
        <v>-0.50511126550428953</v>
      </c>
      <c r="U40" s="23">
        <v>701</v>
      </c>
      <c r="V40" s="23">
        <v>2.25</v>
      </c>
      <c r="W40" s="23">
        <v>2.1154157345033999</v>
      </c>
      <c r="X40" s="45">
        <f t="shared" si="4"/>
        <v>0.13458426549660008</v>
      </c>
    </row>
    <row r="41" spans="1:24" x14ac:dyDescent="0.35">
      <c r="A41" s="23">
        <v>4</v>
      </c>
      <c r="B41" s="23">
        <v>7.55</v>
      </c>
      <c r="C41" s="23">
        <v>8.8618157948902105</v>
      </c>
      <c r="D41" s="45">
        <f t="shared" si="0"/>
        <v>-1.3118157948902107</v>
      </c>
      <c r="F41" s="23">
        <v>701</v>
      </c>
      <c r="G41" s="23">
        <v>5.54</v>
      </c>
      <c r="H41" s="23">
        <v>5.3748517833043898</v>
      </c>
      <c r="I41" s="45">
        <f t="shared" si="1"/>
        <v>0.16514821669561019</v>
      </c>
      <c r="K41">
        <v>17</v>
      </c>
      <c r="L41">
        <v>1.42</v>
      </c>
      <c r="M41">
        <v>1.4504023261183501</v>
      </c>
      <c r="N41" s="45">
        <f t="shared" si="2"/>
        <v>-3.0402326118350143E-2</v>
      </c>
      <c r="P41" s="23">
        <v>1205</v>
      </c>
      <c r="Q41" s="23">
        <v>4.32</v>
      </c>
      <c r="R41" s="23">
        <v>4.2617226368838201</v>
      </c>
      <c r="S41" s="45">
        <f t="shared" si="3"/>
        <v>5.8277363116180148E-2</v>
      </c>
      <c r="U41" s="23">
        <v>722</v>
      </c>
      <c r="V41" s="23">
        <v>1.54</v>
      </c>
      <c r="W41" s="23">
        <v>1.61636022801979</v>
      </c>
      <c r="X41" s="45">
        <f t="shared" si="4"/>
        <v>-7.6360228019789922E-2</v>
      </c>
    </row>
    <row r="42" spans="1:24" x14ac:dyDescent="0.35">
      <c r="A42" s="23">
        <v>701</v>
      </c>
      <c r="B42" s="23">
        <v>12.3</v>
      </c>
      <c r="C42" s="23">
        <v>12.1597540077579</v>
      </c>
      <c r="D42" s="45">
        <f t="shared" si="0"/>
        <v>0.14024599224210021</v>
      </c>
      <c r="F42" s="23">
        <v>722</v>
      </c>
      <c r="G42" s="23">
        <v>3.92</v>
      </c>
      <c r="H42" s="23">
        <v>4.1311116359648903</v>
      </c>
      <c r="I42" s="45">
        <f t="shared" si="1"/>
        <v>-0.21111163596489035</v>
      </c>
      <c r="K42">
        <v>21</v>
      </c>
      <c r="L42">
        <v>1.88</v>
      </c>
      <c r="M42">
        <v>2.2598027764342601</v>
      </c>
      <c r="N42" s="45">
        <f t="shared" si="2"/>
        <v>-0.37980277643426019</v>
      </c>
      <c r="P42" s="23">
        <v>1206</v>
      </c>
      <c r="Q42" s="23">
        <v>3.56</v>
      </c>
      <c r="R42" s="23">
        <v>3.5826750318489902</v>
      </c>
      <c r="S42" s="45">
        <f t="shared" si="3"/>
        <v>-2.2675031848990113E-2</v>
      </c>
      <c r="U42" s="23">
        <v>771</v>
      </c>
      <c r="V42" s="23">
        <v>1.42</v>
      </c>
      <c r="W42" s="23">
        <v>1.4412403678152901</v>
      </c>
      <c r="X42" s="45">
        <f t="shared" si="4"/>
        <v>-2.1240367815290151E-2</v>
      </c>
    </row>
    <row r="43" spans="1:24" x14ac:dyDescent="0.35">
      <c r="A43" s="23">
        <v>722</v>
      </c>
      <c r="B43" s="23">
        <v>11.79</v>
      </c>
      <c r="C43" s="23">
        <v>11.567935197495601</v>
      </c>
      <c r="D43" s="45">
        <f t="shared" si="0"/>
        <v>0.22206480250439853</v>
      </c>
      <c r="F43" s="23">
        <v>771</v>
      </c>
      <c r="G43" s="23">
        <v>3.46</v>
      </c>
      <c r="H43" s="23">
        <v>3.4514824598946099</v>
      </c>
      <c r="I43" s="45">
        <f t="shared" si="1"/>
        <v>8.5175401053900757E-3</v>
      </c>
      <c r="K43">
        <v>4</v>
      </c>
      <c r="L43">
        <v>1.59</v>
      </c>
      <c r="M43">
        <v>1.59851486566097</v>
      </c>
      <c r="N43" s="45">
        <f t="shared" si="2"/>
        <v>-8.514865660969928E-3</v>
      </c>
      <c r="P43" s="23">
        <v>1207</v>
      </c>
      <c r="Q43" s="23">
        <v>3.66</v>
      </c>
      <c r="R43" s="23">
        <v>3.7923436784512301</v>
      </c>
      <c r="S43" s="45">
        <f t="shared" si="3"/>
        <v>-0.13234367845122996</v>
      </c>
      <c r="U43" s="23">
        <v>103</v>
      </c>
      <c r="V43" s="23">
        <v>1.6</v>
      </c>
      <c r="W43" s="23">
        <v>1.29957127262964</v>
      </c>
      <c r="X43" s="45">
        <f t="shared" si="4"/>
        <v>0.30042872737036008</v>
      </c>
    </row>
    <row r="44" spans="1:24" x14ac:dyDescent="0.35">
      <c r="A44" s="23">
        <v>771</v>
      </c>
      <c r="B44" s="23">
        <v>8.98</v>
      </c>
      <c r="C44" s="23">
        <v>8.7749270410159994</v>
      </c>
      <c r="D44" s="45">
        <f t="shared" si="0"/>
        <v>0.20507295898400102</v>
      </c>
      <c r="F44" s="23">
        <v>103</v>
      </c>
      <c r="G44" s="23">
        <v>3.47</v>
      </c>
      <c r="H44" s="23">
        <v>3.4754803438670701</v>
      </c>
      <c r="I44" s="45">
        <f t="shared" si="1"/>
        <v>-5.480343867069859E-3</v>
      </c>
      <c r="K44">
        <v>701</v>
      </c>
      <c r="L44">
        <v>2.94</v>
      </c>
      <c r="M44">
        <v>2.55552356443421</v>
      </c>
      <c r="N44" s="45">
        <f t="shared" si="2"/>
        <v>0.38447643556578992</v>
      </c>
      <c r="P44" s="23">
        <v>1209</v>
      </c>
      <c r="Q44" s="23">
        <v>4.9800000000000004</v>
      </c>
      <c r="R44" s="23">
        <v>4.9557001744908202</v>
      </c>
      <c r="S44" s="45">
        <f t="shared" si="3"/>
        <v>2.4299825509180195E-2</v>
      </c>
      <c r="U44" s="23">
        <v>1102</v>
      </c>
      <c r="V44" s="23">
        <v>1.37</v>
      </c>
      <c r="W44" s="23">
        <v>1.2888269107122901</v>
      </c>
      <c r="X44" s="45">
        <f t="shared" si="4"/>
        <v>8.1173089287710054E-2</v>
      </c>
    </row>
    <row r="45" spans="1:24" x14ac:dyDescent="0.35">
      <c r="A45" s="23">
        <v>103</v>
      </c>
      <c r="B45" s="23">
        <v>7.97</v>
      </c>
      <c r="C45" s="23">
        <v>8.9306141390419693</v>
      </c>
      <c r="D45" s="45">
        <f t="shared" si="0"/>
        <v>-0.96061413904196957</v>
      </c>
      <c r="F45" s="23">
        <v>1102</v>
      </c>
      <c r="G45" s="23">
        <v>3.42</v>
      </c>
      <c r="H45" s="23">
        <v>3.3978824552923301</v>
      </c>
      <c r="I45" s="45">
        <f t="shared" si="1"/>
        <v>2.2117544707669801E-2</v>
      </c>
      <c r="K45">
        <v>722</v>
      </c>
      <c r="L45">
        <v>1.54</v>
      </c>
      <c r="M45">
        <v>1.85149215100826</v>
      </c>
      <c r="N45" s="45">
        <f t="shared" si="2"/>
        <v>-0.31149215100826</v>
      </c>
      <c r="P45" s="23">
        <v>1213</v>
      </c>
      <c r="Q45" s="23">
        <v>4.43</v>
      </c>
      <c r="R45" s="23">
        <v>4.6536365802349202</v>
      </c>
      <c r="S45" s="45">
        <f t="shared" si="3"/>
        <v>-0.2236365802349205</v>
      </c>
      <c r="U45" s="23">
        <v>1106</v>
      </c>
      <c r="V45" s="23">
        <v>1.18</v>
      </c>
      <c r="W45" s="23">
        <v>1.361338292416</v>
      </c>
      <c r="X45" s="45">
        <f t="shared" si="4"/>
        <v>-0.18133829241600008</v>
      </c>
    </row>
    <row r="46" spans="1:24" x14ac:dyDescent="0.35">
      <c r="A46" s="23">
        <v>1023</v>
      </c>
      <c r="B46" s="23">
        <v>11.5</v>
      </c>
      <c r="C46" s="23">
        <v>12.142939633441699</v>
      </c>
      <c r="D46" s="45">
        <f t="shared" si="0"/>
        <v>-0.64293963344169924</v>
      </c>
      <c r="F46" s="23">
        <v>1106</v>
      </c>
      <c r="G46" s="23">
        <v>2.96</v>
      </c>
      <c r="H46" s="23">
        <v>3.0170011785526398</v>
      </c>
      <c r="I46" s="45">
        <f t="shared" si="1"/>
        <v>-5.7001178552639864E-2</v>
      </c>
      <c r="K46">
        <v>771</v>
      </c>
      <c r="L46">
        <v>1.42</v>
      </c>
      <c r="M46">
        <v>1.5483916592735001</v>
      </c>
      <c r="N46" s="45">
        <f t="shared" si="2"/>
        <v>-0.12839165927350016</v>
      </c>
      <c r="P46" s="23">
        <v>1215</v>
      </c>
      <c r="Q46" s="23">
        <v>3.77</v>
      </c>
      <c r="R46" s="23">
        <v>4.3176137528440197</v>
      </c>
      <c r="S46" s="45">
        <f t="shared" si="3"/>
        <v>-0.5476137528440197</v>
      </c>
      <c r="U46" s="23">
        <v>1110</v>
      </c>
      <c r="V46" s="23">
        <v>1.21</v>
      </c>
      <c r="W46" s="23">
        <v>1.3267823232956899</v>
      </c>
      <c r="X46" s="45">
        <f t="shared" si="4"/>
        <v>-0.11678232329568994</v>
      </c>
    </row>
    <row r="47" spans="1:24" x14ac:dyDescent="0.35">
      <c r="A47" s="23">
        <v>1024</v>
      </c>
      <c r="B47" s="23">
        <v>12</v>
      </c>
      <c r="C47" s="23">
        <v>11.3172937325888</v>
      </c>
      <c r="D47" s="45">
        <f t="shared" ref="D47:D78" si="5">(B47-C47)</f>
        <v>0.68270626741120033</v>
      </c>
      <c r="F47" s="23">
        <v>1110</v>
      </c>
      <c r="G47" s="23">
        <v>3.02</v>
      </c>
      <c r="H47" s="23">
        <v>3.0345636293273102</v>
      </c>
      <c r="I47" s="45">
        <f t="shared" ref="I47:I78" si="6">(G47-H47)</f>
        <v>-1.4563629327310146E-2</v>
      </c>
      <c r="K47">
        <v>1106</v>
      </c>
      <c r="L47">
        <v>1.35</v>
      </c>
      <c r="M47">
        <v>1.2887172577195301</v>
      </c>
      <c r="N47" s="45">
        <f t="shared" ref="N47:N78" si="7">(L47-M47)</f>
        <v>6.1282742280470037E-2</v>
      </c>
      <c r="P47" s="23">
        <v>1221</v>
      </c>
      <c r="Q47" s="23">
        <v>3.97</v>
      </c>
      <c r="R47" s="23">
        <v>4.0725022368955202</v>
      </c>
      <c r="S47" s="45">
        <f t="shared" ref="S47:S78" si="8">(Q47-R47)</f>
        <v>-0.10250223689551996</v>
      </c>
      <c r="U47" s="23">
        <v>1011</v>
      </c>
      <c r="V47" s="23">
        <v>1.34</v>
      </c>
      <c r="W47" s="23">
        <v>1.3209159288666801</v>
      </c>
      <c r="X47" s="45">
        <f t="shared" ref="X47:X78" si="9">(V47-W47)</f>
        <v>1.9084071133320002E-2</v>
      </c>
    </row>
    <row r="48" spans="1:24" x14ac:dyDescent="0.35">
      <c r="A48" s="23">
        <v>1025</v>
      </c>
      <c r="B48" s="23">
        <v>5.9</v>
      </c>
      <c r="C48" s="23">
        <v>5.2088724187379096</v>
      </c>
      <c r="D48" s="45">
        <f t="shared" si="5"/>
        <v>0.69112758126209073</v>
      </c>
      <c r="F48" s="23">
        <v>1011</v>
      </c>
      <c r="G48" s="23">
        <v>3.36</v>
      </c>
      <c r="H48" s="23">
        <v>3.3192060689801601</v>
      </c>
      <c r="I48" s="45">
        <f t="shared" si="6"/>
        <v>4.0793931019839746E-2</v>
      </c>
      <c r="K48">
        <v>1110</v>
      </c>
      <c r="L48">
        <v>1.32</v>
      </c>
      <c r="M48">
        <v>1.4741006863143</v>
      </c>
      <c r="N48" s="45">
        <f t="shared" si="7"/>
        <v>-0.15410068631429996</v>
      </c>
      <c r="P48" s="23">
        <v>1244</v>
      </c>
      <c r="Q48" s="23">
        <v>5.0599999999999996</v>
      </c>
      <c r="R48" s="23">
        <v>4.41691937631371</v>
      </c>
      <c r="S48" s="45">
        <f t="shared" si="8"/>
        <v>0.6430806236862896</v>
      </c>
      <c r="U48" s="23">
        <v>1023</v>
      </c>
      <c r="V48" s="23">
        <v>2.2000000000000002</v>
      </c>
      <c r="W48" s="23">
        <v>1.99019379509741</v>
      </c>
      <c r="X48" s="45">
        <f t="shared" si="9"/>
        <v>0.20980620490259017</v>
      </c>
    </row>
    <row r="49" spans="1:24" x14ac:dyDescent="0.35">
      <c r="A49" s="23">
        <v>1032</v>
      </c>
      <c r="B49" s="23">
        <v>15.1</v>
      </c>
      <c r="C49" s="23">
        <v>13.4037691704744</v>
      </c>
      <c r="D49" s="45">
        <f t="shared" si="5"/>
        <v>1.6962308295256001</v>
      </c>
      <c r="F49" s="23">
        <v>1023</v>
      </c>
      <c r="G49" s="23">
        <v>4.93</v>
      </c>
      <c r="H49" s="23">
        <v>4.63297641653452</v>
      </c>
      <c r="I49" s="45">
        <f t="shared" si="6"/>
        <v>0.29702358346547975</v>
      </c>
      <c r="K49">
        <v>1011</v>
      </c>
      <c r="L49">
        <v>1.65</v>
      </c>
      <c r="M49">
        <v>1.5316793326307501</v>
      </c>
      <c r="N49" s="45">
        <f t="shared" si="7"/>
        <v>0.11832066736924984</v>
      </c>
      <c r="P49" s="23">
        <v>1246</v>
      </c>
      <c r="Q49" s="23">
        <v>3.95</v>
      </c>
      <c r="R49" s="23">
        <v>3.9989177492564001</v>
      </c>
      <c r="S49" s="45">
        <f t="shared" si="8"/>
        <v>-4.8917749256399912E-2</v>
      </c>
      <c r="U49" s="23">
        <v>1024</v>
      </c>
      <c r="V49" s="23">
        <v>2.13</v>
      </c>
      <c r="W49" s="23">
        <v>1.86346013788753</v>
      </c>
      <c r="X49" s="45">
        <f t="shared" si="9"/>
        <v>0.26653986211246994</v>
      </c>
    </row>
    <row r="50" spans="1:24" x14ac:dyDescent="0.35">
      <c r="A50" s="23">
        <v>1033</v>
      </c>
      <c r="B50" s="23">
        <v>12.5</v>
      </c>
      <c r="C50" s="23">
        <v>12.567896603109601</v>
      </c>
      <c r="D50" s="45">
        <f t="shared" si="5"/>
        <v>-6.7896603109600662E-2</v>
      </c>
      <c r="F50" s="23">
        <v>1024</v>
      </c>
      <c r="G50" s="23">
        <v>4.13</v>
      </c>
      <c r="H50" s="23">
        <v>3.9663967266145499</v>
      </c>
      <c r="I50" s="45">
        <f t="shared" si="6"/>
        <v>0.16360327338545</v>
      </c>
      <c r="K50">
        <v>1023</v>
      </c>
      <c r="L50">
        <v>1.75</v>
      </c>
      <c r="M50">
        <v>1.69585742843236</v>
      </c>
      <c r="N50" s="45">
        <f t="shared" si="7"/>
        <v>5.4142571567640019E-2</v>
      </c>
      <c r="P50" s="23">
        <v>1301</v>
      </c>
      <c r="Q50" s="23">
        <v>6.3</v>
      </c>
      <c r="R50" s="23">
        <v>5.8857923760714597</v>
      </c>
      <c r="S50" s="45">
        <f t="shared" si="8"/>
        <v>0.41420762392854016</v>
      </c>
      <c r="U50" s="23">
        <v>1025</v>
      </c>
      <c r="V50" s="23">
        <v>2.17</v>
      </c>
      <c r="W50" s="23">
        <v>2.0999133177850098</v>
      </c>
      <c r="X50" s="45">
        <f t="shared" si="9"/>
        <v>7.0086682214990148E-2</v>
      </c>
    </row>
    <row r="51" spans="1:24" x14ac:dyDescent="0.35">
      <c r="A51" s="23">
        <v>1044</v>
      </c>
      <c r="B51" s="23">
        <v>11.3</v>
      </c>
      <c r="C51" s="23">
        <v>11.0033859836948</v>
      </c>
      <c r="D51" s="45">
        <f t="shared" si="5"/>
        <v>0.29661401630520068</v>
      </c>
      <c r="F51" s="23">
        <v>1025</v>
      </c>
      <c r="G51" s="23">
        <v>2.5499999999999998</v>
      </c>
      <c r="H51" s="23">
        <v>2.8375194170718201</v>
      </c>
      <c r="I51" s="45">
        <f t="shared" si="6"/>
        <v>-0.28751941707182027</v>
      </c>
      <c r="K51">
        <v>1024</v>
      </c>
      <c r="L51">
        <v>1.91</v>
      </c>
      <c r="M51">
        <v>1.6351756414704299</v>
      </c>
      <c r="N51" s="45">
        <f t="shared" si="7"/>
        <v>0.27482435852956999</v>
      </c>
      <c r="P51" s="23">
        <v>1322</v>
      </c>
      <c r="Q51" s="23">
        <v>2.1800000000000002</v>
      </c>
      <c r="R51" s="23">
        <v>2.1210163197414502</v>
      </c>
      <c r="S51" s="45">
        <f t="shared" si="8"/>
        <v>5.8983680258549942E-2</v>
      </c>
      <c r="U51" s="23">
        <v>1032</v>
      </c>
      <c r="V51" s="23">
        <v>1.99</v>
      </c>
      <c r="W51" s="23">
        <v>2.0021088209914901</v>
      </c>
      <c r="X51" s="45">
        <f t="shared" si="9"/>
        <v>-1.2108820991490132E-2</v>
      </c>
    </row>
    <row r="52" spans="1:24" x14ac:dyDescent="0.35">
      <c r="A52" s="23">
        <v>1052</v>
      </c>
      <c r="B52" s="23">
        <v>11.7</v>
      </c>
      <c r="C52" s="23">
        <v>11.358451637523199</v>
      </c>
      <c r="D52" s="45">
        <f t="shared" si="5"/>
        <v>0.34154836247680009</v>
      </c>
      <c r="F52" s="23">
        <v>1032</v>
      </c>
      <c r="G52" s="23">
        <v>3.92</v>
      </c>
      <c r="H52" s="23">
        <v>4.1328197880939603</v>
      </c>
      <c r="I52" s="45">
        <f t="shared" si="6"/>
        <v>-0.2128197880939604</v>
      </c>
      <c r="K52">
        <v>1025</v>
      </c>
      <c r="L52">
        <v>0.6</v>
      </c>
      <c r="M52">
        <v>1.0438711430988299</v>
      </c>
      <c r="N52" s="45">
        <f t="shared" si="7"/>
        <v>-0.44387114309882991</v>
      </c>
      <c r="P52" s="23">
        <v>1328</v>
      </c>
      <c r="Q52" s="23">
        <v>5.9</v>
      </c>
      <c r="R52" s="23">
        <v>5.0600370306690996</v>
      </c>
      <c r="S52" s="45">
        <f t="shared" si="8"/>
        <v>0.83996296933090075</v>
      </c>
      <c r="U52" s="23">
        <v>1033</v>
      </c>
      <c r="V52" s="23">
        <v>2.0099999999999998</v>
      </c>
      <c r="W52" s="23">
        <v>1.7495408001322801</v>
      </c>
      <c r="X52" s="45">
        <f t="shared" si="9"/>
        <v>0.2604591998677197</v>
      </c>
    </row>
    <row r="53" spans="1:24" x14ac:dyDescent="0.35">
      <c r="A53" s="23">
        <v>1058</v>
      </c>
      <c r="B53" s="23">
        <v>12.5</v>
      </c>
      <c r="C53" s="23">
        <v>12.0818640994639</v>
      </c>
      <c r="D53" s="45">
        <f t="shared" si="5"/>
        <v>0.41813590053610028</v>
      </c>
      <c r="F53" s="23">
        <v>1033</v>
      </c>
      <c r="G53" s="23">
        <v>4.5599999999999996</v>
      </c>
      <c r="H53" s="23">
        <v>3.9497134428609102</v>
      </c>
      <c r="I53" s="45">
        <f t="shared" si="6"/>
        <v>0.61028655713908941</v>
      </c>
      <c r="K53">
        <v>1032</v>
      </c>
      <c r="L53">
        <v>2.1</v>
      </c>
      <c r="M53">
        <v>1.85191798758392</v>
      </c>
      <c r="N53" s="45">
        <f t="shared" si="7"/>
        <v>0.24808201241608008</v>
      </c>
      <c r="P53" s="23">
        <v>1329</v>
      </c>
      <c r="Q53" s="23">
        <v>4.96</v>
      </c>
      <c r="R53" s="23">
        <v>4.7332554612306401</v>
      </c>
      <c r="S53" s="45">
        <f t="shared" si="8"/>
        <v>0.22674453876935985</v>
      </c>
      <c r="U53" s="23">
        <v>1044</v>
      </c>
      <c r="V53" s="23">
        <v>0.83</v>
      </c>
      <c r="W53" s="23">
        <v>0.85989473768316105</v>
      </c>
      <c r="X53" s="45">
        <f t="shared" si="9"/>
        <v>-2.9894737683161088E-2</v>
      </c>
    </row>
    <row r="54" spans="1:24" x14ac:dyDescent="0.35">
      <c r="A54" s="23">
        <v>1069</v>
      </c>
      <c r="B54" s="23">
        <v>9.8000000000000007</v>
      </c>
      <c r="C54" s="23">
        <v>9.0101498225501508</v>
      </c>
      <c r="D54" s="45">
        <f t="shared" si="5"/>
        <v>0.78985017744984987</v>
      </c>
      <c r="F54" s="23">
        <v>1044</v>
      </c>
      <c r="G54" s="23">
        <v>3.59</v>
      </c>
      <c r="H54" s="23">
        <v>3.2819483137580101</v>
      </c>
      <c r="I54" s="45">
        <f t="shared" si="6"/>
        <v>0.30805168624198975</v>
      </c>
      <c r="K54">
        <v>1033</v>
      </c>
      <c r="L54">
        <v>2.5099999999999998</v>
      </c>
      <c r="M54">
        <v>1.8799894100627901</v>
      </c>
      <c r="N54" s="45">
        <f t="shared" si="7"/>
        <v>0.63001058993720971</v>
      </c>
      <c r="P54" s="23">
        <v>1330</v>
      </c>
      <c r="Q54" s="23">
        <v>5.35</v>
      </c>
      <c r="R54" s="23">
        <v>5.2901730928762998</v>
      </c>
      <c r="S54" s="45">
        <f t="shared" si="8"/>
        <v>5.9826907123699868E-2</v>
      </c>
      <c r="U54" s="23">
        <v>1052</v>
      </c>
      <c r="V54" s="23">
        <v>1.69</v>
      </c>
      <c r="W54" s="23">
        <v>1.78890214795115</v>
      </c>
      <c r="X54" s="45">
        <f t="shared" si="9"/>
        <v>-9.8902147951150043E-2</v>
      </c>
    </row>
    <row r="55" spans="1:24" x14ac:dyDescent="0.35">
      <c r="A55" s="23">
        <v>1079</v>
      </c>
      <c r="B55" s="23">
        <v>4</v>
      </c>
      <c r="C55" s="23">
        <v>3.5808301658975701</v>
      </c>
      <c r="D55" s="45">
        <f t="shared" si="5"/>
        <v>0.41916983410242992</v>
      </c>
      <c r="F55" s="23">
        <v>1052</v>
      </c>
      <c r="G55" s="23">
        <v>4.08</v>
      </c>
      <c r="H55" s="23">
        <v>3.8577559208696299</v>
      </c>
      <c r="I55" s="45">
        <f t="shared" si="6"/>
        <v>0.22224407913037014</v>
      </c>
      <c r="K55">
        <v>1052</v>
      </c>
      <c r="L55">
        <v>1.89</v>
      </c>
      <c r="M55">
        <v>1.89992938714507</v>
      </c>
      <c r="N55" s="45">
        <f t="shared" si="7"/>
        <v>-9.9293871450700788E-3</v>
      </c>
      <c r="P55" s="23">
        <v>1337</v>
      </c>
      <c r="Q55" s="23">
        <v>3.51</v>
      </c>
      <c r="R55" s="23">
        <v>4.0775493014017803</v>
      </c>
      <c r="S55" s="45">
        <f t="shared" si="8"/>
        <v>-0.5675493014017805</v>
      </c>
      <c r="U55" s="23">
        <v>1058</v>
      </c>
      <c r="V55" s="23">
        <v>0.89</v>
      </c>
      <c r="W55" s="23">
        <v>1.2981839682438101</v>
      </c>
      <c r="X55" s="45">
        <f t="shared" si="9"/>
        <v>-0.40818396824381009</v>
      </c>
    </row>
    <row r="56" spans="1:24" x14ac:dyDescent="0.35">
      <c r="A56" s="23">
        <v>1084</v>
      </c>
      <c r="B56" s="23">
        <v>14.9</v>
      </c>
      <c r="C56" s="23">
        <v>12.653355544574699</v>
      </c>
      <c r="D56" s="45">
        <f t="shared" si="5"/>
        <v>2.2466444554253009</v>
      </c>
      <c r="F56" s="23">
        <v>1058</v>
      </c>
      <c r="G56" s="23">
        <v>3.32</v>
      </c>
      <c r="H56" s="23">
        <v>3.4398255673565599</v>
      </c>
      <c r="I56" s="45">
        <f t="shared" si="6"/>
        <v>-0.11982556735656003</v>
      </c>
      <c r="K56">
        <v>1058</v>
      </c>
      <c r="L56">
        <v>1.66</v>
      </c>
      <c r="M56">
        <v>1.71960829542697</v>
      </c>
      <c r="N56" s="45">
        <f t="shared" si="7"/>
        <v>-5.9608295426970104E-2</v>
      </c>
      <c r="P56" s="23">
        <v>1339</v>
      </c>
      <c r="Q56" s="23">
        <v>4.83</v>
      </c>
      <c r="R56" s="23">
        <v>4.2362753529017096</v>
      </c>
      <c r="S56" s="45">
        <f t="shared" si="8"/>
        <v>0.59372464709829043</v>
      </c>
      <c r="U56" s="23">
        <v>1069</v>
      </c>
      <c r="V56" s="23">
        <v>1.59</v>
      </c>
      <c r="W56" s="23">
        <v>1.6822499955878001</v>
      </c>
      <c r="X56" s="45">
        <f t="shared" si="9"/>
        <v>-9.2249995587800004E-2</v>
      </c>
    </row>
    <row r="57" spans="1:24" x14ac:dyDescent="0.35">
      <c r="A57" s="23">
        <v>1088</v>
      </c>
      <c r="B57" s="23">
        <v>10.8</v>
      </c>
      <c r="C57" s="23">
        <v>9.9997409628022496</v>
      </c>
      <c r="D57" s="45">
        <f t="shared" si="5"/>
        <v>0.80025903719775116</v>
      </c>
      <c r="F57" s="23">
        <v>1069</v>
      </c>
      <c r="G57" s="23">
        <v>3.28</v>
      </c>
      <c r="H57" s="23">
        <v>3.3867688620008201</v>
      </c>
      <c r="I57" s="45">
        <f t="shared" si="6"/>
        <v>-0.10676886200082025</v>
      </c>
      <c r="K57">
        <v>1069</v>
      </c>
      <c r="L57">
        <v>1.17</v>
      </c>
      <c r="M57">
        <v>1.62073107630084</v>
      </c>
      <c r="N57" s="45">
        <f t="shared" si="7"/>
        <v>-0.45073107630084008</v>
      </c>
      <c r="P57" s="23">
        <v>1344</v>
      </c>
      <c r="Q57" s="23">
        <v>1.17</v>
      </c>
      <c r="R57" s="23">
        <v>1.4306925823321599</v>
      </c>
      <c r="S57" s="45">
        <f t="shared" si="8"/>
        <v>-0.26069258233215997</v>
      </c>
      <c r="U57" s="23">
        <v>1079</v>
      </c>
      <c r="V57" s="23">
        <v>1.72</v>
      </c>
      <c r="W57" s="23">
        <v>1.42824231618605</v>
      </c>
      <c r="X57" s="45">
        <f t="shared" si="9"/>
        <v>0.29175768381394995</v>
      </c>
    </row>
    <row r="58" spans="1:24" x14ac:dyDescent="0.35">
      <c r="A58" s="23">
        <v>1090</v>
      </c>
      <c r="B58" s="23">
        <v>8.3000000000000007</v>
      </c>
      <c r="C58" s="23">
        <v>8.0352631784296893</v>
      </c>
      <c r="D58" s="45">
        <f t="shared" si="5"/>
        <v>0.26473682157031142</v>
      </c>
      <c r="F58" s="23">
        <v>1079</v>
      </c>
      <c r="G58" s="23">
        <v>1.96</v>
      </c>
      <c r="H58" s="23">
        <v>1.66818347496548</v>
      </c>
      <c r="I58" s="45">
        <f t="shared" si="6"/>
        <v>0.29181652503451994</v>
      </c>
      <c r="K58">
        <v>1079</v>
      </c>
      <c r="L58">
        <v>0.9</v>
      </c>
      <c r="M58">
        <v>0.66096161185073199</v>
      </c>
      <c r="N58" s="45">
        <f t="shared" si="7"/>
        <v>0.23903838814926803</v>
      </c>
      <c r="P58" s="23">
        <v>1345</v>
      </c>
      <c r="Q58" s="23">
        <v>1.93</v>
      </c>
      <c r="R58" s="23">
        <v>2.19880294144017</v>
      </c>
      <c r="S58" s="45">
        <f t="shared" si="8"/>
        <v>-0.26880294144017003</v>
      </c>
      <c r="U58" s="23">
        <v>1084</v>
      </c>
      <c r="V58" s="23">
        <v>2.04</v>
      </c>
      <c r="W58" s="23">
        <v>2.01720199472746</v>
      </c>
      <c r="X58" s="45">
        <f t="shared" si="9"/>
        <v>2.2798005272540056E-2</v>
      </c>
    </row>
    <row r="59" spans="1:24" x14ac:dyDescent="0.35">
      <c r="A59" s="23">
        <v>1106</v>
      </c>
      <c r="B59" s="23">
        <v>7.1</v>
      </c>
      <c r="C59" s="23">
        <v>6.7546821808618303</v>
      </c>
      <c r="D59" s="45">
        <f t="shared" si="5"/>
        <v>0.34531781913816939</v>
      </c>
      <c r="F59" s="23">
        <v>1084</v>
      </c>
      <c r="G59" s="23">
        <v>3.74</v>
      </c>
      <c r="H59" s="23">
        <v>3.7562755218928601</v>
      </c>
      <c r="I59" s="45">
        <f t="shared" si="6"/>
        <v>-1.6275521892859857E-2</v>
      </c>
      <c r="K59">
        <v>1084</v>
      </c>
      <c r="L59">
        <v>1.66</v>
      </c>
      <c r="M59">
        <v>1.7942606074665901</v>
      </c>
      <c r="N59" s="45">
        <f t="shared" si="7"/>
        <v>-0.13426060746659019</v>
      </c>
      <c r="P59" s="23">
        <v>1352</v>
      </c>
      <c r="Q59" s="23">
        <v>3.37</v>
      </c>
      <c r="R59" s="23">
        <v>2.8446377019470201</v>
      </c>
      <c r="S59" s="45">
        <f t="shared" si="8"/>
        <v>0.52536229805297996</v>
      </c>
      <c r="U59" s="23">
        <v>1090</v>
      </c>
      <c r="V59" s="23">
        <v>1.41</v>
      </c>
      <c r="W59" s="23">
        <v>1.39082759342206</v>
      </c>
      <c r="X59" s="45">
        <f t="shared" si="9"/>
        <v>1.9172406577939949E-2</v>
      </c>
    </row>
    <row r="60" spans="1:24" x14ac:dyDescent="0.35">
      <c r="A60" s="23">
        <v>1110</v>
      </c>
      <c r="B60" s="23">
        <v>13.2</v>
      </c>
      <c r="C60" s="23">
        <v>12.9326761853868</v>
      </c>
      <c r="D60" s="45">
        <f t="shared" si="5"/>
        <v>0.26732381461319932</v>
      </c>
      <c r="F60" s="23">
        <v>1088</v>
      </c>
      <c r="G60" s="23">
        <v>2.1</v>
      </c>
      <c r="H60" s="23">
        <v>2.2156298918003601</v>
      </c>
      <c r="I60" s="45">
        <f t="shared" si="6"/>
        <v>-0.11562989180035999</v>
      </c>
      <c r="K60">
        <v>1088</v>
      </c>
      <c r="L60">
        <v>0.85</v>
      </c>
      <c r="M60">
        <v>0.89167868531547201</v>
      </c>
      <c r="N60" s="45">
        <f t="shared" si="7"/>
        <v>-4.167868531547203E-2</v>
      </c>
      <c r="P60" s="23">
        <v>1357</v>
      </c>
      <c r="Q60" s="23">
        <v>3.86</v>
      </c>
      <c r="R60" s="23">
        <v>4.1403445182062404</v>
      </c>
      <c r="S60" s="45">
        <f t="shared" si="8"/>
        <v>-0.28034451820624051</v>
      </c>
      <c r="U60" s="23">
        <v>1106</v>
      </c>
      <c r="V60" s="23">
        <v>1.07</v>
      </c>
      <c r="W60" s="23">
        <v>1.42327696766103</v>
      </c>
      <c r="X60" s="45">
        <f t="shared" si="9"/>
        <v>-0.35327696766102989</v>
      </c>
    </row>
    <row r="61" spans="1:24" x14ac:dyDescent="0.35">
      <c r="A61" s="23">
        <v>1115</v>
      </c>
      <c r="B61" s="23">
        <v>10.5</v>
      </c>
      <c r="C61" s="23">
        <v>10.7045153357858</v>
      </c>
      <c r="D61" s="45">
        <f t="shared" si="5"/>
        <v>-0.20451533578579983</v>
      </c>
      <c r="F61" s="23">
        <v>1090</v>
      </c>
      <c r="G61" s="23">
        <v>2.97</v>
      </c>
      <c r="H61" s="23">
        <v>2.8953883857626299</v>
      </c>
      <c r="I61" s="45">
        <f t="shared" si="6"/>
        <v>7.4611614237370283E-2</v>
      </c>
      <c r="K61">
        <v>1090</v>
      </c>
      <c r="L61">
        <v>1.18</v>
      </c>
      <c r="M61">
        <v>1.42731664701142</v>
      </c>
      <c r="N61" s="45">
        <f t="shared" si="7"/>
        <v>-0.24731664701142009</v>
      </c>
      <c r="P61" s="23">
        <v>1360</v>
      </c>
      <c r="Q61" s="23">
        <v>2.37</v>
      </c>
      <c r="R61" s="23">
        <v>2.9021925125176802</v>
      </c>
      <c r="S61" s="45">
        <f t="shared" si="8"/>
        <v>-0.53219251251768007</v>
      </c>
      <c r="U61" s="23">
        <v>1110</v>
      </c>
      <c r="V61" s="23">
        <v>1.6</v>
      </c>
      <c r="W61" s="23">
        <v>1.5042602621744401</v>
      </c>
      <c r="X61" s="45">
        <f t="shared" si="9"/>
        <v>9.5739737825560001E-2</v>
      </c>
    </row>
    <row r="62" spans="1:24" x14ac:dyDescent="0.35">
      <c r="A62" s="23">
        <v>1119</v>
      </c>
      <c r="B62" s="23">
        <v>9.4</v>
      </c>
      <c r="C62" s="23">
        <v>9.6728789938559405</v>
      </c>
      <c r="D62" s="45">
        <f t="shared" si="5"/>
        <v>-0.27287899385594017</v>
      </c>
      <c r="F62" s="23">
        <v>1106</v>
      </c>
      <c r="G62" s="23">
        <v>2.2000000000000002</v>
      </c>
      <c r="H62" s="23">
        <v>2.4791856543328299</v>
      </c>
      <c r="I62" s="45">
        <f t="shared" si="6"/>
        <v>-0.27918565433282971</v>
      </c>
      <c r="K62">
        <v>1110</v>
      </c>
      <c r="L62">
        <v>1.74</v>
      </c>
      <c r="M62">
        <v>1.9455406737346801</v>
      </c>
      <c r="N62" s="45">
        <f t="shared" si="7"/>
        <v>-0.2055406737346801</v>
      </c>
      <c r="P62" s="23">
        <v>1362</v>
      </c>
      <c r="Q62" s="23">
        <v>4.1399999999999997</v>
      </c>
      <c r="R62" s="23">
        <v>4.3236574090776996</v>
      </c>
      <c r="S62" s="45">
        <f t="shared" si="8"/>
        <v>-0.1836574090776999</v>
      </c>
      <c r="U62" s="23">
        <v>1115</v>
      </c>
      <c r="V62" s="23">
        <v>2.25</v>
      </c>
      <c r="W62" s="23">
        <v>1.9798253943323301</v>
      </c>
      <c r="X62" s="45">
        <f t="shared" si="9"/>
        <v>0.27017460566766993</v>
      </c>
    </row>
    <row r="63" spans="1:24" x14ac:dyDescent="0.35">
      <c r="A63" s="23">
        <v>1120</v>
      </c>
      <c r="B63" s="23">
        <v>9.4</v>
      </c>
      <c r="C63" s="23">
        <v>9.9535615138469993</v>
      </c>
      <c r="D63" s="45">
        <f t="shared" si="5"/>
        <v>-0.55356151384699892</v>
      </c>
      <c r="F63" s="23">
        <v>1110</v>
      </c>
      <c r="G63" s="23">
        <v>3.2</v>
      </c>
      <c r="H63" s="23">
        <v>3.7279532693363899</v>
      </c>
      <c r="I63" s="45">
        <f t="shared" si="6"/>
        <v>-0.52795326933638975</v>
      </c>
      <c r="K63">
        <v>1115</v>
      </c>
      <c r="L63">
        <v>1.85</v>
      </c>
      <c r="M63">
        <v>1.8462932848254201</v>
      </c>
      <c r="N63" s="45">
        <f t="shared" si="7"/>
        <v>3.7067151745799887E-3</v>
      </c>
      <c r="P63" s="23">
        <v>2000</v>
      </c>
      <c r="Q63" s="23">
        <v>3.74</v>
      </c>
      <c r="R63" s="23">
        <v>4.2275344895119797</v>
      </c>
      <c r="S63" s="45">
        <f t="shared" si="8"/>
        <v>-0.48753448951197953</v>
      </c>
      <c r="U63" s="23">
        <v>1119</v>
      </c>
      <c r="V63" s="23">
        <v>1.45</v>
      </c>
      <c r="W63" s="23">
        <v>1.32098417447688</v>
      </c>
      <c r="X63" s="45">
        <f t="shared" si="9"/>
        <v>0.12901582552311996</v>
      </c>
    </row>
    <row r="64" spans="1:24" x14ac:dyDescent="0.35">
      <c r="A64" s="23">
        <v>1127</v>
      </c>
      <c r="B64" s="23">
        <v>7.3</v>
      </c>
      <c r="C64" s="23">
        <v>7.94289999684558</v>
      </c>
      <c r="D64" s="45">
        <f t="shared" si="5"/>
        <v>-0.64289999684558019</v>
      </c>
      <c r="F64" s="23">
        <v>1115</v>
      </c>
      <c r="G64" s="23">
        <v>4.43</v>
      </c>
      <c r="H64" s="23">
        <v>4.2773669304116098</v>
      </c>
      <c r="I64" s="45">
        <f t="shared" si="6"/>
        <v>0.15263306958838996</v>
      </c>
      <c r="K64">
        <v>1119</v>
      </c>
      <c r="L64">
        <v>1.29</v>
      </c>
      <c r="M64">
        <v>1.21479940372534</v>
      </c>
      <c r="N64" s="45">
        <f t="shared" si="7"/>
        <v>7.5200596274660025E-2</v>
      </c>
      <c r="P64" s="23">
        <v>1227</v>
      </c>
      <c r="Q64" s="23">
        <v>4.2</v>
      </c>
      <c r="R64" s="23">
        <v>4.26936329404929</v>
      </c>
      <c r="S64" s="45">
        <f t="shared" si="8"/>
        <v>-6.936329404928987E-2</v>
      </c>
      <c r="U64" s="23">
        <v>1120</v>
      </c>
      <c r="V64" s="23">
        <v>1.44</v>
      </c>
      <c r="W64" s="23">
        <v>1.2835214226307801</v>
      </c>
      <c r="X64" s="45">
        <f t="shared" si="9"/>
        <v>0.15647857736921988</v>
      </c>
    </row>
    <row r="65" spans="1:24" x14ac:dyDescent="0.35">
      <c r="A65" s="23">
        <v>1134</v>
      </c>
      <c r="B65" s="23">
        <v>10.199999999999999</v>
      </c>
      <c r="C65" s="23">
        <v>11.883035752146901</v>
      </c>
      <c r="D65" s="45">
        <f t="shared" si="5"/>
        <v>-1.6830357521469015</v>
      </c>
      <c r="F65" s="23">
        <v>1119</v>
      </c>
      <c r="G65" s="23">
        <v>3.1</v>
      </c>
      <c r="H65" s="23">
        <v>3.0291840064509898</v>
      </c>
      <c r="I65" s="45">
        <f t="shared" si="6"/>
        <v>7.0815993549010248E-2</v>
      </c>
      <c r="K65">
        <v>1120</v>
      </c>
      <c r="L65">
        <v>1.32</v>
      </c>
      <c r="M65">
        <v>1.2322064847044101</v>
      </c>
      <c r="N65" s="45">
        <f t="shared" si="7"/>
        <v>8.7793515295589986E-2</v>
      </c>
      <c r="P65" s="23">
        <v>1232</v>
      </c>
      <c r="Q65" s="23">
        <v>3.9</v>
      </c>
      <c r="R65" s="23">
        <v>4.1609022617833604</v>
      </c>
      <c r="S65" s="45">
        <f t="shared" si="8"/>
        <v>-0.26090226178336051</v>
      </c>
      <c r="U65" s="23">
        <v>1127</v>
      </c>
      <c r="V65" s="23">
        <v>1.04</v>
      </c>
      <c r="W65" s="23">
        <v>1.4393248929052</v>
      </c>
      <c r="X65" s="45">
        <f t="shared" si="9"/>
        <v>-0.39932489290520001</v>
      </c>
    </row>
    <row r="66" spans="1:24" x14ac:dyDescent="0.35">
      <c r="A66" s="23">
        <v>1138</v>
      </c>
      <c r="B66" s="23">
        <v>3.7</v>
      </c>
      <c r="C66" s="23">
        <v>3.90545927148366</v>
      </c>
      <c r="D66" s="45">
        <f t="shared" si="5"/>
        <v>-0.20545927148365983</v>
      </c>
      <c r="F66" s="23">
        <v>1120</v>
      </c>
      <c r="G66" s="23">
        <v>3.08</v>
      </c>
      <c r="H66" s="23">
        <v>3.0055572705457698</v>
      </c>
      <c r="I66" s="45">
        <f t="shared" si="6"/>
        <v>7.444272945423025E-2</v>
      </c>
      <c r="K66">
        <v>1127</v>
      </c>
      <c r="L66">
        <v>1.03</v>
      </c>
      <c r="M66">
        <v>1.27232916946705</v>
      </c>
      <c r="N66" s="45">
        <f t="shared" si="7"/>
        <v>-0.24232916946704997</v>
      </c>
      <c r="P66" s="23">
        <v>1339</v>
      </c>
      <c r="Q66" s="23">
        <v>4.83</v>
      </c>
      <c r="R66" s="23">
        <v>4.2362753529017096</v>
      </c>
      <c r="S66" s="45">
        <f t="shared" si="8"/>
        <v>0.59372464709829043</v>
      </c>
      <c r="U66" s="23">
        <v>1134</v>
      </c>
      <c r="V66" s="23">
        <v>0.97</v>
      </c>
      <c r="W66" s="23">
        <v>1.2144263414241301</v>
      </c>
      <c r="X66" s="45">
        <f t="shared" si="9"/>
        <v>-0.24442634142413011</v>
      </c>
    </row>
    <row r="67" spans="1:24" x14ac:dyDescent="0.35">
      <c r="A67" s="23">
        <v>1153</v>
      </c>
      <c r="B67" s="23">
        <v>10.9</v>
      </c>
      <c r="C67" s="23">
        <v>11.920457783358399</v>
      </c>
      <c r="D67" s="45">
        <f t="shared" si="5"/>
        <v>-1.020457783358399</v>
      </c>
      <c r="F67" s="23">
        <v>1127</v>
      </c>
      <c r="G67" s="23">
        <v>2.6</v>
      </c>
      <c r="H67" s="23">
        <v>2.86076914395167</v>
      </c>
      <c r="I67" s="45">
        <f t="shared" si="6"/>
        <v>-0.26076914395166995</v>
      </c>
      <c r="K67">
        <v>1134</v>
      </c>
      <c r="L67">
        <v>0.98</v>
      </c>
      <c r="M67">
        <v>1.3904704064026601</v>
      </c>
      <c r="N67" s="45">
        <f t="shared" si="7"/>
        <v>-0.41047040640266008</v>
      </c>
      <c r="P67" s="23">
        <v>1356</v>
      </c>
      <c r="Q67" s="23">
        <v>4.84</v>
      </c>
      <c r="R67" s="23">
        <v>4.2472491705306901</v>
      </c>
      <c r="S67" s="45">
        <f t="shared" si="8"/>
        <v>0.59275082946930979</v>
      </c>
      <c r="U67" s="23">
        <v>1138</v>
      </c>
      <c r="V67" s="23">
        <v>1.22</v>
      </c>
      <c r="W67" s="23">
        <v>1.19345274606494</v>
      </c>
      <c r="X67" s="45">
        <f t="shared" si="9"/>
        <v>2.6547253935059967E-2</v>
      </c>
    </row>
    <row r="68" spans="1:24" x14ac:dyDescent="0.35">
      <c r="A68" s="23">
        <v>1190</v>
      </c>
      <c r="B68" s="23">
        <v>11.6</v>
      </c>
      <c r="C68" s="23">
        <v>10.5808298662818</v>
      </c>
      <c r="D68" s="45">
        <f t="shared" si="5"/>
        <v>1.0191701337182</v>
      </c>
      <c r="F68" s="23">
        <v>1134</v>
      </c>
      <c r="G68" s="23">
        <v>2.6</v>
      </c>
      <c r="H68" s="23">
        <v>3.069504071651</v>
      </c>
      <c r="I68" s="45">
        <f t="shared" si="6"/>
        <v>-0.46950407165099994</v>
      </c>
      <c r="K68">
        <v>1138</v>
      </c>
      <c r="L68">
        <v>0.89</v>
      </c>
      <c r="M68">
        <v>0.87749359281042205</v>
      </c>
      <c r="N68" s="45">
        <f t="shared" si="7"/>
        <v>1.2506407189577962E-2</v>
      </c>
      <c r="P68" s="23">
        <v>1363</v>
      </c>
      <c r="Q68" s="23">
        <v>5.04</v>
      </c>
      <c r="R68" s="23">
        <v>4.9425606753151996</v>
      </c>
      <c r="S68" s="45">
        <f t="shared" si="8"/>
        <v>9.7439324684800432E-2</v>
      </c>
      <c r="U68" s="23">
        <v>1153</v>
      </c>
      <c r="V68" s="23">
        <v>1.18</v>
      </c>
      <c r="W68" s="23">
        <v>1.6579546218110801</v>
      </c>
      <c r="X68" s="45">
        <f t="shared" si="9"/>
        <v>-0.47795462181108017</v>
      </c>
    </row>
    <row r="69" spans="1:24" x14ac:dyDescent="0.35">
      <c r="A69" s="23">
        <v>1193</v>
      </c>
      <c r="B69" s="23">
        <v>9.8000000000000007</v>
      </c>
      <c r="C69" s="23">
        <v>9.0928877331722706</v>
      </c>
      <c r="D69" s="45">
        <f t="shared" si="5"/>
        <v>0.7071122668277301</v>
      </c>
      <c r="F69" s="23">
        <v>1138</v>
      </c>
      <c r="G69" s="23">
        <v>2.0099999999999998</v>
      </c>
      <c r="H69" s="23">
        <v>2.1553728013711</v>
      </c>
      <c r="I69" s="45">
        <f t="shared" si="6"/>
        <v>-0.1453728013711002</v>
      </c>
      <c r="K69">
        <v>1153</v>
      </c>
      <c r="L69">
        <v>1.39</v>
      </c>
      <c r="M69">
        <v>1.7760432166264799</v>
      </c>
      <c r="N69" s="45">
        <f t="shared" si="7"/>
        <v>-0.38604321662648</v>
      </c>
      <c r="P69" s="23">
        <v>6</v>
      </c>
      <c r="Q69" s="23">
        <v>2.73</v>
      </c>
      <c r="R69" s="23">
        <v>2.89284037370384</v>
      </c>
      <c r="S69" s="45">
        <f t="shared" si="8"/>
        <v>-0.16284037370383997</v>
      </c>
      <c r="U69" s="23">
        <v>1190</v>
      </c>
      <c r="V69" s="23">
        <v>1.71</v>
      </c>
      <c r="W69" s="23">
        <v>1.6097581790448601</v>
      </c>
      <c r="X69" s="45">
        <f t="shared" si="9"/>
        <v>0.10024182095513989</v>
      </c>
    </row>
    <row r="70" spans="1:24" x14ac:dyDescent="0.35">
      <c r="A70" s="23">
        <v>1195</v>
      </c>
      <c r="B70" s="23">
        <v>5.3</v>
      </c>
      <c r="C70" s="23">
        <v>6.2374544094715301</v>
      </c>
      <c r="D70" s="45">
        <f t="shared" si="5"/>
        <v>-0.93745440947153025</v>
      </c>
      <c r="F70" s="23">
        <v>1153</v>
      </c>
      <c r="G70" s="23">
        <v>3.18</v>
      </c>
      <c r="H70" s="23">
        <v>3.6671612431367002</v>
      </c>
      <c r="I70" s="45">
        <f t="shared" si="6"/>
        <v>-0.48716124313670006</v>
      </c>
      <c r="K70">
        <v>1190</v>
      </c>
      <c r="L70">
        <v>2.25</v>
      </c>
      <c r="M70">
        <v>1.8710952735303099</v>
      </c>
      <c r="N70" s="45">
        <f t="shared" si="7"/>
        <v>0.37890472646969009</v>
      </c>
      <c r="P70" s="23">
        <v>9</v>
      </c>
      <c r="Q70" s="23">
        <v>3.69</v>
      </c>
      <c r="R70" s="23">
        <v>3.2058345063569802</v>
      </c>
      <c r="S70" s="45">
        <f t="shared" si="8"/>
        <v>0.48416549364301975</v>
      </c>
      <c r="U70" s="23">
        <v>1193</v>
      </c>
      <c r="V70" s="23">
        <v>1.84</v>
      </c>
      <c r="W70" s="23">
        <v>1.5828503766491</v>
      </c>
      <c r="X70" s="45">
        <f t="shared" si="9"/>
        <v>0.25714962335090008</v>
      </c>
    </row>
    <row r="71" spans="1:24" x14ac:dyDescent="0.35">
      <c r="A71" s="23">
        <v>1196</v>
      </c>
      <c r="B71" s="23">
        <v>10.8</v>
      </c>
      <c r="C71" s="23">
        <v>11.798459636912099</v>
      </c>
      <c r="D71" s="45">
        <f t="shared" si="5"/>
        <v>-0.9984596369120986</v>
      </c>
      <c r="F71" s="23">
        <v>1190</v>
      </c>
      <c r="G71" s="23">
        <v>3.71</v>
      </c>
      <c r="H71" s="23">
        <v>3.6697772354146099</v>
      </c>
      <c r="I71" s="45">
        <f t="shared" si="6"/>
        <v>4.0222764585390092E-2</v>
      </c>
      <c r="K71">
        <v>1193</v>
      </c>
      <c r="L71">
        <v>1.79</v>
      </c>
      <c r="M71">
        <v>1.5695348138459</v>
      </c>
      <c r="N71" s="45">
        <f t="shared" si="7"/>
        <v>0.22046518615410005</v>
      </c>
      <c r="P71" s="23">
        <v>5</v>
      </c>
      <c r="Q71" s="23">
        <v>2.91</v>
      </c>
      <c r="R71" s="23">
        <v>2.9191381641940599</v>
      </c>
      <c r="S71" s="45">
        <f t="shared" si="8"/>
        <v>-9.1381641940597724E-3</v>
      </c>
      <c r="U71" s="23">
        <v>1195</v>
      </c>
      <c r="V71" s="23">
        <v>1.94</v>
      </c>
      <c r="W71" s="23">
        <v>1.67228779258245</v>
      </c>
      <c r="X71" s="45">
        <f t="shared" si="9"/>
        <v>0.26771220741754997</v>
      </c>
    </row>
    <row r="72" spans="1:24" x14ac:dyDescent="0.35">
      <c r="A72" s="23">
        <v>1203</v>
      </c>
      <c r="B72" s="23">
        <v>6.9</v>
      </c>
      <c r="C72" s="23">
        <v>6.9147819668460304</v>
      </c>
      <c r="D72" s="45">
        <f t="shared" si="5"/>
        <v>-1.4781966846030059E-2</v>
      </c>
      <c r="F72" s="23">
        <v>1193</v>
      </c>
      <c r="G72" s="23">
        <v>3.9</v>
      </c>
      <c r="H72" s="23">
        <v>3.4047476584426901</v>
      </c>
      <c r="I72" s="45">
        <f t="shared" si="6"/>
        <v>0.49525234155730979</v>
      </c>
      <c r="K72">
        <v>1195</v>
      </c>
      <c r="L72">
        <v>1.45</v>
      </c>
      <c r="M72">
        <v>1.5099863648726499</v>
      </c>
      <c r="N72" s="45">
        <f t="shared" si="7"/>
        <v>-5.9986364872649967E-2</v>
      </c>
      <c r="P72" s="23">
        <v>10</v>
      </c>
      <c r="Q72" s="23">
        <v>1.02</v>
      </c>
      <c r="R72" s="23">
        <v>1.0442348269816499</v>
      </c>
      <c r="S72" s="45">
        <f t="shared" si="8"/>
        <v>-2.4234826981649915E-2</v>
      </c>
      <c r="U72" s="23">
        <v>1196</v>
      </c>
      <c r="V72" s="23">
        <v>1.59</v>
      </c>
      <c r="W72" s="23">
        <v>1.71401727404652</v>
      </c>
      <c r="X72" s="45">
        <f t="shared" si="9"/>
        <v>-0.12401727404651997</v>
      </c>
    </row>
    <row r="73" spans="1:24" x14ac:dyDescent="0.35">
      <c r="A73" s="23">
        <v>1204</v>
      </c>
      <c r="B73" s="23">
        <v>6.9</v>
      </c>
      <c r="C73" s="23">
        <v>6.8695684963108796</v>
      </c>
      <c r="D73" s="45">
        <f t="shared" si="5"/>
        <v>3.0431503689120731E-2</v>
      </c>
      <c r="F73" s="23">
        <v>1195</v>
      </c>
      <c r="G73" s="23">
        <v>3.31</v>
      </c>
      <c r="H73" s="23">
        <v>3.0690020016562798</v>
      </c>
      <c r="I73" s="45">
        <f t="shared" si="6"/>
        <v>0.24099799834372027</v>
      </c>
      <c r="K73">
        <v>1196</v>
      </c>
      <c r="L73">
        <v>2.06</v>
      </c>
      <c r="M73">
        <v>1.9882900761342299</v>
      </c>
      <c r="N73" s="45">
        <f t="shared" si="7"/>
        <v>7.1709923865770131E-2</v>
      </c>
      <c r="P73" s="23">
        <v>4547</v>
      </c>
      <c r="Q73" s="23">
        <v>4.4400000000000004</v>
      </c>
      <c r="R73" s="23">
        <v>4.16903283250576</v>
      </c>
      <c r="S73" s="45">
        <f t="shared" si="8"/>
        <v>0.27096716749424044</v>
      </c>
      <c r="U73" s="23">
        <v>1203</v>
      </c>
      <c r="V73" s="23">
        <v>1.84</v>
      </c>
      <c r="W73" s="23">
        <v>1.8411703247730999</v>
      </c>
      <c r="X73" s="45">
        <f t="shared" si="9"/>
        <v>-1.1703247730998623E-3</v>
      </c>
    </row>
    <row r="74" spans="1:24" x14ac:dyDescent="0.35">
      <c r="A74" s="23">
        <v>1205</v>
      </c>
      <c r="B74" s="23">
        <v>4.2</v>
      </c>
      <c r="C74" s="23">
        <v>4.5382539070260899</v>
      </c>
      <c r="D74" s="45">
        <f t="shared" si="5"/>
        <v>-0.33825390702608971</v>
      </c>
      <c r="F74" s="23">
        <v>1203</v>
      </c>
      <c r="G74" s="23">
        <v>3.04</v>
      </c>
      <c r="H74" s="23">
        <v>3.1855868606359699</v>
      </c>
      <c r="I74" s="45">
        <f t="shared" si="6"/>
        <v>-0.14558686063596982</v>
      </c>
      <c r="K74">
        <v>1203</v>
      </c>
      <c r="L74">
        <v>1.44</v>
      </c>
      <c r="M74">
        <v>1.49239768616683</v>
      </c>
      <c r="N74" s="45">
        <f t="shared" si="7"/>
        <v>-5.2397686166830049E-2</v>
      </c>
      <c r="P74" s="23">
        <v>4549</v>
      </c>
      <c r="Q74" s="23">
        <v>4.2699999999999996</v>
      </c>
      <c r="R74" s="23">
        <v>4.26410340924033</v>
      </c>
      <c r="S74" s="45">
        <f t="shared" si="8"/>
        <v>5.8965907596695288E-3</v>
      </c>
      <c r="U74" s="23">
        <v>1204</v>
      </c>
      <c r="V74" s="23">
        <v>1.84</v>
      </c>
      <c r="W74" s="23">
        <v>1.8703715007681501</v>
      </c>
      <c r="X74" s="45">
        <f t="shared" si="9"/>
        <v>-3.0371500768149984E-2</v>
      </c>
    </row>
    <row r="75" spans="1:24" x14ac:dyDescent="0.35">
      <c r="A75" s="23">
        <v>1206</v>
      </c>
      <c r="B75" s="23">
        <v>11.5</v>
      </c>
      <c r="C75" s="23">
        <v>11.600493757381701</v>
      </c>
      <c r="D75" s="45">
        <f t="shared" si="5"/>
        <v>-0.10049375738170063</v>
      </c>
      <c r="F75" s="23">
        <v>1204</v>
      </c>
      <c r="G75" s="23">
        <v>3.07</v>
      </c>
      <c r="H75" s="23">
        <v>3.16556375501523</v>
      </c>
      <c r="I75" s="45">
        <f t="shared" si="6"/>
        <v>-9.5563755015230178E-2</v>
      </c>
      <c r="K75">
        <v>1204</v>
      </c>
      <c r="L75">
        <v>1.39</v>
      </c>
      <c r="M75">
        <v>1.4783583520111101</v>
      </c>
      <c r="N75" s="45">
        <f t="shared" si="7"/>
        <v>-8.8358352011110197E-2</v>
      </c>
      <c r="P75" s="23">
        <v>4550</v>
      </c>
      <c r="Q75" s="23">
        <v>5.07</v>
      </c>
      <c r="R75" s="23">
        <v>5.4867736565065499</v>
      </c>
      <c r="S75" s="45">
        <f t="shared" si="8"/>
        <v>-0.41677365650654963</v>
      </c>
      <c r="U75" s="23">
        <v>1205</v>
      </c>
      <c r="V75" s="23">
        <v>1.26</v>
      </c>
      <c r="W75" s="23">
        <v>1.4042447237478599</v>
      </c>
      <c r="X75" s="45">
        <f t="shared" si="9"/>
        <v>-0.1442447237478599</v>
      </c>
    </row>
    <row r="76" spans="1:24" x14ac:dyDescent="0.35">
      <c r="A76" s="23">
        <v>1207</v>
      </c>
      <c r="B76" s="23">
        <v>11.9</v>
      </c>
      <c r="C76" s="23">
        <v>12.4797359795273</v>
      </c>
      <c r="D76" s="45">
        <f t="shared" si="5"/>
        <v>-0.57973597952729961</v>
      </c>
      <c r="F76" s="23">
        <v>1205</v>
      </c>
      <c r="G76" s="23">
        <v>1.9</v>
      </c>
      <c r="H76" s="23">
        <v>2.0411979622178298</v>
      </c>
      <c r="I76" s="45">
        <f t="shared" si="6"/>
        <v>-0.14119796221782988</v>
      </c>
      <c r="K76">
        <v>1205</v>
      </c>
      <c r="L76">
        <v>0.63</v>
      </c>
      <c r="M76">
        <v>0.93478823895371199</v>
      </c>
      <c r="N76" s="45">
        <f t="shared" si="7"/>
        <v>-0.30478823895371199</v>
      </c>
      <c r="P76" s="23">
        <v>4551</v>
      </c>
      <c r="Q76" s="23">
        <v>2.48</v>
      </c>
      <c r="R76" s="23">
        <v>3.41164488804091</v>
      </c>
      <c r="S76" s="45">
        <f t="shared" si="8"/>
        <v>-0.93164488804091006</v>
      </c>
      <c r="U76" s="23">
        <v>1206</v>
      </c>
      <c r="V76" s="23">
        <v>1.38</v>
      </c>
      <c r="W76" s="23">
        <v>1.3948598107524399</v>
      </c>
      <c r="X76" s="45">
        <f t="shared" si="9"/>
        <v>-1.4859810752440028E-2</v>
      </c>
    </row>
    <row r="77" spans="1:24" x14ac:dyDescent="0.35">
      <c r="A77" s="23">
        <v>1209</v>
      </c>
      <c r="B77" s="23">
        <v>11.5</v>
      </c>
      <c r="C77" s="23">
        <v>10.545469915849299</v>
      </c>
      <c r="D77" s="45">
        <f t="shared" si="5"/>
        <v>0.95453008415070073</v>
      </c>
      <c r="F77" s="23">
        <v>1206</v>
      </c>
      <c r="G77" s="23">
        <v>2.97</v>
      </c>
      <c r="H77" s="23">
        <v>3.3427868475001099</v>
      </c>
      <c r="I77" s="45">
        <f t="shared" si="6"/>
        <v>-0.37278684750010971</v>
      </c>
      <c r="K77">
        <v>1209</v>
      </c>
      <c r="L77">
        <v>1.1399999999999999</v>
      </c>
      <c r="M77">
        <v>1.51802754244816</v>
      </c>
      <c r="N77" s="45">
        <f t="shared" si="7"/>
        <v>-0.37802754244816006</v>
      </c>
      <c r="P77" s="23">
        <v>4552</v>
      </c>
      <c r="Q77" s="23">
        <v>4.01</v>
      </c>
      <c r="R77" s="23">
        <v>3.9170821443973001</v>
      </c>
      <c r="S77" s="45">
        <f t="shared" si="8"/>
        <v>9.2917855602699717E-2</v>
      </c>
      <c r="U77" s="23">
        <v>1207</v>
      </c>
      <c r="V77" s="23">
        <v>1.37</v>
      </c>
      <c r="W77" s="23">
        <v>1.66069379701278</v>
      </c>
      <c r="X77" s="45">
        <f t="shared" si="9"/>
        <v>-0.29069379701277986</v>
      </c>
    </row>
    <row r="78" spans="1:24" x14ac:dyDescent="0.35">
      <c r="A78" s="23">
        <v>1215</v>
      </c>
      <c r="B78" s="23">
        <v>11.2</v>
      </c>
      <c r="C78" s="23">
        <v>10.789051480817699</v>
      </c>
      <c r="D78" s="45">
        <f t="shared" si="5"/>
        <v>0.41094851918230013</v>
      </c>
      <c r="F78" s="23">
        <v>1207</v>
      </c>
      <c r="G78" s="23">
        <v>3.1</v>
      </c>
      <c r="H78" s="23">
        <v>3.35169253578565</v>
      </c>
      <c r="I78" s="45">
        <f t="shared" si="6"/>
        <v>-0.25169253578564987</v>
      </c>
      <c r="K78">
        <v>1213</v>
      </c>
      <c r="L78">
        <v>2.0699999999999998</v>
      </c>
      <c r="M78">
        <v>1.7746619014298699</v>
      </c>
      <c r="N78" s="45">
        <f t="shared" si="7"/>
        <v>0.29533809857012994</v>
      </c>
      <c r="P78" s="23">
        <v>4553</v>
      </c>
      <c r="Q78" s="23">
        <v>3.78</v>
      </c>
      <c r="R78" s="23">
        <v>3.51055913868991</v>
      </c>
      <c r="S78" s="45">
        <f t="shared" si="8"/>
        <v>0.26944086131008982</v>
      </c>
      <c r="U78" s="23">
        <v>1213</v>
      </c>
      <c r="V78" s="23">
        <v>2.31</v>
      </c>
      <c r="W78" s="23">
        <v>1.7638141891603401</v>
      </c>
      <c r="X78" s="45">
        <f t="shared" si="9"/>
        <v>0.54618581083966</v>
      </c>
    </row>
    <row r="79" spans="1:24" x14ac:dyDescent="0.35">
      <c r="A79" s="23">
        <v>1221</v>
      </c>
      <c r="B79" s="23">
        <v>12.7</v>
      </c>
      <c r="C79" s="23">
        <v>12.154382165179999</v>
      </c>
      <c r="D79" s="45">
        <f t="shared" ref="D79:D110" si="10">(B79-C79)</f>
        <v>0.54561783481999981</v>
      </c>
      <c r="F79" s="23">
        <v>1209</v>
      </c>
      <c r="G79" s="23">
        <v>2.81</v>
      </c>
      <c r="H79" s="23">
        <v>3.2908329464019501</v>
      </c>
      <c r="I79" s="45">
        <f t="shared" ref="I79:I110" si="11">(G79-H79)</f>
        <v>-0.48083294640195007</v>
      </c>
      <c r="K79">
        <v>1215</v>
      </c>
      <c r="L79">
        <v>1.36</v>
      </c>
      <c r="M79">
        <v>1.46886799012235</v>
      </c>
      <c r="N79" s="45">
        <f t="shared" ref="N79:N110" si="12">(L79-M79)</f>
        <v>-0.10886799012234993</v>
      </c>
      <c r="P79" s="23">
        <v>4554</v>
      </c>
      <c r="Q79" s="23">
        <v>1.36</v>
      </c>
      <c r="R79" s="23">
        <v>1.36453221904836</v>
      </c>
      <c r="S79" s="45">
        <f t="shared" ref="S79:S110" si="13">(Q79-R79)</f>
        <v>-4.5322190483598757E-3</v>
      </c>
      <c r="U79" s="23">
        <v>1215</v>
      </c>
      <c r="V79" s="23">
        <v>1.04</v>
      </c>
      <c r="W79" s="23">
        <v>1.3298823230576</v>
      </c>
      <c r="X79" s="45">
        <f t="shared" ref="X79:X110" si="14">(V79-W79)</f>
        <v>-0.28988232305759998</v>
      </c>
    </row>
    <row r="80" spans="1:24" x14ac:dyDescent="0.35">
      <c r="A80" s="23">
        <v>1226</v>
      </c>
      <c r="B80" s="23">
        <v>12.5</v>
      </c>
      <c r="C80" s="23">
        <v>12.514967014589599</v>
      </c>
      <c r="D80" s="45">
        <f t="shared" si="10"/>
        <v>-1.4967014589599259E-2</v>
      </c>
      <c r="F80" s="23">
        <v>1213</v>
      </c>
      <c r="G80" s="23">
        <v>3.81</v>
      </c>
      <c r="H80" s="23">
        <v>3.5164267968481799</v>
      </c>
      <c r="I80" s="45">
        <f t="shared" si="11"/>
        <v>0.29357320315182012</v>
      </c>
      <c r="K80">
        <v>1221</v>
      </c>
      <c r="L80">
        <v>1.44</v>
      </c>
      <c r="M80">
        <v>1.8204522666557199</v>
      </c>
      <c r="N80" s="45">
        <f t="shared" si="12"/>
        <v>-0.38045226665571996</v>
      </c>
      <c r="P80" s="23">
        <v>4555</v>
      </c>
      <c r="Q80" s="23">
        <v>3.56</v>
      </c>
      <c r="R80" s="23">
        <v>3.8149560231347901</v>
      </c>
      <c r="S80" s="45">
        <f t="shared" si="13"/>
        <v>-0.25495602313479004</v>
      </c>
      <c r="U80" s="23">
        <v>1221</v>
      </c>
      <c r="V80" s="23">
        <v>1</v>
      </c>
      <c r="W80" s="23">
        <v>1.4687704115715501</v>
      </c>
      <c r="X80" s="45">
        <f t="shared" si="14"/>
        <v>-0.46877041157155008</v>
      </c>
    </row>
    <row r="81" spans="1:24" x14ac:dyDescent="0.35">
      <c r="A81" s="23">
        <v>1227</v>
      </c>
      <c r="B81" s="23">
        <v>12.8</v>
      </c>
      <c r="C81" s="23">
        <v>12.7295030329749</v>
      </c>
      <c r="D81" s="45">
        <f t="shared" si="10"/>
        <v>7.0496967025100332E-2</v>
      </c>
      <c r="F81" s="23">
        <v>1215</v>
      </c>
      <c r="G81" s="23">
        <v>2.68</v>
      </c>
      <c r="H81" s="23">
        <v>3.1799895009605601</v>
      </c>
      <c r="I81" s="45">
        <f t="shared" si="11"/>
        <v>-0.49998950096055994</v>
      </c>
      <c r="K81">
        <v>1243</v>
      </c>
      <c r="L81">
        <v>1.68</v>
      </c>
      <c r="M81">
        <v>1.6127256846783</v>
      </c>
      <c r="N81" s="45">
        <f t="shared" si="12"/>
        <v>6.7274315321699918E-2</v>
      </c>
      <c r="P81" s="23">
        <v>4566</v>
      </c>
      <c r="Q81" s="23">
        <v>6.58</v>
      </c>
      <c r="R81" s="23">
        <v>5.8125221438935499</v>
      </c>
      <c r="S81" s="45">
        <f t="shared" si="13"/>
        <v>0.76747785610645014</v>
      </c>
      <c r="U81" s="23">
        <v>1238</v>
      </c>
      <c r="V81" s="23">
        <v>1.8</v>
      </c>
      <c r="W81" s="23">
        <v>1.8214475117159701</v>
      </c>
      <c r="X81" s="45">
        <f t="shared" si="14"/>
        <v>-2.1447511715970036E-2</v>
      </c>
    </row>
    <row r="82" spans="1:24" x14ac:dyDescent="0.35">
      <c r="A82" s="23">
        <v>1228</v>
      </c>
      <c r="B82" s="23">
        <v>11.6</v>
      </c>
      <c r="C82" s="23">
        <v>11.004362080868701</v>
      </c>
      <c r="D82" s="45">
        <f t="shared" si="10"/>
        <v>0.59563791913129904</v>
      </c>
      <c r="F82" s="23">
        <v>1221</v>
      </c>
      <c r="G82" s="23">
        <v>3.83</v>
      </c>
      <c r="H82" s="23">
        <v>3.7552350208036098</v>
      </c>
      <c r="I82" s="45">
        <f t="shared" si="11"/>
        <v>7.4764979196390247E-2</v>
      </c>
      <c r="K82">
        <v>1244</v>
      </c>
      <c r="L82">
        <v>1.75</v>
      </c>
      <c r="M82">
        <v>1.6265674805786201</v>
      </c>
      <c r="N82" s="45">
        <f t="shared" si="12"/>
        <v>0.12343251942137989</v>
      </c>
      <c r="P82" s="23">
        <v>5143</v>
      </c>
      <c r="Q82" s="23">
        <v>4.26</v>
      </c>
      <c r="R82" s="23">
        <v>4.2055264054824599</v>
      </c>
      <c r="S82" s="45">
        <f t="shared" si="13"/>
        <v>5.4473594517539858E-2</v>
      </c>
      <c r="U82" s="23">
        <v>1243</v>
      </c>
      <c r="V82" s="23">
        <v>2</v>
      </c>
      <c r="W82" s="23">
        <v>1.9520969421790699</v>
      </c>
      <c r="X82" s="45">
        <f t="shared" si="14"/>
        <v>4.7903057820930073E-2</v>
      </c>
    </row>
    <row r="83" spans="1:24" x14ac:dyDescent="0.35">
      <c r="A83" s="23">
        <v>1229</v>
      </c>
      <c r="B83" s="23">
        <v>10.8</v>
      </c>
      <c r="C83" s="23">
        <v>10.714085000690501</v>
      </c>
      <c r="D83" s="45">
        <f t="shared" si="10"/>
        <v>8.5914999309499862E-2</v>
      </c>
      <c r="F83" s="23">
        <v>1238</v>
      </c>
      <c r="G83" s="23">
        <v>3.23</v>
      </c>
      <c r="H83" s="23">
        <v>3.4700941501893801</v>
      </c>
      <c r="I83" s="45">
        <f t="shared" si="11"/>
        <v>-0.24009415018938007</v>
      </c>
      <c r="K83">
        <v>1246</v>
      </c>
      <c r="L83">
        <v>1.65</v>
      </c>
      <c r="M83">
        <v>1.61678469514606</v>
      </c>
      <c r="N83" s="45">
        <f t="shared" si="12"/>
        <v>3.3215304853939864E-2</v>
      </c>
      <c r="P83" s="23">
        <v>5145</v>
      </c>
      <c r="Q83" s="23">
        <v>5.0999999999999996</v>
      </c>
      <c r="R83" s="23">
        <v>5.3826162145677898</v>
      </c>
      <c r="S83" s="45">
        <f t="shared" si="13"/>
        <v>-0.28261621456779018</v>
      </c>
      <c r="U83" s="23">
        <v>1244</v>
      </c>
      <c r="V83" s="23">
        <v>2.1</v>
      </c>
      <c r="W83" s="23">
        <v>1.8954971501697699</v>
      </c>
      <c r="X83" s="45">
        <f t="shared" si="14"/>
        <v>0.20450284983023015</v>
      </c>
    </row>
    <row r="84" spans="1:24" x14ac:dyDescent="0.35">
      <c r="A84" s="23">
        <v>1230</v>
      </c>
      <c r="B84" s="23">
        <v>11</v>
      </c>
      <c r="C84" s="23">
        <v>11.985295444379499</v>
      </c>
      <c r="D84" s="45">
        <f t="shared" si="10"/>
        <v>-0.98529544437949923</v>
      </c>
      <c r="F84" s="23">
        <v>1243</v>
      </c>
      <c r="G84" s="23">
        <v>3.96</v>
      </c>
      <c r="H84" s="23">
        <v>3.7707170680673099</v>
      </c>
      <c r="I84" s="45">
        <f t="shared" si="11"/>
        <v>0.18928293193269008</v>
      </c>
      <c r="K84">
        <v>1301</v>
      </c>
      <c r="L84">
        <v>1.99</v>
      </c>
      <c r="M84">
        <v>1.9707378354631699</v>
      </c>
      <c r="N84" s="45">
        <f t="shared" si="12"/>
        <v>1.9262164536830051E-2</v>
      </c>
      <c r="P84" s="23">
        <v>5307</v>
      </c>
      <c r="Q84" s="23">
        <v>3.82</v>
      </c>
      <c r="R84" s="23">
        <v>3.6793352959875798</v>
      </c>
      <c r="S84" s="45">
        <f t="shared" si="13"/>
        <v>0.14066470401242004</v>
      </c>
      <c r="U84" s="23">
        <v>1246</v>
      </c>
      <c r="V84" s="23">
        <v>1.69</v>
      </c>
      <c r="W84" s="23">
        <v>1.6586454698195601</v>
      </c>
      <c r="X84" s="45">
        <f t="shared" si="14"/>
        <v>3.1354530180439877E-2</v>
      </c>
    </row>
    <row r="85" spans="1:24" x14ac:dyDescent="0.35">
      <c r="A85" s="23">
        <v>1231</v>
      </c>
      <c r="B85" s="23">
        <v>11.3</v>
      </c>
      <c r="C85" s="23">
        <v>11.7259077902849</v>
      </c>
      <c r="D85" s="45">
        <f t="shared" si="10"/>
        <v>-0.42590779028489933</v>
      </c>
      <c r="F85" s="23">
        <v>1244</v>
      </c>
      <c r="G85" s="23">
        <v>4.07</v>
      </c>
      <c r="H85" s="23">
        <v>3.8240736301937401</v>
      </c>
      <c r="I85" s="45">
        <f t="shared" si="11"/>
        <v>0.24592636980626015</v>
      </c>
      <c r="K85">
        <v>1322</v>
      </c>
      <c r="L85">
        <v>0.63</v>
      </c>
      <c r="M85">
        <v>0.57441444742660097</v>
      </c>
      <c r="N85" s="45">
        <f t="shared" si="12"/>
        <v>5.5585552573399033E-2</v>
      </c>
      <c r="P85" s="23">
        <v>5310</v>
      </c>
      <c r="Q85" s="23">
        <v>3.4</v>
      </c>
      <c r="R85" s="23">
        <v>3.7459056670559798</v>
      </c>
      <c r="S85" s="45">
        <f t="shared" si="13"/>
        <v>-0.34590566705597992</v>
      </c>
      <c r="U85" s="23">
        <v>1301</v>
      </c>
      <c r="V85" s="23">
        <v>2.5099999999999998</v>
      </c>
      <c r="W85" s="23">
        <v>1.8649480182817399</v>
      </c>
      <c r="X85" s="45">
        <f t="shared" si="14"/>
        <v>0.64505198171825984</v>
      </c>
    </row>
    <row r="86" spans="1:24" x14ac:dyDescent="0.35">
      <c r="A86" s="23">
        <v>1232</v>
      </c>
      <c r="B86" s="23">
        <v>10.4</v>
      </c>
      <c r="C86" s="23">
        <v>10.5154568029225</v>
      </c>
      <c r="D86" s="45">
        <f t="shared" si="10"/>
        <v>-0.11545680292250005</v>
      </c>
      <c r="F86" s="23">
        <v>1246</v>
      </c>
      <c r="G86" s="23">
        <v>3.99</v>
      </c>
      <c r="H86" s="23">
        <v>3.5002340054249101</v>
      </c>
      <c r="I86" s="45">
        <f t="shared" si="11"/>
        <v>0.48976599457509007</v>
      </c>
      <c r="K86">
        <v>1325</v>
      </c>
      <c r="L86">
        <v>0.48</v>
      </c>
      <c r="M86">
        <v>0.60044061392868497</v>
      </c>
      <c r="N86" s="45">
        <f t="shared" si="12"/>
        <v>-0.12044061392868499</v>
      </c>
      <c r="P86" s="23">
        <v>5313</v>
      </c>
      <c r="Q86" s="23">
        <v>4.41</v>
      </c>
      <c r="R86" s="23">
        <v>4.3207106599658998</v>
      </c>
      <c r="S86" s="45">
        <f t="shared" si="13"/>
        <v>8.9289340034100384E-2</v>
      </c>
      <c r="U86" s="23">
        <v>1322</v>
      </c>
      <c r="V86" s="23">
        <v>0.72</v>
      </c>
      <c r="W86" s="23">
        <v>0.91576651246379803</v>
      </c>
      <c r="X86" s="45">
        <f t="shared" si="14"/>
        <v>-0.19576651246379806</v>
      </c>
    </row>
    <row r="87" spans="1:24" x14ac:dyDescent="0.35">
      <c r="A87" s="23">
        <v>1233</v>
      </c>
      <c r="B87" s="23">
        <v>10.7</v>
      </c>
      <c r="C87" s="23">
        <v>10.4043661775336</v>
      </c>
      <c r="D87" s="45">
        <f t="shared" si="10"/>
        <v>0.29563382246639947</v>
      </c>
      <c r="F87" s="23">
        <v>1301</v>
      </c>
      <c r="G87" s="23">
        <v>4.24</v>
      </c>
      <c r="H87" s="23">
        <v>3.9195990359833299</v>
      </c>
      <c r="I87" s="45">
        <f t="shared" si="11"/>
        <v>0.32040096401667029</v>
      </c>
      <c r="K87">
        <v>1327</v>
      </c>
      <c r="L87">
        <v>1.72</v>
      </c>
      <c r="M87">
        <v>1.95320642937668</v>
      </c>
      <c r="N87" s="45">
        <f t="shared" si="12"/>
        <v>-0.23320642937668001</v>
      </c>
      <c r="P87" s="23">
        <v>5315</v>
      </c>
      <c r="Q87" s="23">
        <v>4.54</v>
      </c>
      <c r="R87" s="23">
        <v>4.2313521398241498</v>
      </c>
      <c r="S87" s="45">
        <f t="shared" si="13"/>
        <v>0.30864786017585022</v>
      </c>
      <c r="U87" s="23">
        <v>1325</v>
      </c>
      <c r="V87" s="23">
        <v>0.41</v>
      </c>
      <c r="W87" s="23">
        <v>0.71669835865176301</v>
      </c>
      <c r="X87" s="45">
        <f t="shared" si="14"/>
        <v>-0.30669835865176304</v>
      </c>
    </row>
    <row r="88" spans="1:24" x14ac:dyDescent="0.35">
      <c r="A88" s="23">
        <v>1234</v>
      </c>
      <c r="B88" s="23">
        <v>11.3</v>
      </c>
      <c r="C88" s="23">
        <v>12.1277600705215</v>
      </c>
      <c r="D88" s="45">
        <f t="shared" si="10"/>
        <v>-0.82776007052149936</v>
      </c>
      <c r="F88" s="23">
        <v>1322</v>
      </c>
      <c r="G88" s="23">
        <v>1.3</v>
      </c>
      <c r="H88" s="23">
        <v>1.3644787382936401</v>
      </c>
      <c r="I88" s="45">
        <f t="shared" si="11"/>
        <v>-6.4478738293640037E-2</v>
      </c>
      <c r="K88">
        <v>1328</v>
      </c>
      <c r="L88">
        <v>2.13</v>
      </c>
      <c r="M88">
        <v>1.82503567803899</v>
      </c>
      <c r="N88" s="45">
        <f t="shared" si="12"/>
        <v>0.30496432196100987</v>
      </c>
      <c r="P88" s="23">
        <v>5330</v>
      </c>
      <c r="Q88" s="23">
        <v>4.54</v>
      </c>
      <c r="R88" s="23">
        <v>4.4375991846371798</v>
      </c>
      <c r="S88" s="45">
        <f t="shared" si="13"/>
        <v>0.1024008153628202</v>
      </c>
      <c r="U88" s="23">
        <v>1327</v>
      </c>
      <c r="V88" s="23">
        <v>1.51</v>
      </c>
      <c r="W88" s="23">
        <v>1.68340734248858</v>
      </c>
      <c r="X88" s="45">
        <f t="shared" si="14"/>
        <v>-0.17340734248858003</v>
      </c>
    </row>
    <row r="89" spans="1:24" x14ac:dyDescent="0.35">
      <c r="A89" s="23">
        <v>1235</v>
      </c>
      <c r="B89" s="23">
        <v>11.5</v>
      </c>
      <c r="C89" s="23">
        <v>10.443055020088799</v>
      </c>
      <c r="D89" s="45">
        <f t="shared" si="10"/>
        <v>1.0569449799112007</v>
      </c>
      <c r="F89" s="23">
        <v>1325</v>
      </c>
      <c r="G89" s="23">
        <v>1.1499999999999999</v>
      </c>
      <c r="H89" s="23">
        <v>1.33011085742609</v>
      </c>
      <c r="I89" s="45">
        <f t="shared" si="11"/>
        <v>-0.18011085742609012</v>
      </c>
      <c r="K89">
        <v>1329</v>
      </c>
      <c r="L89">
        <v>2.0099999999999998</v>
      </c>
      <c r="M89">
        <v>1.8675509409741899</v>
      </c>
      <c r="N89" s="45">
        <f t="shared" si="12"/>
        <v>0.14244905902580984</v>
      </c>
      <c r="P89" s="23">
        <v>5331</v>
      </c>
      <c r="Q89" s="23">
        <v>3.55</v>
      </c>
      <c r="R89" s="23">
        <v>3.9565582091601299</v>
      </c>
      <c r="S89" s="45">
        <f t="shared" si="13"/>
        <v>-0.40655820916013008</v>
      </c>
      <c r="U89" s="23">
        <v>1328</v>
      </c>
      <c r="V89" s="23">
        <v>2.0099999999999998</v>
      </c>
      <c r="W89" s="23">
        <v>1.7075056638231501</v>
      </c>
      <c r="X89" s="45">
        <f t="shared" si="14"/>
        <v>0.30249433617684973</v>
      </c>
    </row>
    <row r="90" spans="1:24" x14ac:dyDescent="0.35">
      <c r="A90" s="23">
        <v>1238</v>
      </c>
      <c r="B90" s="23">
        <v>8.3000000000000007</v>
      </c>
      <c r="C90" s="23">
        <v>8.7333676808841592</v>
      </c>
      <c r="D90" s="45">
        <f t="shared" si="10"/>
        <v>-0.43336768088415845</v>
      </c>
      <c r="F90" s="23">
        <v>1327</v>
      </c>
      <c r="G90" s="23">
        <v>3.55</v>
      </c>
      <c r="H90" s="23">
        <v>3.5974505791910998</v>
      </c>
      <c r="I90" s="45">
        <f t="shared" si="11"/>
        <v>-4.7450579191099962E-2</v>
      </c>
      <c r="K90">
        <v>1330</v>
      </c>
      <c r="L90">
        <v>1.89</v>
      </c>
      <c r="M90">
        <v>1.84007356844423</v>
      </c>
      <c r="N90" s="45">
        <f t="shared" si="12"/>
        <v>4.9926431555769923E-2</v>
      </c>
      <c r="P90" s="23">
        <v>5334</v>
      </c>
      <c r="Q90" s="23">
        <v>3.64</v>
      </c>
      <c r="R90" s="23">
        <v>3.6431154934559502</v>
      </c>
      <c r="S90" s="45">
        <f t="shared" si="13"/>
        <v>-3.1154934559500802E-3</v>
      </c>
      <c r="U90" s="23">
        <v>1329</v>
      </c>
      <c r="V90" s="23">
        <v>1.95</v>
      </c>
      <c r="W90" s="23">
        <v>1.5998714362358899</v>
      </c>
      <c r="X90" s="45">
        <f t="shared" si="14"/>
        <v>0.35012856376411006</v>
      </c>
    </row>
    <row r="91" spans="1:24" x14ac:dyDescent="0.35">
      <c r="A91" s="23">
        <v>1243</v>
      </c>
      <c r="B91" s="23">
        <v>8.6999999999999993</v>
      </c>
      <c r="C91" s="23">
        <v>9.2830016607252706</v>
      </c>
      <c r="D91" s="45">
        <f t="shared" si="10"/>
        <v>-0.58300166072527126</v>
      </c>
      <c r="F91" s="23">
        <v>1328</v>
      </c>
      <c r="G91" s="23">
        <v>4.4000000000000004</v>
      </c>
      <c r="H91" s="23">
        <v>3.9527010293721299</v>
      </c>
      <c r="I91" s="45">
        <f t="shared" si="11"/>
        <v>0.4472989706278705</v>
      </c>
      <c r="K91">
        <v>1337</v>
      </c>
      <c r="L91">
        <v>1.53</v>
      </c>
      <c r="M91">
        <v>1.4056806077244399</v>
      </c>
      <c r="N91" s="45">
        <f t="shared" si="12"/>
        <v>0.1243193922755601</v>
      </c>
      <c r="P91" s="23">
        <v>5335</v>
      </c>
      <c r="Q91" s="23">
        <v>5.0199999999999996</v>
      </c>
      <c r="R91" s="23">
        <v>4.9831547207630598</v>
      </c>
      <c r="S91" s="45">
        <f t="shared" si="13"/>
        <v>3.684527923693981E-2</v>
      </c>
      <c r="U91" s="23">
        <v>1330</v>
      </c>
      <c r="V91" s="23">
        <v>1.8</v>
      </c>
      <c r="W91" s="23">
        <v>1.7831602978523899</v>
      </c>
      <c r="X91" s="45">
        <f t="shared" si="14"/>
        <v>1.6839702147610103E-2</v>
      </c>
    </row>
    <row r="92" spans="1:24" x14ac:dyDescent="0.35">
      <c r="A92" s="23">
        <v>1244</v>
      </c>
      <c r="B92" s="23">
        <v>9.4</v>
      </c>
      <c r="C92" s="23">
        <v>9.4279921782518308</v>
      </c>
      <c r="D92" s="45">
        <f t="shared" si="10"/>
        <v>-2.7992178251830424E-2</v>
      </c>
      <c r="F92" s="23">
        <v>1329</v>
      </c>
      <c r="G92" s="23">
        <v>3.88</v>
      </c>
      <c r="H92" s="23">
        <v>3.71036434311161</v>
      </c>
      <c r="I92" s="45">
        <f t="shared" si="11"/>
        <v>0.16963565688838989</v>
      </c>
      <c r="K92">
        <v>1338</v>
      </c>
      <c r="L92">
        <v>1.98</v>
      </c>
      <c r="M92">
        <v>1.8021369973853201</v>
      </c>
      <c r="N92" s="45">
        <f t="shared" si="12"/>
        <v>0.17786300261467991</v>
      </c>
      <c r="P92" s="23">
        <v>5338</v>
      </c>
      <c r="Q92" s="23">
        <v>4.3099999999999996</v>
      </c>
      <c r="R92" s="23">
        <v>4.3768462499443404</v>
      </c>
      <c r="S92" s="45">
        <f t="shared" si="13"/>
        <v>-6.6846249944340741E-2</v>
      </c>
      <c r="U92" s="23">
        <v>1337</v>
      </c>
      <c r="V92" s="23">
        <v>1.21</v>
      </c>
      <c r="W92" s="23">
        <v>1.4754320409536801</v>
      </c>
      <c r="X92" s="45">
        <f t="shared" si="14"/>
        <v>-0.26543204095368012</v>
      </c>
    </row>
    <row r="93" spans="1:24" x14ac:dyDescent="0.35">
      <c r="A93" s="23">
        <v>1246</v>
      </c>
      <c r="B93" s="23">
        <v>10</v>
      </c>
      <c r="C93" s="23">
        <v>9.6967105654543104</v>
      </c>
      <c r="D93" s="45">
        <f t="shared" si="10"/>
        <v>0.30328943454568957</v>
      </c>
      <c r="F93" s="23">
        <v>1330</v>
      </c>
      <c r="G93" s="23">
        <v>3.52</v>
      </c>
      <c r="H93" s="23">
        <v>3.5081912618951399</v>
      </c>
      <c r="I93" s="45">
        <f t="shared" si="11"/>
        <v>1.1808738104860161E-2</v>
      </c>
      <c r="K93">
        <v>1339</v>
      </c>
      <c r="L93">
        <v>0.92</v>
      </c>
      <c r="M93">
        <v>1.1815367105558801</v>
      </c>
      <c r="N93" s="45">
        <f t="shared" si="12"/>
        <v>-0.26153671055588001</v>
      </c>
      <c r="P93" s="23">
        <v>5343</v>
      </c>
      <c r="Q93" s="23">
        <v>3.74</v>
      </c>
      <c r="R93" s="23">
        <v>3.6216899619462599</v>
      </c>
      <c r="S93" s="45">
        <f t="shared" si="13"/>
        <v>0.1183100380537403</v>
      </c>
      <c r="U93" s="23">
        <v>1338</v>
      </c>
      <c r="V93" s="23">
        <v>1.43</v>
      </c>
      <c r="W93" s="23">
        <v>1.4462442924422001</v>
      </c>
      <c r="X93" s="45">
        <f t="shared" si="14"/>
        <v>-1.6244292442200159E-2</v>
      </c>
    </row>
    <row r="94" spans="1:24" x14ac:dyDescent="0.35">
      <c r="A94" s="23">
        <v>1301</v>
      </c>
      <c r="B94" s="23">
        <v>11.9</v>
      </c>
      <c r="C94" s="23">
        <v>11.863706691993899</v>
      </c>
      <c r="D94" s="45">
        <f t="shared" si="10"/>
        <v>3.6293308006101199E-2</v>
      </c>
      <c r="F94" s="23">
        <v>1337</v>
      </c>
      <c r="G94" s="23">
        <v>2.93</v>
      </c>
      <c r="H94" s="23">
        <v>3.0752197302384001</v>
      </c>
      <c r="I94" s="45">
        <f t="shared" si="11"/>
        <v>-0.14521973023839996</v>
      </c>
      <c r="K94">
        <v>1344</v>
      </c>
      <c r="L94">
        <v>0.35</v>
      </c>
      <c r="M94">
        <v>0.46211780270078501</v>
      </c>
      <c r="N94" s="45">
        <f t="shared" si="12"/>
        <v>-0.11211780270078503</v>
      </c>
      <c r="P94" s="23">
        <v>5454</v>
      </c>
      <c r="Q94" s="23">
        <v>6.9</v>
      </c>
      <c r="R94" s="23">
        <v>6.2305501192069004</v>
      </c>
      <c r="S94" s="45">
        <f t="shared" si="13"/>
        <v>0.66944988079309997</v>
      </c>
      <c r="U94" s="23">
        <v>1339</v>
      </c>
      <c r="V94" s="23">
        <v>1.32</v>
      </c>
      <c r="W94" s="23">
        <v>1.3924781733096401</v>
      </c>
      <c r="X94" s="45">
        <f t="shared" si="14"/>
        <v>-7.2478173309640015E-2</v>
      </c>
    </row>
    <row r="95" spans="1:24" x14ac:dyDescent="0.35">
      <c r="A95" s="23">
        <v>1322</v>
      </c>
      <c r="B95" s="23">
        <v>2.5</v>
      </c>
      <c r="C95" s="23">
        <v>2.4998411993151901</v>
      </c>
      <c r="D95" s="45">
        <f t="shared" si="10"/>
        <v>1.5880068480988996E-4</v>
      </c>
      <c r="F95" s="23">
        <v>1338</v>
      </c>
      <c r="G95" s="23">
        <v>3.14</v>
      </c>
      <c r="H95" s="23">
        <v>3.3137370787014899</v>
      </c>
      <c r="I95" s="45">
        <f t="shared" si="11"/>
        <v>-0.1737370787014898</v>
      </c>
      <c r="K95">
        <v>1345</v>
      </c>
      <c r="L95">
        <v>0.68</v>
      </c>
      <c r="M95">
        <v>0.70713904377574099</v>
      </c>
      <c r="N95" s="45">
        <f t="shared" si="12"/>
        <v>-2.7139043775740945E-2</v>
      </c>
      <c r="P95" s="23">
        <v>5455</v>
      </c>
      <c r="Q95" s="23">
        <v>3.6</v>
      </c>
      <c r="R95" s="23">
        <v>3.96601170392004</v>
      </c>
      <c r="S95" s="45">
        <f t="shared" si="13"/>
        <v>-0.3660117039200399</v>
      </c>
      <c r="U95" s="23">
        <v>1344</v>
      </c>
      <c r="V95" s="23">
        <v>0.56999999999999995</v>
      </c>
      <c r="W95" s="23">
        <v>0.62766695495848601</v>
      </c>
      <c r="X95" s="45">
        <f t="shared" si="14"/>
        <v>-5.7666954958486061E-2</v>
      </c>
    </row>
    <row r="96" spans="1:24" x14ac:dyDescent="0.35">
      <c r="A96" s="23">
        <v>1325</v>
      </c>
      <c r="B96" s="23">
        <v>2.2999999999999998</v>
      </c>
      <c r="C96" s="23">
        <v>2.8625913417928501</v>
      </c>
      <c r="D96" s="45">
        <f t="shared" si="10"/>
        <v>-0.56259134179285031</v>
      </c>
      <c r="F96" s="23">
        <v>1339</v>
      </c>
      <c r="G96" s="23">
        <v>2.27</v>
      </c>
      <c r="H96" s="23">
        <v>2.4176974366040902</v>
      </c>
      <c r="I96" s="45">
        <f t="shared" si="11"/>
        <v>-0.14769743660409018</v>
      </c>
      <c r="K96">
        <v>1349</v>
      </c>
      <c r="L96">
        <v>1.26</v>
      </c>
      <c r="M96">
        <v>1.57323760131637</v>
      </c>
      <c r="N96" s="45">
        <f t="shared" si="12"/>
        <v>-0.31323760131637002</v>
      </c>
      <c r="P96" s="23">
        <v>5486</v>
      </c>
      <c r="Q96" s="23">
        <v>5.5</v>
      </c>
      <c r="R96" s="23">
        <v>5.1328656383174103</v>
      </c>
      <c r="S96" s="45">
        <f t="shared" si="13"/>
        <v>0.36713436168258973</v>
      </c>
      <c r="U96" s="23">
        <v>1349</v>
      </c>
      <c r="V96" s="23">
        <v>1.04</v>
      </c>
      <c r="W96" s="23">
        <v>1.49447663657885</v>
      </c>
      <c r="X96" s="45">
        <f t="shared" si="14"/>
        <v>-0.45447663657884996</v>
      </c>
    </row>
    <row r="97" spans="1:24" x14ac:dyDescent="0.35">
      <c r="A97" s="23">
        <v>1327</v>
      </c>
      <c r="B97" s="23">
        <v>10</v>
      </c>
      <c r="C97" s="23">
        <v>11.3532507725789</v>
      </c>
      <c r="D97" s="45">
        <f t="shared" si="10"/>
        <v>-1.3532507725788996</v>
      </c>
      <c r="F97" s="23">
        <v>1344</v>
      </c>
      <c r="G97" s="23">
        <v>1.02</v>
      </c>
      <c r="H97" s="23">
        <v>1.0945845292369001</v>
      </c>
      <c r="I97" s="45">
        <f t="shared" si="11"/>
        <v>-7.4584529236900066E-2</v>
      </c>
      <c r="K97">
        <v>1352</v>
      </c>
      <c r="L97">
        <v>0.62</v>
      </c>
      <c r="M97">
        <v>0.63118152890078405</v>
      </c>
      <c r="N97" s="45">
        <f t="shared" si="12"/>
        <v>-1.1181528900784055E-2</v>
      </c>
      <c r="P97" s="23">
        <v>54541</v>
      </c>
      <c r="Q97" s="23">
        <v>5.1749999999999998</v>
      </c>
      <c r="R97" s="23">
        <v>4.7197080005388097</v>
      </c>
      <c r="S97" s="45">
        <f t="shared" si="13"/>
        <v>0.45529199946119014</v>
      </c>
      <c r="U97" s="23">
        <v>1352</v>
      </c>
      <c r="V97" s="23">
        <v>1.37</v>
      </c>
      <c r="W97" s="23">
        <v>1.02744633369382</v>
      </c>
      <c r="X97" s="45">
        <f t="shared" si="14"/>
        <v>0.34255366630618012</v>
      </c>
    </row>
    <row r="98" spans="1:24" x14ac:dyDescent="0.35">
      <c r="A98" s="23">
        <v>1328</v>
      </c>
      <c r="B98" s="23">
        <v>11.8</v>
      </c>
      <c r="C98" s="23">
        <v>11.410897381954401</v>
      </c>
      <c r="D98" s="45">
        <f t="shared" si="10"/>
        <v>0.38910261804559987</v>
      </c>
      <c r="F98" s="23">
        <v>1345</v>
      </c>
      <c r="G98" s="23">
        <v>1.42</v>
      </c>
      <c r="H98" s="23">
        <v>1.69127907211654</v>
      </c>
      <c r="I98" s="45">
        <f t="shared" si="11"/>
        <v>-0.27127907211654012</v>
      </c>
      <c r="K98">
        <v>1357</v>
      </c>
      <c r="L98">
        <v>1.26</v>
      </c>
      <c r="M98">
        <v>1.25254430773976</v>
      </c>
      <c r="N98" s="45">
        <f t="shared" si="12"/>
        <v>7.45569226024001E-3</v>
      </c>
      <c r="P98" s="23">
        <v>54852</v>
      </c>
      <c r="Q98" s="23">
        <v>2.2000000000000002</v>
      </c>
      <c r="R98" s="23">
        <v>2.6071395460828999</v>
      </c>
      <c r="S98" s="45">
        <f t="shared" si="13"/>
        <v>-0.40713954608289971</v>
      </c>
      <c r="U98" s="23">
        <v>1357</v>
      </c>
      <c r="V98" s="23">
        <v>1.4</v>
      </c>
      <c r="W98" s="23">
        <v>1.6663826902532399</v>
      </c>
      <c r="X98" s="45">
        <f t="shared" si="14"/>
        <v>-0.26638269025324002</v>
      </c>
    </row>
    <row r="99" spans="1:24" x14ac:dyDescent="0.35">
      <c r="A99" s="23">
        <v>1329</v>
      </c>
      <c r="B99" s="23">
        <v>12</v>
      </c>
      <c r="C99" s="23">
        <v>11.535769219058199</v>
      </c>
      <c r="D99" s="45">
        <f t="shared" si="10"/>
        <v>0.4642307809418007</v>
      </c>
      <c r="F99" s="23">
        <v>1349</v>
      </c>
      <c r="G99" s="23">
        <v>2.6</v>
      </c>
      <c r="H99" s="23">
        <v>3.0027006846358799</v>
      </c>
      <c r="I99" s="45">
        <f t="shared" si="11"/>
        <v>-0.40270068463587982</v>
      </c>
      <c r="K99">
        <v>1360</v>
      </c>
      <c r="L99">
        <v>1.4</v>
      </c>
      <c r="M99">
        <v>0.98291645654771198</v>
      </c>
      <c r="N99" s="45">
        <f t="shared" si="12"/>
        <v>0.41708354345228793</v>
      </c>
      <c r="P99" s="23">
        <v>54861</v>
      </c>
      <c r="Q99" s="23">
        <v>4.125</v>
      </c>
      <c r="R99" s="23">
        <v>4.0897916894253203</v>
      </c>
      <c r="S99" s="45">
        <f t="shared" si="13"/>
        <v>3.5208310574679658E-2</v>
      </c>
      <c r="U99" s="23">
        <v>1360</v>
      </c>
      <c r="V99" s="23">
        <v>0.88</v>
      </c>
      <c r="W99" s="23">
        <v>0.86155760653969404</v>
      </c>
      <c r="X99" s="45">
        <f t="shared" si="14"/>
        <v>1.8442393460305961E-2</v>
      </c>
    </row>
    <row r="100" spans="1:24" x14ac:dyDescent="0.35">
      <c r="A100" s="23">
        <v>1330</v>
      </c>
      <c r="B100" s="23">
        <v>8.5</v>
      </c>
      <c r="C100" s="23">
        <v>8.4086245647584601</v>
      </c>
      <c r="D100" s="45">
        <f t="shared" si="10"/>
        <v>9.1375435241539904E-2</v>
      </c>
      <c r="F100" s="23">
        <v>1352</v>
      </c>
      <c r="G100" s="23">
        <v>2.2799999999999998</v>
      </c>
      <c r="H100" s="23">
        <v>1.88888350773901</v>
      </c>
      <c r="I100" s="45">
        <f t="shared" si="11"/>
        <v>0.39111649226098977</v>
      </c>
      <c r="K100">
        <v>1362</v>
      </c>
      <c r="L100">
        <v>1.49</v>
      </c>
      <c r="M100">
        <v>1.46862941679088</v>
      </c>
      <c r="N100" s="45">
        <f t="shared" si="12"/>
        <v>2.1370583209119998E-2</v>
      </c>
      <c r="P100" s="23">
        <v>54862</v>
      </c>
      <c r="Q100" s="23">
        <v>2.75</v>
      </c>
      <c r="R100" s="23">
        <v>2.8432720718570201</v>
      </c>
      <c r="S100" s="45">
        <f t="shared" si="13"/>
        <v>-9.3272071857020133E-2</v>
      </c>
      <c r="U100" s="23">
        <v>1362</v>
      </c>
      <c r="V100" s="23">
        <v>1.59</v>
      </c>
      <c r="W100" s="23">
        <v>1.6957922909998699</v>
      </c>
      <c r="X100" s="45">
        <f t="shared" si="14"/>
        <v>-0.10579229099986986</v>
      </c>
    </row>
    <row r="101" spans="1:24" x14ac:dyDescent="0.35">
      <c r="A101" s="23">
        <v>1337</v>
      </c>
      <c r="B101" s="23">
        <v>9.6999999999999993</v>
      </c>
      <c r="C101" s="23">
        <v>9.8082914706859992</v>
      </c>
      <c r="D101" s="45">
        <f t="shared" si="10"/>
        <v>-0.10829147068599987</v>
      </c>
      <c r="F101" s="23">
        <v>1357</v>
      </c>
      <c r="G101" s="23">
        <v>2.78</v>
      </c>
      <c r="H101" s="23">
        <v>2.77762271680924</v>
      </c>
      <c r="I101" s="45">
        <f t="shared" si="11"/>
        <v>2.3772831907598047E-3</v>
      </c>
      <c r="K101">
        <v>1227</v>
      </c>
      <c r="L101">
        <v>0.56999999999999995</v>
      </c>
      <c r="M101">
        <v>0.76040924715953295</v>
      </c>
      <c r="N101" s="45">
        <f t="shared" si="12"/>
        <v>-0.190409247159533</v>
      </c>
      <c r="P101" s="23">
        <v>54902</v>
      </c>
      <c r="Q101" s="23">
        <v>2.75</v>
      </c>
      <c r="R101" s="23">
        <v>2.9714599619865001</v>
      </c>
      <c r="S101" s="45">
        <f t="shared" si="13"/>
        <v>-0.22145996198650009</v>
      </c>
      <c r="U101" s="23">
        <v>2000</v>
      </c>
      <c r="V101" s="23">
        <v>1.44</v>
      </c>
      <c r="W101" s="23">
        <v>1.7463346504113599</v>
      </c>
      <c r="X101" s="45">
        <f t="shared" si="14"/>
        <v>-0.30633465041135999</v>
      </c>
    </row>
    <row r="102" spans="1:24" x14ac:dyDescent="0.35">
      <c r="A102" s="23">
        <v>1338</v>
      </c>
      <c r="B102" s="23">
        <v>12.6</v>
      </c>
      <c r="C102" s="23">
        <v>11.0024106087294</v>
      </c>
      <c r="D102" s="45">
        <f t="shared" si="10"/>
        <v>1.5975893912705992</v>
      </c>
      <c r="F102" s="23">
        <v>1360</v>
      </c>
      <c r="G102" s="23">
        <v>2.37</v>
      </c>
      <c r="H102" s="23">
        <v>2.2128143923959001</v>
      </c>
      <c r="I102" s="45">
        <f t="shared" si="11"/>
        <v>0.15718560760410005</v>
      </c>
      <c r="K102">
        <v>1232</v>
      </c>
      <c r="L102">
        <v>1.98</v>
      </c>
      <c r="M102">
        <v>1.9075655650002401</v>
      </c>
      <c r="N102" s="45">
        <f t="shared" si="12"/>
        <v>7.2434434999759878E-2</v>
      </c>
      <c r="P102" s="23">
        <v>54551</v>
      </c>
      <c r="Q102" s="23">
        <v>2.7</v>
      </c>
      <c r="R102" s="23">
        <v>3.01082579579501</v>
      </c>
      <c r="S102" s="45">
        <f t="shared" si="13"/>
        <v>-0.3108257957950098</v>
      </c>
      <c r="U102" s="23">
        <v>1227</v>
      </c>
      <c r="V102" s="23">
        <v>1.18</v>
      </c>
      <c r="W102" s="23">
        <v>1.3929330847330399</v>
      </c>
      <c r="X102" s="45">
        <f t="shared" si="14"/>
        <v>-0.21293308473303996</v>
      </c>
    </row>
    <row r="103" spans="1:24" x14ac:dyDescent="0.35">
      <c r="A103" s="23">
        <v>1339</v>
      </c>
      <c r="B103" s="23">
        <v>6.4</v>
      </c>
      <c r="C103" s="23">
        <v>6.8793738908043496</v>
      </c>
      <c r="D103" s="45">
        <f t="shared" si="10"/>
        <v>-0.47937389080434922</v>
      </c>
      <c r="F103" s="23">
        <v>1362</v>
      </c>
      <c r="G103" s="23">
        <v>2.97</v>
      </c>
      <c r="H103" s="23">
        <v>3.3653299556585599</v>
      </c>
      <c r="I103" s="45">
        <f t="shared" si="11"/>
        <v>-0.39532995565855966</v>
      </c>
      <c r="K103">
        <v>1339</v>
      </c>
      <c r="L103">
        <v>0.92</v>
      </c>
      <c r="M103">
        <v>1.1815367105558801</v>
      </c>
      <c r="N103" s="45">
        <f t="shared" si="12"/>
        <v>-0.26153671055588001</v>
      </c>
      <c r="P103" s="23">
        <v>54851</v>
      </c>
      <c r="Q103" s="23">
        <v>3.3</v>
      </c>
      <c r="R103" s="23">
        <v>3.5446518580806399</v>
      </c>
      <c r="S103" s="45">
        <f t="shared" si="13"/>
        <v>-0.24465185808064005</v>
      </c>
      <c r="U103" s="23">
        <v>1232</v>
      </c>
      <c r="V103" s="23">
        <v>1.47</v>
      </c>
      <c r="W103" s="23">
        <v>1.60465934229517</v>
      </c>
      <c r="X103" s="45">
        <f t="shared" si="14"/>
        <v>-0.13465934229517007</v>
      </c>
    </row>
    <row r="104" spans="1:24" x14ac:dyDescent="0.35">
      <c r="A104" s="23">
        <v>1344</v>
      </c>
      <c r="B104" s="23">
        <v>1.8</v>
      </c>
      <c r="C104" s="23">
        <v>2.0559968829994899</v>
      </c>
      <c r="D104" s="45">
        <f t="shared" si="10"/>
        <v>-0.25599688299948986</v>
      </c>
      <c r="F104" s="23">
        <v>2000</v>
      </c>
      <c r="G104" s="23">
        <v>3.72</v>
      </c>
      <c r="H104" s="23">
        <v>3.8210270453984698</v>
      </c>
      <c r="I104" s="45">
        <f t="shared" si="11"/>
        <v>-0.10102704539846963</v>
      </c>
      <c r="K104">
        <v>1356</v>
      </c>
      <c r="L104">
        <v>1.24</v>
      </c>
      <c r="M104">
        <v>1.4566396596545601</v>
      </c>
      <c r="N104" s="45">
        <f t="shared" si="12"/>
        <v>-0.21663965965456011</v>
      </c>
      <c r="P104" s="23">
        <v>5491</v>
      </c>
      <c r="Q104" s="23">
        <v>2.1</v>
      </c>
      <c r="R104" s="23">
        <v>2.1489046208085698</v>
      </c>
      <c r="S104" s="45">
        <f t="shared" si="13"/>
        <v>-4.8904620808569721E-2</v>
      </c>
      <c r="U104" s="23">
        <v>1339</v>
      </c>
      <c r="V104" s="23">
        <v>1.32</v>
      </c>
      <c r="W104" s="23">
        <v>1.3924781733096401</v>
      </c>
      <c r="X104" s="45">
        <f t="shared" si="14"/>
        <v>-7.2478173309640015E-2</v>
      </c>
    </row>
    <row r="105" spans="1:24" x14ac:dyDescent="0.35">
      <c r="A105" s="23">
        <v>1345</v>
      </c>
      <c r="B105" s="23">
        <v>3</v>
      </c>
      <c r="C105" s="23">
        <v>3.82485881131081</v>
      </c>
      <c r="D105" s="45">
        <f t="shared" si="10"/>
        <v>-0.82485881131080996</v>
      </c>
      <c r="F105" s="23">
        <v>1227</v>
      </c>
      <c r="G105" s="23">
        <v>1.89</v>
      </c>
      <c r="H105" s="23">
        <v>1.8945360678418901</v>
      </c>
      <c r="I105" s="45">
        <f t="shared" si="11"/>
        <v>-4.5360678418902012E-3</v>
      </c>
      <c r="K105">
        <v>1363</v>
      </c>
      <c r="L105">
        <v>2.19</v>
      </c>
      <c r="M105">
        <v>1.68769150242235</v>
      </c>
      <c r="N105" s="45">
        <f t="shared" si="12"/>
        <v>0.50230849757764995</v>
      </c>
      <c r="P105" s="23">
        <v>5493</v>
      </c>
      <c r="Q105" s="23">
        <v>2.1</v>
      </c>
      <c r="R105" s="23">
        <v>2.3608457103573199</v>
      </c>
      <c r="S105" s="45">
        <f t="shared" si="13"/>
        <v>-0.26084571035731985</v>
      </c>
      <c r="U105" s="23">
        <v>1356</v>
      </c>
      <c r="V105" s="23">
        <v>1.52</v>
      </c>
      <c r="W105" s="23">
        <v>1.7824741308523799</v>
      </c>
      <c r="X105" s="45">
        <f t="shared" si="14"/>
        <v>-0.26247413085237992</v>
      </c>
    </row>
    <row r="106" spans="1:24" x14ac:dyDescent="0.35">
      <c r="A106" s="23">
        <v>1349</v>
      </c>
      <c r="B106" s="23">
        <v>9.4</v>
      </c>
      <c r="C106" s="23">
        <v>8.9630049214255791</v>
      </c>
      <c r="D106" s="45">
        <f t="shared" si="10"/>
        <v>0.43699507857442121</v>
      </c>
      <c r="F106" s="23">
        <v>1232</v>
      </c>
      <c r="G106" s="23">
        <v>4.42</v>
      </c>
      <c r="H106" s="23">
        <v>4.4851912580662301</v>
      </c>
      <c r="I106" s="45">
        <f t="shared" si="11"/>
        <v>-6.5191258066230162E-2</v>
      </c>
      <c r="K106">
        <v>6</v>
      </c>
      <c r="L106">
        <v>1.1200000000000001</v>
      </c>
      <c r="M106">
        <v>1.2879122405029999</v>
      </c>
      <c r="N106" s="45">
        <f t="shared" si="12"/>
        <v>-0.1679122405029998</v>
      </c>
      <c r="P106" s="23">
        <v>5465</v>
      </c>
      <c r="Q106" s="23">
        <v>3.48</v>
      </c>
      <c r="R106" s="23">
        <v>3.7838477595736499</v>
      </c>
      <c r="S106" s="45">
        <f t="shared" si="13"/>
        <v>-0.30384775957364996</v>
      </c>
      <c r="U106" s="23">
        <v>1363</v>
      </c>
      <c r="V106" s="23">
        <v>1.69</v>
      </c>
      <c r="W106" s="23">
        <v>1.6085676344061699</v>
      </c>
      <c r="X106" s="45">
        <f t="shared" si="14"/>
        <v>8.1432365593830047E-2</v>
      </c>
    </row>
    <row r="107" spans="1:24" x14ac:dyDescent="0.35">
      <c r="A107" s="23">
        <v>1352</v>
      </c>
      <c r="B107" s="23">
        <v>3</v>
      </c>
      <c r="C107" s="23">
        <v>2.6888381254154301</v>
      </c>
      <c r="D107" s="45">
        <f t="shared" si="10"/>
        <v>0.3111618745845699</v>
      </c>
      <c r="F107" s="23">
        <v>1339</v>
      </c>
      <c r="G107" s="23">
        <v>2.27</v>
      </c>
      <c r="H107" s="23">
        <v>2.4176974366040902</v>
      </c>
      <c r="I107" s="45">
        <f t="shared" si="11"/>
        <v>-0.14769743660409018</v>
      </c>
      <c r="K107">
        <v>9</v>
      </c>
      <c r="L107">
        <v>1.48</v>
      </c>
      <c r="M107">
        <v>1.3743766454284401</v>
      </c>
      <c r="N107" s="45">
        <f t="shared" si="12"/>
        <v>0.10562335457155991</v>
      </c>
      <c r="P107" s="23">
        <v>5466</v>
      </c>
      <c r="Q107" s="23">
        <v>4.29</v>
      </c>
      <c r="R107" s="23">
        <v>4.2463999009258897</v>
      </c>
      <c r="S107" s="45">
        <f t="shared" si="13"/>
        <v>4.3600099074110332E-2</v>
      </c>
      <c r="U107" s="23">
        <v>6</v>
      </c>
      <c r="V107" s="23">
        <v>1.51</v>
      </c>
      <c r="W107" s="23">
        <v>1.5121482403873101</v>
      </c>
      <c r="X107" s="45">
        <f t="shared" si="14"/>
        <v>-2.1482403873100964E-3</v>
      </c>
    </row>
    <row r="108" spans="1:24" x14ac:dyDescent="0.35">
      <c r="A108" s="23">
        <v>1357</v>
      </c>
      <c r="B108" s="23">
        <v>5.3</v>
      </c>
      <c r="C108" s="23">
        <v>6.1512080786070298</v>
      </c>
      <c r="D108" s="45">
        <f t="shared" si="10"/>
        <v>-0.85120807860702996</v>
      </c>
      <c r="F108" s="23">
        <v>1356</v>
      </c>
      <c r="G108" s="23">
        <v>2.99</v>
      </c>
      <c r="H108" s="23">
        <v>3.2514004700488099</v>
      </c>
      <c r="I108" s="45">
        <f t="shared" si="11"/>
        <v>-0.26140047004880973</v>
      </c>
      <c r="K108">
        <v>11</v>
      </c>
      <c r="L108">
        <v>1.59</v>
      </c>
      <c r="M108">
        <v>1.4129872701983499</v>
      </c>
      <c r="N108" s="45">
        <f t="shared" si="12"/>
        <v>0.17701272980165017</v>
      </c>
      <c r="P108" s="23">
        <v>5467</v>
      </c>
      <c r="Q108" s="23">
        <v>4.55</v>
      </c>
      <c r="R108" s="23">
        <v>4.9452293351823098</v>
      </c>
      <c r="S108" s="45">
        <f t="shared" si="13"/>
        <v>-0.39522933518230996</v>
      </c>
      <c r="U108" s="23">
        <v>9</v>
      </c>
      <c r="V108" s="23">
        <v>1.81</v>
      </c>
      <c r="W108" s="23">
        <v>1.5281927877183801</v>
      </c>
      <c r="X108" s="45">
        <f t="shared" si="14"/>
        <v>0.28180721228161998</v>
      </c>
    </row>
    <row r="109" spans="1:24" x14ac:dyDescent="0.35">
      <c r="A109" s="23">
        <v>1360</v>
      </c>
      <c r="B109" s="23">
        <v>6.8</v>
      </c>
      <c r="C109" s="23">
        <v>7.2539017750177299</v>
      </c>
      <c r="D109" s="45">
        <f t="shared" si="10"/>
        <v>-0.4539017750177301</v>
      </c>
      <c r="F109" s="23">
        <v>1363</v>
      </c>
      <c r="G109" s="23">
        <v>3.73</v>
      </c>
      <c r="H109" s="23">
        <v>3.5776416460128302</v>
      </c>
      <c r="I109" s="45">
        <f t="shared" si="11"/>
        <v>0.15235835398716979</v>
      </c>
      <c r="K109">
        <v>5</v>
      </c>
      <c r="L109">
        <v>1.2</v>
      </c>
      <c r="M109">
        <v>1.28907727883693</v>
      </c>
      <c r="N109" s="45">
        <f t="shared" si="12"/>
        <v>-8.9077278836930063E-2</v>
      </c>
      <c r="P109" s="23">
        <v>5468</v>
      </c>
      <c r="Q109" s="23">
        <v>5.81</v>
      </c>
      <c r="R109" s="23">
        <v>4.8876557768617497</v>
      </c>
      <c r="S109" s="45">
        <f t="shared" si="13"/>
        <v>0.92234422313824993</v>
      </c>
      <c r="U109" s="23">
        <v>5</v>
      </c>
      <c r="V109" s="23">
        <v>1.59</v>
      </c>
      <c r="W109" s="23">
        <v>1.5285129590400499</v>
      </c>
      <c r="X109" s="45">
        <f t="shared" si="14"/>
        <v>6.1487040959950168E-2</v>
      </c>
    </row>
    <row r="110" spans="1:24" x14ac:dyDescent="0.35">
      <c r="A110" s="23">
        <v>1362</v>
      </c>
      <c r="B110" s="23">
        <v>7.9</v>
      </c>
      <c r="C110" s="23">
        <v>8.7997392667641794</v>
      </c>
      <c r="D110" s="45">
        <f t="shared" si="10"/>
        <v>-0.89973926676417904</v>
      </c>
      <c r="F110" s="23">
        <v>6</v>
      </c>
      <c r="G110" s="23">
        <v>2.72</v>
      </c>
      <c r="H110" s="23">
        <v>2.9306184119023002</v>
      </c>
      <c r="I110" s="45">
        <f t="shared" si="11"/>
        <v>-0.21061841190230002</v>
      </c>
      <c r="K110">
        <v>10</v>
      </c>
      <c r="L110">
        <v>0.82</v>
      </c>
      <c r="M110">
        <v>0.84376114282962</v>
      </c>
      <c r="N110" s="45">
        <f t="shared" si="12"/>
        <v>-2.3761142829620052E-2</v>
      </c>
      <c r="P110" s="23">
        <v>5469</v>
      </c>
      <c r="Q110" s="23">
        <v>5.04</v>
      </c>
      <c r="R110" s="23">
        <v>4.6396046068757997</v>
      </c>
      <c r="S110" s="45">
        <f t="shared" si="13"/>
        <v>0.40039539312420036</v>
      </c>
      <c r="U110" s="23">
        <v>10</v>
      </c>
      <c r="V110" s="23">
        <v>1.45</v>
      </c>
      <c r="W110" s="23">
        <v>1.4642805280670199</v>
      </c>
      <c r="X110" s="45">
        <f t="shared" si="14"/>
        <v>-1.428052806701996E-2</v>
      </c>
    </row>
    <row r="111" spans="1:24" x14ac:dyDescent="0.35">
      <c r="A111" s="23">
        <v>2000</v>
      </c>
      <c r="B111" s="23">
        <v>12.1</v>
      </c>
      <c r="C111" s="23">
        <v>11.464684921960799</v>
      </c>
      <c r="D111" s="45">
        <f t="shared" ref="D111:D142" si="15">(B111-C111)</f>
        <v>0.63531507803920029</v>
      </c>
      <c r="F111" s="23">
        <v>9</v>
      </c>
      <c r="G111" s="23">
        <v>3.47</v>
      </c>
      <c r="H111" s="23">
        <v>3.0979388817763001</v>
      </c>
      <c r="I111" s="45">
        <f t="shared" ref="I111:I142" si="16">(G111-H111)</f>
        <v>0.37206111822370014</v>
      </c>
      <c r="K111">
        <v>13</v>
      </c>
      <c r="L111">
        <v>1.56</v>
      </c>
      <c r="M111">
        <v>1.41149509998561</v>
      </c>
      <c r="N111" s="45">
        <f t="shared" ref="N111:N142" si="17">(L111-M111)</f>
        <v>0.1485049000143901</v>
      </c>
      <c r="P111" s="23">
        <v>5474</v>
      </c>
      <c r="Q111" s="23">
        <v>3.8</v>
      </c>
      <c r="R111" s="23">
        <v>4.7436569111688698</v>
      </c>
      <c r="S111" s="45">
        <f t="shared" ref="S111:S142" si="18">(Q111-R111)</f>
        <v>-0.94365691116886996</v>
      </c>
      <c r="U111" s="23">
        <v>4547</v>
      </c>
      <c r="V111" s="23">
        <v>2.2999999999999998</v>
      </c>
      <c r="W111" s="23">
        <v>1.95923168279725</v>
      </c>
      <c r="X111" s="45">
        <f t="shared" ref="X111:X142" si="19">(V111-W111)</f>
        <v>0.3407683172027498</v>
      </c>
    </row>
    <row r="112" spans="1:24" x14ac:dyDescent="0.35">
      <c r="A112" s="23">
        <v>1227</v>
      </c>
      <c r="B112" s="23">
        <v>3.5</v>
      </c>
      <c r="C112" s="23">
        <v>2.89376083013435</v>
      </c>
      <c r="D112" s="45">
        <f t="shared" si="15"/>
        <v>0.60623916986564996</v>
      </c>
      <c r="F112" s="23">
        <v>11</v>
      </c>
      <c r="G112" s="23">
        <v>3.92</v>
      </c>
      <c r="H112" s="23">
        <v>3.25443760475321</v>
      </c>
      <c r="I112" s="45">
        <f t="shared" si="16"/>
        <v>0.66556239524678995</v>
      </c>
      <c r="K112">
        <v>4547</v>
      </c>
      <c r="L112">
        <v>1.95</v>
      </c>
      <c r="M112">
        <v>1.86806940568613</v>
      </c>
      <c r="N112" s="45">
        <f t="shared" si="17"/>
        <v>8.1930594313869953E-2</v>
      </c>
      <c r="P112" s="23">
        <v>5832</v>
      </c>
      <c r="Q112" s="23">
        <v>4.21</v>
      </c>
      <c r="R112" s="23">
        <v>3.4955038296759602</v>
      </c>
      <c r="S112" s="45">
        <f t="shared" si="18"/>
        <v>0.71449617032403978</v>
      </c>
      <c r="U112" s="23">
        <v>4549</v>
      </c>
      <c r="V112" s="23">
        <v>1.7</v>
      </c>
      <c r="W112" s="23">
        <v>1.6838566014907701</v>
      </c>
      <c r="X112" s="45">
        <f t="shared" si="19"/>
        <v>1.6143398509229856E-2</v>
      </c>
    </row>
    <row r="113" spans="1:24" x14ac:dyDescent="0.35">
      <c r="A113" s="23">
        <v>1232</v>
      </c>
      <c r="B113" s="23">
        <v>13.5</v>
      </c>
      <c r="C113" s="23">
        <v>12.7684930869368</v>
      </c>
      <c r="D113" s="45">
        <f t="shared" si="15"/>
        <v>0.7315069130631997</v>
      </c>
      <c r="F113" s="23">
        <v>5</v>
      </c>
      <c r="G113" s="23">
        <v>2.9</v>
      </c>
      <c r="H113" s="23">
        <v>2.9164256373187398</v>
      </c>
      <c r="I113" s="45">
        <f t="shared" si="16"/>
        <v>-1.6425637318739916E-2</v>
      </c>
      <c r="K113">
        <v>4549</v>
      </c>
      <c r="L113">
        <v>1.66</v>
      </c>
      <c r="M113">
        <v>1.6294333121834199</v>
      </c>
      <c r="N113" s="45">
        <f t="shared" si="17"/>
        <v>3.0566687816580007E-2</v>
      </c>
      <c r="P113" s="23">
        <v>5834</v>
      </c>
      <c r="Q113" s="23">
        <v>4.5599999999999996</v>
      </c>
      <c r="R113" s="23">
        <v>4.4061130338997403</v>
      </c>
      <c r="S113" s="45">
        <f t="shared" si="18"/>
        <v>0.15388696610025931</v>
      </c>
      <c r="U113" s="23">
        <v>4550</v>
      </c>
      <c r="V113" s="23">
        <v>2.15</v>
      </c>
      <c r="W113" s="23">
        <v>2.0969299908080798</v>
      </c>
      <c r="X113" s="45">
        <f t="shared" si="19"/>
        <v>5.3070009191920064E-2</v>
      </c>
    </row>
    <row r="114" spans="1:24" x14ac:dyDescent="0.35">
      <c r="A114" s="23">
        <v>1339</v>
      </c>
      <c r="B114" s="23">
        <v>6.4</v>
      </c>
      <c r="C114" s="23">
        <v>6.8793738908043496</v>
      </c>
      <c r="D114" s="45">
        <f t="shared" si="15"/>
        <v>-0.47937389080434922</v>
      </c>
      <c r="F114" s="23">
        <v>10</v>
      </c>
      <c r="G114" s="23">
        <v>1.67</v>
      </c>
      <c r="H114" s="23">
        <v>1.69281373508513</v>
      </c>
      <c r="I114" s="45">
        <f t="shared" si="16"/>
        <v>-2.2813735085130071E-2</v>
      </c>
      <c r="K114">
        <v>4550</v>
      </c>
      <c r="L114">
        <v>2.02</v>
      </c>
      <c r="M114">
        <v>1.822566861524</v>
      </c>
      <c r="N114" s="45">
        <f t="shared" si="17"/>
        <v>0.19743313847599997</v>
      </c>
      <c r="P114" s="23">
        <v>5837</v>
      </c>
      <c r="Q114" s="23">
        <v>4.3899999999999997</v>
      </c>
      <c r="R114" s="23">
        <v>4.1714882400373501</v>
      </c>
      <c r="S114" s="45">
        <f t="shared" si="18"/>
        <v>0.2185117599626496</v>
      </c>
      <c r="U114" s="23">
        <v>4551</v>
      </c>
      <c r="V114" s="23">
        <v>2.0499999999999998</v>
      </c>
      <c r="W114" s="23">
        <v>1.8412839140828301</v>
      </c>
      <c r="X114" s="45">
        <f t="shared" si="19"/>
        <v>0.20871608591716972</v>
      </c>
    </row>
    <row r="115" spans="1:24" x14ac:dyDescent="0.35">
      <c r="A115" s="23">
        <v>1356</v>
      </c>
      <c r="B115" s="23">
        <v>8.1</v>
      </c>
      <c r="C115" s="23">
        <v>8.6244871054327792</v>
      </c>
      <c r="D115" s="45">
        <f t="shared" si="15"/>
        <v>-0.52448710543277954</v>
      </c>
      <c r="F115" s="23">
        <v>13</v>
      </c>
      <c r="G115" s="23">
        <v>3.86</v>
      </c>
      <c r="H115" s="23">
        <v>3.2355287323151298</v>
      </c>
      <c r="I115" s="45">
        <f t="shared" si="16"/>
        <v>0.62447126768487005</v>
      </c>
      <c r="K115">
        <v>4552</v>
      </c>
      <c r="L115">
        <v>1.47</v>
      </c>
      <c r="M115">
        <v>1.5389627386196301</v>
      </c>
      <c r="N115" s="45">
        <f t="shared" si="17"/>
        <v>-6.8962738619630093E-2</v>
      </c>
      <c r="P115" s="23">
        <v>5840</v>
      </c>
      <c r="Q115" s="23">
        <v>4.16</v>
      </c>
      <c r="R115" s="23">
        <v>3.8821307678394601</v>
      </c>
      <c r="S115" s="45">
        <f t="shared" si="18"/>
        <v>0.27786923216054005</v>
      </c>
      <c r="U115" s="23">
        <v>4552</v>
      </c>
      <c r="V115" s="23">
        <v>1.87</v>
      </c>
      <c r="W115" s="23">
        <v>1.8314842603932</v>
      </c>
      <c r="X115" s="45">
        <f t="shared" si="19"/>
        <v>3.8515739606800103E-2</v>
      </c>
    </row>
    <row r="116" spans="1:24" x14ac:dyDescent="0.35">
      <c r="A116" s="23">
        <v>1363</v>
      </c>
      <c r="B116" s="23">
        <v>11.5</v>
      </c>
      <c r="C116" s="23">
        <v>11.0497139818549</v>
      </c>
      <c r="D116" s="45">
        <f t="shared" si="15"/>
        <v>0.45028601814509983</v>
      </c>
      <c r="F116" s="23">
        <v>4547</v>
      </c>
      <c r="G116" s="23">
        <v>4.66</v>
      </c>
      <c r="H116" s="23">
        <v>3.9256655345371398</v>
      </c>
      <c r="I116" s="45">
        <f t="shared" si="16"/>
        <v>0.7343344654628603</v>
      </c>
      <c r="K116">
        <v>4553</v>
      </c>
      <c r="L116">
        <v>1.31</v>
      </c>
      <c r="M116">
        <v>1.1866416341374599</v>
      </c>
      <c r="N116" s="45">
        <f t="shared" si="17"/>
        <v>0.12335836586254012</v>
      </c>
      <c r="P116" s="23">
        <v>5841</v>
      </c>
      <c r="Q116" s="23">
        <v>1.97</v>
      </c>
      <c r="R116" s="23">
        <v>1.9561540480544899</v>
      </c>
      <c r="S116" s="45">
        <f t="shared" si="18"/>
        <v>1.3845951945510082E-2</v>
      </c>
      <c r="U116" s="23">
        <v>4553</v>
      </c>
      <c r="V116" s="23">
        <v>1.7</v>
      </c>
      <c r="W116" s="23">
        <v>1.47497365083859</v>
      </c>
      <c r="X116" s="45">
        <f t="shared" si="19"/>
        <v>0.22502634916140996</v>
      </c>
    </row>
    <row r="117" spans="1:24" x14ac:dyDescent="0.35">
      <c r="A117" s="23">
        <v>9</v>
      </c>
      <c r="B117" s="23">
        <v>9.1</v>
      </c>
      <c r="C117" s="23">
        <v>8.6349003633863095</v>
      </c>
      <c r="D117" s="45">
        <f t="shared" si="15"/>
        <v>0.46509963661369014</v>
      </c>
      <c r="F117" s="23">
        <v>4549</v>
      </c>
      <c r="G117" s="23">
        <v>3.54</v>
      </c>
      <c r="H117" s="23">
        <v>3.5346291571831898</v>
      </c>
      <c r="I117" s="45">
        <f t="shared" si="16"/>
        <v>5.3708428168102174E-3</v>
      </c>
      <c r="K117">
        <v>4554</v>
      </c>
      <c r="L117">
        <v>0.57999999999999996</v>
      </c>
      <c r="M117">
        <v>0.55012890556664895</v>
      </c>
      <c r="N117" s="45">
        <f t="shared" si="17"/>
        <v>2.9871094433351009E-2</v>
      </c>
      <c r="P117" s="23">
        <v>5842</v>
      </c>
      <c r="Q117" s="23">
        <v>4.57</v>
      </c>
      <c r="R117" s="23">
        <v>4.8666857532157799</v>
      </c>
      <c r="S117" s="45">
        <f t="shared" si="18"/>
        <v>-0.29668575321577961</v>
      </c>
      <c r="U117" s="23">
        <v>4554</v>
      </c>
      <c r="V117" s="23">
        <v>0.71</v>
      </c>
      <c r="W117" s="23">
        <v>0.94234815295084995</v>
      </c>
      <c r="X117" s="45">
        <f t="shared" si="19"/>
        <v>-0.23234815295084998</v>
      </c>
    </row>
    <row r="118" spans="1:24" x14ac:dyDescent="0.35">
      <c r="A118" s="23">
        <v>11</v>
      </c>
      <c r="B118" s="23">
        <v>8.9</v>
      </c>
      <c r="C118" s="23">
        <v>8.1791333551804399</v>
      </c>
      <c r="D118" s="45">
        <f t="shared" si="15"/>
        <v>0.72086664481956042</v>
      </c>
      <c r="F118" s="23">
        <v>4550</v>
      </c>
      <c r="G118" s="23">
        <v>3.72</v>
      </c>
      <c r="H118" s="23">
        <v>3.7975058031519602</v>
      </c>
      <c r="I118" s="45">
        <f t="shared" si="16"/>
        <v>-7.7505803151959984E-2</v>
      </c>
      <c r="K118">
        <v>4555</v>
      </c>
      <c r="L118">
        <v>1.1499999999999999</v>
      </c>
      <c r="M118">
        <v>0.96498231304490101</v>
      </c>
      <c r="N118" s="45">
        <f t="shared" si="17"/>
        <v>0.1850176869550989</v>
      </c>
      <c r="P118" s="23">
        <v>5843</v>
      </c>
      <c r="Q118" s="23">
        <v>4.25</v>
      </c>
      <c r="R118" s="23">
        <v>4.2393375267070503</v>
      </c>
      <c r="S118" s="45">
        <f t="shared" si="18"/>
        <v>1.066247329294967E-2</v>
      </c>
      <c r="U118" s="23">
        <v>4555</v>
      </c>
      <c r="V118" s="23">
        <v>1.65</v>
      </c>
      <c r="W118" s="23">
        <v>1.51794729615507</v>
      </c>
      <c r="X118" s="45">
        <f t="shared" si="19"/>
        <v>0.13205270384492995</v>
      </c>
    </row>
    <row r="119" spans="1:24" x14ac:dyDescent="0.35">
      <c r="A119" s="23">
        <v>13</v>
      </c>
      <c r="B119" s="23">
        <v>8.9</v>
      </c>
      <c r="C119" s="23">
        <v>8.3898131755747904</v>
      </c>
      <c r="D119" s="45">
        <f t="shared" si="15"/>
        <v>0.51018682442520991</v>
      </c>
      <c r="F119" s="23">
        <v>4551</v>
      </c>
      <c r="G119" s="23">
        <v>2.65</v>
      </c>
      <c r="H119" s="23">
        <v>3.3235593144493398</v>
      </c>
      <c r="I119" s="45">
        <f t="shared" si="16"/>
        <v>-0.67355931444933992</v>
      </c>
      <c r="K119">
        <v>4566</v>
      </c>
      <c r="L119">
        <v>1.62</v>
      </c>
      <c r="M119">
        <v>1.7534289827527101</v>
      </c>
      <c r="N119" s="45">
        <f t="shared" si="17"/>
        <v>-0.13342898275270998</v>
      </c>
      <c r="P119" s="23">
        <v>5844</v>
      </c>
      <c r="Q119" s="23">
        <v>4.1100000000000003</v>
      </c>
      <c r="R119" s="23">
        <v>3.84725915739689</v>
      </c>
      <c r="S119" s="45">
        <f t="shared" si="18"/>
        <v>0.26274084260311037</v>
      </c>
      <c r="U119" s="23">
        <v>4566</v>
      </c>
      <c r="V119" s="23">
        <v>2.23</v>
      </c>
      <c r="W119" s="23">
        <v>2.1159033846501001</v>
      </c>
      <c r="X119" s="45">
        <f t="shared" si="19"/>
        <v>0.1140966153498999</v>
      </c>
    </row>
    <row r="120" spans="1:24" x14ac:dyDescent="0.35">
      <c r="A120" s="23">
        <v>4547</v>
      </c>
      <c r="B120" s="23">
        <v>9.1</v>
      </c>
      <c r="C120" s="23">
        <v>8.5545791414087091</v>
      </c>
      <c r="D120" s="45">
        <f t="shared" si="15"/>
        <v>0.54542085859129052</v>
      </c>
      <c r="F120" s="23">
        <v>4552</v>
      </c>
      <c r="G120" s="23">
        <v>3.31</v>
      </c>
      <c r="H120" s="23">
        <v>3.3041974859871601</v>
      </c>
      <c r="I120" s="45">
        <f t="shared" si="16"/>
        <v>5.8025140128399322E-3</v>
      </c>
      <c r="K120">
        <v>4569</v>
      </c>
      <c r="L120">
        <v>0.22</v>
      </c>
      <c r="M120">
        <v>0.42680204554072099</v>
      </c>
      <c r="N120" s="45">
        <f t="shared" si="17"/>
        <v>-0.20680204554072099</v>
      </c>
      <c r="P120" s="23">
        <v>6390</v>
      </c>
      <c r="Q120" s="23">
        <v>1.07</v>
      </c>
      <c r="R120" s="23">
        <v>1.59640382968229</v>
      </c>
      <c r="S120" s="45">
        <f t="shared" si="18"/>
        <v>-0.52640382968228994</v>
      </c>
      <c r="U120" s="23">
        <v>4569</v>
      </c>
      <c r="V120" s="23">
        <v>2.2400000000000002</v>
      </c>
      <c r="W120" s="23">
        <v>1.66730723398322</v>
      </c>
      <c r="X120" s="45">
        <f t="shared" si="19"/>
        <v>0.57269276601678021</v>
      </c>
    </row>
    <row r="121" spans="1:24" x14ac:dyDescent="0.35">
      <c r="A121" s="23">
        <v>4550</v>
      </c>
      <c r="B121" s="23">
        <v>6.6</v>
      </c>
      <c r="C121" s="23">
        <v>7.1124785321050297</v>
      </c>
      <c r="D121" s="45">
        <f t="shared" si="15"/>
        <v>-0.51247853210503003</v>
      </c>
      <c r="F121" s="23">
        <v>4553</v>
      </c>
      <c r="G121" s="23">
        <v>3.39</v>
      </c>
      <c r="H121" s="23">
        <v>2.7643971454190299</v>
      </c>
      <c r="I121" s="45">
        <f t="shared" si="16"/>
        <v>0.6256028545809702</v>
      </c>
      <c r="K121">
        <v>5143</v>
      </c>
      <c r="L121">
        <v>1.91</v>
      </c>
      <c r="M121">
        <v>1.68246712606662</v>
      </c>
      <c r="N121" s="45">
        <f t="shared" si="17"/>
        <v>0.22753287393337995</v>
      </c>
      <c r="P121" s="23">
        <v>6447</v>
      </c>
      <c r="Q121" s="23">
        <v>2.41</v>
      </c>
      <c r="R121" s="23">
        <v>2.4199606220602798</v>
      </c>
      <c r="S121" s="45">
        <f t="shared" si="18"/>
        <v>-9.9606220602797002E-3</v>
      </c>
      <c r="U121" s="23">
        <v>5143</v>
      </c>
      <c r="V121" s="23">
        <v>1.91</v>
      </c>
      <c r="W121" s="23">
        <v>2.0963148823527198</v>
      </c>
      <c r="X121" s="45">
        <f t="shared" si="19"/>
        <v>-0.18631488235271987</v>
      </c>
    </row>
    <row r="122" spans="1:24" x14ac:dyDescent="0.35">
      <c r="A122" s="23">
        <v>4552</v>
      </c>
      <c r="B122" s="23">
        <v>6.7</v>
      </c>
      <c r="C122" s="23">
        <v>5.9078722122282503</v>
      </c>
      <c r="D122" s="45">
        <f t="shared" si="15"/>
        <v>0.79212778777174986</v>
      </c>
      <c r="F122" s="23">
        <v>4554</v>
      </c>
      <c r="G122" s="23">
        <v>1.1100000000000001</v>
      </c>
      <c r="H122" s="23">
        <v>1.2661598531868601</v>
      </c>
      <c r="I122" s="45">
        <f t="shared" si="16"/>
        <v>-0.15615985318685999</v>
      </c>
      <c r="K122">
        <v>5145</v>
      </c>
      <c r="L122">
        <v>1.98</v>
      </c>
      <c r="M122">
        <v>1.9188972283826999</v>
      </c>
      <c r="N122" s="45">
        <f t="shared" si="17"/>
        <v>6.1102771617300045E-2</v>
      </c>
      <c r="P122" s="23">
        <v>6570</v>
      </c>
      <c r="Q122" s="23">
        <v>4.0599999999999996</v>
      </c>
      <c r="R122" s="23">
        <v>3.7312172629303002</v>
      </c>
      <c r="S122" s="45">
        <f t="shared" si="18"/>
        <v>0.3287827370696994</v>
      </c>
      <c r="U122" s="23">
        <v>5145</v>
      </c>
      <c r="V122" s="23">
        <v>1.83</v>
      </c>
      <c r="W122" s="23">
        <v>1.8778243791523599</v>
      </c>
      <c r="X122" s="45">
        <f t="shared" si="19"/>
        <v>-4.7824379152359819E-2</v>
      </c>
    </row>
    <row r="123" spans="1:24" x14ac:dyDescent="0.35">
      <c r="A123" s="23">
        <v>4553</v>
      </c>
      <c r="B123" s="23">
        <v>4.5999999999999996</v>
      </c>
      <c r="C123" s="23">
        <v>3.9346973618301901</v>
      </c>
      <c r="D123" s="45">
        <f t="shared" si="15"/>
        <v>0.6653026381698095</v>
      </c>
      <c r="F123" s="23">
        <v>4555</v>
      </c>
      <c r="G123" s="23">
        <v>2.72</v>
      </c>
      <c r="H123" s="23">
        <v>2.7849441737486802</v>
      </c>
      <c r="I123" s="45">
        <f t="shared" si="16"/>
        <v>-6.4944173748680001E-2</v>
      </c>
      <c r="K123">
        <v>5307</v>
      </c>
      <c r="L123">
        <v>1.04</v>
      </c>
      <c r="M123">
        <v>0.68044964758846005</v>
      </c>
      <c r="N123" s="45">
        <f t="shared" si="17"/>
        <v>0.35955035241153999</v>
      </c>
      <c r="P123" s="23">
        <v>8769</v>
      </c>
      <c r="Q123" s="23">
        <v>2.3199999999999998</v>
      </c>
      <c r="R123" s="23">
        <v>1.90357022016946</v>
      </c>
      <c r="S123" s="45">
        <f t="shared" si="18"/>
        <v>0.41642977983053986</v>
      </c>
      <c r="U123" s="23">
        <v>5307</v>
      </c>
      <c r="V123" s="23">
        <v>0.38</v>
      </c>
      <c r="W123" s="23">
        <v>0.77392121214864396</v>
      </c>
      <c r="X123" s="45">
        <f t="shared" si="19"/>
        <v>-0.39392121214864395</v>
      </c>
    </row>
    <row r="124" spans="1:24" x14ac:dyDescent="0.35">
      <c r="A124" s="23">
        <v>4554</v>
      </c>
      <c r="B124" s="23">
        <v>1.8</v>
      </c>
      <c r="C124" s="23">
        <v>1.5021685402212801</v>
      </c>
      <c r="D124" s="45">
        <f t="shared" si="15"/>
        <v>0.29783145977871994</v>
      </c>
      <c r="F124" s="23">
        <v>4566</v>
      </c>
      <c r="G124" s="23">
        <v>3.59</v>
      </c>
      <c r="H124" s="23">
        <v>3.6637866710935199</v>
      </c>
      <c r="I124" s="45">
        <f t="shared" si="16"/>
        <v>-7.3786671093519995E-2</v>
      </c>
      <c r="K124">
        <v>5310</v>
      </c>
      <c r="L124">
        <v>1.44</v>
      </c>
      <c r="M124">
        <v>1.3397405379123</v>
      </c>
      <c r="N124" s="45">
        <f t="shared" si="17"/>
        <v>0.10025946208769998</v>
      </c>
      <c r="P124" s="23">
        <v>8770</v>
      </c>
      <c r="Q124" s="23">
        <v>3.47</v>
      </c>
      <c r="R124" s="23">
        <v>3.5719542103669499</v>
      </c>
      <c r="S124" s="45">
        <f t="shared" si="18"/>
        <v>-0.10195421036694974</v>
      </c>
      <c r="U124" s="23">
        <v>5310</v>
      </c>
      <c r="V124" s="23">
        <v>1.28</v>
      </c>
      <c r="W124" s="23">
        <v>1.38042871847578</v>
      </c>
      <c r="X124" s="45">
        <f t="shared" si="19"/>
        <v>-0.10042871847577994</v>
      </c>
    </row>
    <row r="125" spans="1:24" x14ac:dyDescent="0.35">
      <c r="A125" s="23">
        <v>4555</v>
      </c>
      <c r="B125" s="23">
        <v>3.8</v>
      </c>
      <c r="C125" s="23">
        <v>2.8456970858779602</v>
      </c>
      <c r="D125" s="45">
        <f t="shared" si="15"/>
        <v>0.9543029141220396</v>
      </c>
      <c r="F125" s="23">
        <v>4569</v>
      </c>
      <c r="G125" s="23">
        <v>2.65</v>
      </c>
      <c r="H125" s="23">
        <v>2.3513953672934398</v>
      </c>
      <c r="I125" s="45">
        <f t="shared" si="16"/>
        <v>0.29860463270656012</v>
      </c>
      <c r="K125">
        <v>5313</v>
      </c>
      <c r="L125">
        <v>1.44</v>
      </c>
      <c r="M125">
        <v>1.4333026858261699</v>
      </c>
      <c r="N125" s="45">
        <f t="shared" si="17"/>
        <v>6.6973141738300157E-3</v>
      </c>
      <c r="P125" s="23">
        <v>8773</v>
      </c>
      <c r="Q125" s="23">
        <v>3.22</v>
      </c>
      <c r="R125" s="23">
        <v>3.2273760325417999</v>
      </c>
      <c r="S125" s="45">
        <f t="shared" si="18"/>
        <v>-7.3760325417997485E-3</v>
      </c>
      <c r="U125" s="23">
        <v>5313</v>
      </c>
      <c r="V125" s="23">
        <v>1.57</v>
      </c>
      <c r="W125" s="23">
        <v>1.50781485006939</v>
      </c>
      <c r="X125" s="45">
        <f t="shared" si="19"/>
        <v>6.2185149930610084E-2</v>
      </c>
    </row>
    <row r="126" spans="1:24" x14ac:dyDescent="0.35">
      <c r="A126" s="23">
        <v>4566</v>
      </c>
      <c r="B126" s="23">
        <v>8.4</v>
      </c>
      <c r="C126" s="23">
        <v>8.2347294999157299</v>
      </c>
      <c r="D126" s="45">
        <f t="shared" si="15"/>
        <v>0.16527050008427047</v>
      </c>
      <c r="F126" s="23">
        <v>5143</v>
      </c>
      <c r="G126" s="23">
        <v>3.31</v>
      </c>
      <c r="H126" s="23">
        <v>3.5184229443411899</v>
      </c>
      <c r="I126" s="45">
        <f t="shared" si="16"/>
        <v>-0.2084229443411898</v>
      </c>
      <c r="K126">
        <v>5315</v>
      </c>
      <c r="L126">
        <v>2.0099999999999998</v>
      </c>
      <c r="M126">
        <v>1.7214092181421701</v>
      </c>
      <c r="N126" s="45">
        <f t="shared" si="17"/>
        <v>0.28859078185782971</v>
      </c>
      <c r="S126" s="45"/>
      <c r="U126" s="23">
        <v>5315</v>
      </c>
      <c r="V126" s="23">
        <v>2.4300000000000002</v>
      </c>
      <c r="W126" s="23">
        <v>1.7036083345820701</v>
      </c>
      <c r="X126" s="45">
        <f t="shared" si="19"/>
        <v>0.7263916654179301</v>
      </c>
    </row>
    <row r="127" spans="1:24" x14ac:dyDescent="0.35">
      <c r="A127" s="23">
        <v>4569</v>
      </c>
      <c r="B127" s="23">
        <v>1.9</v>
      </c>
      <c r="C127" s="23">
        <v>2.1259072577301401</v>
      </c>
      <c r="D127" s="45">
        <f t="shared" si="15"/>
        <v>-0.2259072577301402</v>
      </c>
      <c r="F127" s="23">
        <v>5145</v>
      </c>
      <c r="G127" s="23">
        <v>4.3899999999999997</v>
      </c>
      <c r="H127" s="23">
        <v>4.0743275835416197</v>
      </c>
      <c r="I127" s="45">
        <f t="shared" si="16"/>
        <v>0.31567241645837996</v>
      </c>
      <c r="K127">
        <v>5330</v>
      </c>
      <c r="L127">
        <v>2.16</v>
      </c>
      <c r="M127">
        <v>2.0043024362899802</v>
      </c>
      <c r="N127" s="45">
        <f t="shared" si="17"/>
        <v>0.15569756371001997</v>
      </c>
      <c r="S127" s="45"/>
      <c r="U127" s="23">
        <v>5330</v>
      </c>
      <c r="V127" s="23">
        <v>2.14</v>
      </c>
      <c r="W127" s="23">
        <v>2.2427474532896201</v>
      </c>
      <c r="X127" s="45">
        <f t="shared" si="19"/>
        <v>-0.10274745328961998</v>
      </c>
    </row>
    <row r="128" spans="1:24" x14ac:dyDescent="0.35">
      <c r="A128" s="23">
        <v>5143</v>
      </c>
      <c r="B128" s="23">
        <v>6</v>
      </c>
      <c r="C128" s="23">
        <v>5.5088589776863497</v>
      </c>
      <c r="D128" s="45">
        <f t="shared" si="15"/>
        <v>0.49114102231365031</v>
      </c>
      <c r="F128" s="23">
        <v>5307</v>
      </c>
      <c r="G128" s="23">
        <v>1.66</v>
      </c>
      <c r="H128" s="23">
        <v>1.6273527195178401</v>
      </c>
      <c r="I128" s="45">
        <f t="shared" si="16"/>
        <v>3.2647280482159813E-2</v>
      </c>
      <c r="K128">
        <v>5331</v>
      </c>
      <c r="L128">
        <v>1.88</v>
      </c>
      <c r="M128">
        <v>1.8591428426773899</v>
      </c>
      <c r="N128" s="45">
        <f t="shared" si="17"/>
        <v>2.0857157322609954E-2</v>
      </c>
      <c r="S128" s="45"/>
      <c r="U128" s="23">
        <v>5331</v>
      </c>
      <c r="V128" s="23">
        <v>2.0099999999999998</v>
      </c>
      <c r="W128" s="23">
        <v>1.97713582943091</v>
      </c>
      <c r="X128" s="45">
        <f t="shared" si="19"/>
        <v>3.2864170569089746E-2</v>
      </c>
    </row>
    <row r="129" spans="1:24" x14ac:dyDescent="0.35">
      <c r="A129" s="23">
        <v>5145</v>
      </c>
      <c r="B129" s="23">
        <v>11</v>
      </c>
      <c r="C129" s="23">
        <v>12.1113042459942</v>
      </c>
      <c r="D129" s="45">
        <f t="shared" si="15"/>
        <v>-1.1113042459941997</v>
      </c>
      <c r="F129" s="23">
        <v>5310</v>
      </c>
      <c r="G129" s="23">
        <v>3.24</v>
      </c>
      <c r="H129" s="23">
        <v>3.2918733401678</v>
      </c>
      <c r="I129" s="45">
        <f t="shared" si="16"/>
        <v>-5.1873340167799764E-2</v>
      </c>
      <c r="K129">
        <v>5334</v>
      </c>
      <c r="L129">
        <v>1.6</v>
      </c>
      <c r="M129">
        <v>1.78569034527522</v>
      </c>
      <c r="N129" s="45">
        <f t="shared" si="17"/>
        <v>-0.18569034527521988</v>
      </c>
      <c r="S129" s="45"/>
      <c r="U129" s="23">
        <v>5334</v>
      </c>
      <c r="V129" s="23">
        <v>1.56</v>
      </c>
      <c r="W129" s="23">
        <v>2.0131928549202098</v>
      </c>
      <c r="X129" s="45">
        <f t="shared" si="19"/>
        <v>-0.45319285492020978</v>
      </c>
    </row>
    <row r="130" spans="1:24" x14ac:dyDescent="0.35">
      <c r="A130" s="23">
        <v>5307</v>
      </c>
      <c r="B130" s="23">
        <v>5.9</v>
      </c>
      <c r="C130" s="23">
        <v>4.8718043041358401</v>
      </c>
      <c r="D130" s="45">
        <f t="shared" si="15"/>
        <v>1.0281956958641603</v>
      </c>
      <c r="F130" s="23">
        <v>5313</v>
      </c>
      <c r="G130" s="23">
        <v>3.28</v>
      </c>
      <c r="H130" s="23">
        <v>3.31216644556388</v>
      </c>
      <c r="I130" s="45">
        <f t="shared" si="16"/>
        <v>-3.2166445563880153E-2</v>
      </c>
      <c r="K130">
        <v>5335</v>
      </c>
      <c r="L130">
        <v>2.11</v>
      </c>
      <c r="M130">
        <v>1.7116773188313701</v>
      </c>
      <c r="N130" s="45">
        <f t="shared" si="17"/>
        <v>0.39832268116862979</v>
      </c>
      <c r="S130" s="45"/>
      <c r="U130" s="23">
        <v>5338</v>
      </c>
      <c r="V130" s="23">
        <v>2.645</v>
      </c>
      <c r="W130" s="23">
        <v>2.2478332632505298</v>
      </c>
      <c r="X130" s="45">
        <f t="shared" si="19"/>
        <v>0.39716673674947023</v>
      </c>
    </row>
    <row r="131" spans="1:24" x14ac:dyDescent="0.35">
      <c r="A131" s="23">
        <v>5310</v>
      </c>
      <c r="B131" s="23">
        <v>9</v>
      </c>
      <c r="C131" s="23">
        <v>7.8658301140291798</v>
      </c>
      <c r="D131" s="45">
        <f t="shared" si="15"/>
        <v>1.1341698859708202</v>
      </c>
      <c r="F131" s="23">
        <v>5315</v>
      </c>
      <c r="G131" s="23">
        <v>3.94</v>
      </c>
      <c r="H131" s="23">
        <v>3.7861305198652202</v>
      </c>
      <c r="I131" s="45">
        <f t="shared" si="16"/>
        <v>0.15386948013477975</v>
      </c>
      <c r="K131">
        <v>5338</v>
      </c>
      <c r="L131">
        <v>2.21</v>
      </c>
      <c r="M131">
        <v>2.0095161507256698</v>
      </c>
      <c r="N131" s="45">
        <f t="shared" si="17"/>
        <v>0.20048384927433016</v>
      </c>
      <c r="S131" s="45"/>
      <c r="U131" s="23">
        <v>5343</v>
      </c>
      <c r="V131" s="23">
        <v>0.83</v>
      </c>
      <c r="W131" s="23">
        <v>0.820270728960803</v>
      </c>
      <c r="X131" s="45">
        <f t="shared" si="19"/>
        <v>9.7292710391969628E-3</v>
      </c>
    </row>
    <row r="132" spans="1:24" x14ac:dyDescent="0.35">
      <c r="A132" s="23">
        <v>5313</v>
      </c>
      <c r="B132" s="23">
        <v>5</v>
      </c>
      <c r="C132" s="23">
        <v>5.4756838000927601</v>
      </c>
      <c r="D132" s="45">
        <f t="shared" si="15"/>
        <v>-0.47568380009276012</v>
      </c>
      <c r="F132" s="23">
        <v>5330</v>
      </c>
      <c r="G132" s="23">
        <v>4.4800000000000004</v>
      </c>
      <c r="H132" s="23">
        <v>4.5558606718534902</v>
      </c>
      <c r="I132" s="45">
        <f t="shared" si="16"/>
        <v>-7.5860671853489769E-2</v>
      </c>
      <c r="K132">
        <v>5343</v>
      </c>
      <c r="L132">
        <v>0.41</v>
      </c>
      <c r="M132">
        <v>0.39672041238719802</v>
      </c>
      <c r="N132" s="45">
        <f t="shared" si="17"/>
        <v>1.3279587612801957E-2</v>
      </c>
      <c r="S132" s="45"/>
      <c r="U132" s="23">
        <v>5454</v>
      </c>
      <c r="V132" s="23">
        <v>1.9</v>
      </c>
      <c r="W132" s="23">
        <v>1.7439392008918799</v>
      </c>
      <c r="X132" s="45">
        <f t="shared" si="19"/>
        <v>0.15606079910811999</v>
      </c>
    </row>
    <row r="133" spans="1:24" x14ac:dyDescent="0.35">
      <c r="A133" s="23">
        <v>5315</v>
      </c>
      <c r="B133" s="23">
        <v>7</v>
      </c>
      <c r="C133" s="23">
        <v>7.9065641282529597</v>
      </c>
      <c r="D133" s="45">
        <f t="shared" si="15"/>
        <v>-0.90656412825295973</v>
      </c>
      <c r="F133" s="23">
        <v>5331</v>
      </c>
      <c r="G133" s="23">
        <v>3.69</v>
      </c>
      <c r="H133" s="23">
        <v>3.7733829874977198</v>
      </c>
      <c r="I133" s="45">
        <f t="shared" si="16"/>
        <v>-8.3382987497719885E-2</v>
      </c>
      <c r="K133">
        <v>5454</v>
      </c>
      <c r="L133">
        <v>1.2</v>
      </c>
      <c r="M133">
        <v>1.1767785884436399</v>
      </c>
      <c r="N133" s="45">
        <f t="shared" si="17"/>
        <v>2.3221411556360039E-2</v>
      </c>
      <c r="S133" s="45"/>
      <c r="U133" s="23">
        <v>5455</v>
      </c>
      <c r="V133" s="23">
        <v>1.3</v>
      </c>
      <c r="W133" s="23">
        <v>1.56463434291121</v>
      </c>
      <c r="X133" s="45">
        <f t="shared" si="19"/>
        <v>-0.26463434291120991</v>
      </c>
    </row>
    <row r="134" spans="1:24" x14ac:dyDescent="0.35">
      <c r="A134" s="23">
        <v>5330</v>
      </c>
      <c r="B134" s="23">
        <v>8.1999999999999993</v>
      </c>
      <c r="C134" s="23">
        <v>8.9760017180712808</v>
      </c>
      <c r="D134" s="45">
        <f t="shared" si="15"/>
        <v>-0.77600171807128149</v>
      </c>
      <c r="F134" s="23">
        <v>5334</v>
      </c>
      <c r="G134" s="23">
        <v>3.34</v>
      </c>
      <c r="H134" s="23">
        <v>3.8739236289761898</v>
      </c>
      <c r="I134" s="45">
        <f t="shared" si="16"/>
        <v>-0.53392362897618995</v>
      </c>
      <c r="K134">
        <v>5455</v>
      </c>
      <c r="L134">
        <v>0.91</v>
      </c>
      <c r="M134">
        <v>1.19310341113061</v>
      </c>
      <c r="N134" s="45">
        <f t="shared" si="17"/>
        <v>-0.28310341113060999</v>
      </c>
      <c r="S134" s="45"/>
      <c r="U134" s="23">
        <v>5486</v>
      </c>
      <c r="V134" s="23">
        <v>1.5</v>
      </c>
      <c r="W134" s="23">
        <v>1.4920438317545299</v>
      </c>
      <c r="X134" s="45">
        <f t="shared" si="19"/>
        <v>7.9561682454700744E-3</v>
      </c>
    </row>
    <row r="135" spans="1:24" x14ac:dyDescent="0.35">
      <c r="A135" s="23">
        <v>5331</v>
      </c>
      <c r="B135" s="23">
        <v>8.4</v>
      </c>
      <c r="C135" s="23">
        <v>8.7311200342988293</v>
      </c>
      <c r="D135" s="45">
        <f t="shared" si="15"/>
        <v>-0.33112003429882897</v>
      </c>
      <c r="F135" s="23">
        <v>5338</v>
      </c>
      <c r="G135" s="23">
        <v>5.29</v>
      </c>
      <c r="H135" s="23">
        <v>4.6723253836607599</v>
      </c>
      <c r="I135" s="45">
        <f t="shared" si="16"/>
        <v>0.61767461633924015</v>
      </c>
      <c r="K135">
        <v>5486</v>
      </c>
      <c r="L135">
        <v>0.52</v>
      </c>
      <c r="M135">
        <v>0.70724627347149105</v>
      </c>
      <c r="N135" s="45">
        <f t="shared" si="17"/>
        <v>-0.18724627347149103</v>
      </c>
      <c r="S135" s="45"/>
      <c r="U135" s="23">
        <v>54541</v>
      </c>
      <c r="V135" s="23">
        <v>1.425</v>
      </c>
      <c r="W135" s="23">
        <v>1.2049327450560601</v>
      </c>
      <c r="X135" s="45">
        <f t="shared" si="19"/>
        <v>0.22006725494393997</v>
      </c>
    </row>
    <row r="136" spans="1:24" x14ac:dyDescent="0.35">
      <c r="A136" s="23">
        <v>5334</v>
      </c>
      <c r="B136" s="23">
        <v>7.2</v>
      </c>
      <c r="C136" s="23">
        <v>7.8062420448071101</v>
      </c>
      <c r="D136" s="45">
        <f t="shared" si="15"/>
        <v>-0.60624204480710997</v>
      </c>
      <c r="F136" s="23">
        <v>5343</v>
      </c>
      <c r="G136" s="23">
        <v>1.87</v>
      </c>
      <c r="H136" s="23">
        <v>1.72541446469344</v>
      </c>
      <c r="I136" s="45">
        <f t="shared" si="16"/>
        <v>0.14458553530656015</v>
      </c>
      <c r="K136">
        <v>54541</v>
      </c>
      <c r="L136">
        <v>0.9</v>
      </c>
      <c r="M136">
        <v>1.0313518187597499</v>
      </c>
      <c r="N136" s="45">
        <f t="shared" si="17"/>
        <v>-0.13135181875974988</v>
      </c>
      <c r="S136" s="45"/>
      <c r="U136" s="23">
        <v>54852</v>
      </c>
      <c r="V136" s="23">
        <v>0.65</v>
      </c>
      <c r="W136" s="23">
        <v>0.83571225241532598</v>
      </c>
      <c r="X136" s="45">
        <f t="shared" si="19"/>
        <v>-0.18571225241532596</v>
      </c>
    </row>
    <row r="137" spans="1:24" x14ac:dyDescent="0.35">
      <c r="A137" s="23">
        <v>5335</v>
      </c>
      <c r="B137" s="23">
        <v>5.0999999999999996</v>
      </c>
      <c r="C137" s="23">
        <v>5.0831395498318201</v>
      </c>
      <c r="D137" s="45">
        <f t="shared" si="15"/>
        <v>1.6860450168179497E-2</v>
      </c>
      <c r="F137" s="23">
        <v>5454</v>
      </c>
      <c r="G137" s="23">
        <v>3.33</v>
      </c>
      <c r="H137" s="23">
        <v>3.1567374082341799</v>
      </c>
      <c r="I137" s="45">
        <f t="shared" si="16"/>
        <v>0.17326259176582015</v>
      </c>
      <c r="K137">
        <v>54852</v>
      </c>
      <c r="L137">
        <v>0.55000000000000004</v>
      </c>
      <c r="M137">
        <v>0.54914215980867997</v>
      </c>
      <c r="N137" s="45">
        <f t="shared" si="17"/>
        <v>8.578401913200695E-4</v>
      </c>
      <c r="S137" s="45"/>
      <c r="U137" s="23">
        <v>54861</v>
      </c>
      <c r="V137" s="23">
        <v>1.125</v>
      </c>
      <c r="W137" s="23">
        <v>1.0731258455221899</v>
      </c>
      <c r="X137" s="45">
        <f t="shared" si="19"/>
        <v>5.1874154477810075E-2</v>
      </c>
    </row>
    <row r="138" spans="1:24" x14ac:dyDescent="0.35">
      <c r="A138" s="23">
        <v>5338</v>
      </c>
      <c r="B138" s="23">
        <v>9.9</v>
      </c>
      <c r="C138" s="23">
        <v>9.5712331051521495</v>
      </c>
      <c r="D138" s="45">
        <f t="shared" si="15"/>
        <v>0.32876689484785082</v>
      </c>
      <c r="F138" s="23">
        <v>5455</v>
      </c>
      <c r="G138" s="23">
        <v>2.2599999999999998</v>
      </c>
      <c r="H138" s="23">
        <v>2.58043767592069</v>
      </c>
      <c r="I138" s="45">
        <f t="shared" si="16"/>
        <v>-0.32043767592069017</v>
      </c>
      <c r="K138">
        <v>54861</v>
      </c>
      <c r="L138">
        <v>0.39</v>
      </c>
      <c r="M138">
        <v>0.40782898703128001</v>
      </c>
      <c r="N138" s="45">
        <f t="shared" si="17"/>
        <v>-1.7828987031279997E-2</v>
      </c>
      <c r="S138" s="45"/>
      <c r="U138" s="23">
        <v>54862</v>
      </c>
      <c r="V138" s="23">
        <v>0.75</v>
      </c>
      <c r="W138" s="23">
        <v>0.77837598426635501</v>
      </c>
      <c r="X138" s="45">
        <f t="shared" si="19"/>
        <v>-2.8375984266355014E-2</v>
      </c>
    </row>
    <row r="139" spans="1:24" x14ac:dyDescent="0.35">
      <c r="A139" s="23">
        <v>5340</v>
      </c>
      <c r="B139" s="23">
        <v>11</v>
      </c>
      <c r="C139" s="23">
        <v>11.848365986588201</v>
      </c>
      <c r="D139" s="45">
        <f t="shared" si="15"/>
        <v>-0.84836598658820073</v>
      </c>
      <c r="F139" s="23">
        <v>5486</v>
      </c>
      <c r="G139" s="23">
        <v>2.27</v>
      </c>
      <c r="H139" s="23">
        <v>2.295522762939</v>
      </c>
      <c r="I139" s="45">
        <f t="shared" si="16"/>
        <v>-2.5522762939000021E-2</v>
      </c>
      <c r="K139">
        <v>54862</v>
      </c>
      <c r="L139">
        <v>0.26</v>
      </c>
      <c r="M139">
        <v>0.27246153511329302</v>
      </c>
      <c r="N139" s="45">
        <f t="shared" si="17"/>
        <v>-1.246153511329301E-2</v>
      </c>
      <c r="S139" s="45"/>
      <c r="U139" s="23">
        <v>54902</v>
      </c>
      <c r="V139" s="23">
        <v>0.8</v>
      </c>
      <c r="W139" s="23">
        <v>0.77506222610118303</v>
      </c>
      <c r="X139" s="45">
        <f t="shared" si="19"/>
        <v>2.4937773898817017E-2</v>
      </c>
    </row>
    <row r="140" spans="1:24" x14ac:dyDescent="0.35">
      <c r="A140" s="23">
        <v>5343</v>
      </c>
      <c r="B140" s="23">
        <v>1.9</v>
      </c>
      <c r="C140" s="23">
        <v>2.7824500881699601</v>
      </c>
      <c r="D140" s="45">
        <f t="shared" si="15"/>
        <v>-0.88245008816996018</v>
      </c>
      <c r="F140" s="23">
        <v>54541</v>
      </c>
      <c r="G140" s="23">
        <v>2.4975000000000001</v>
      </c>
      <c r="H140" s="23">
        <v>2.4761146679625998</v>
      </c>
      <c r="I140" s="45">
        <f t="shared" si="16"/>
        <v>2.1385332037400229E-2</v>
      </c>
      <c r="K140">
        <v>54902</v>
      </c>
      <c r="L140">
        <v>0.44</v>
      </c>
      <c r="M140">
        <v>0.53632225286099799</v>
      </c>
      <c r="N140" s="45">
        <f t="shared" si="17"/>
        <v>-9.6322252860997992E-2</v>
      </c>
      <c r="S140" s="45"/>
      <c r="U140" s="23">
        <v>54551</v>
      </c>
      <c r="V140" s="23">
        <v>0.97499999999999998</v>
      </c>
      <c r="W140" s="23">
        <v>1.1393880070806299</v>
      </c>
      <c r="X140" s="45">
        <f t="shared" si="19"/>
        <v>-0.16438800708062995</v>
      </c>
    </row>
    <row r="141" spans="1:24" x14ac:dyDescent="0.35">
      <c r="A141" s="23">
        <v>5454</v>
      </c>
      <c r="B141" s="23">
        <v>5.2</v>
      </c>
      <c r="C141" s="23">
        <v>6.0435989741598997</v>
      </c>
      <c r="D141" s="45">
        <f t="shared" si="15"/>
        <v>-0.84359897415989948</v>
      </c>
      <c r="F141" s="23">
        <v>54852</v>
      </c>
      <c r="G141" s="23">
        <v>1.18</v>
      </c>
      <c r="H141" s="23">
        <v>1.3546901986873501</v>
      </c>
      <c r="I141" s="45">
        <f t="shared" si="16"/>
        <v>-0.17469019868735014</v>
      </c>
      <c r="K141">
        <v>54551</v>
      </c>
      <c r="L141">
        <v>0.6825</v>
      </c>
      <c r="M141">
        <v>0.90336224039305002</v>
      </c>
      <c r="N141" s="45">
        <f t="shared" si="17"/>
        <v>-0.22086224039305002</v>
      </c>
      <c r="S141" s="45"/>
      <c r="U141" s="23">
        <v>54851</v>
      </c>
      <c r="V141" s="23">
        <v>0.97499999999999998</v>
      </c>
      <c r="W141" s="23">
        <v>0.96406307438244698</v>
      </c>
      <c r="X141" s="45">
        <f t="shared" si="19"/>
        <v>1.0936925617552995E-2</v>
      </c>
    </row>
    <row r="142" spans="1:24" x14ac:dyDescent="0.35">
      <c r="A142" s="23">
        <v>5455</v>
      </c>
      <c r="B142" s="23">
        <v>4.7</v>
      </c>
      <c r="C142" s="23">
        <v>5.0504712333900601</v>
      </c>
      <c r="D142" s="45">
        <f t="shared" si="15"/>
        <v>-0.35047123339005992</v>
      </c>
      <c r="F142" s="23">
        <v>54861</v>
      </c>
      <c r="G142" s="23">
        <v>1.7024999999999999</v>
      </c>
      <c r="H142" s="23">
        <v>1.7729831644189999</v>
      </c>
      <c r="I142" s="45">
        <f t="shared" si="16"/>
        <v>-7.0483164419000044E-2</v>
      </c>
      <c r="K142">
        <v>54851</v>
      </c>
      <c r="L142">
        <v>0.82499999999999996</v>
      </c>
      <c r="M142">
        <v>0.93636683054140701</v>
      </c>
      <c r="N142" s="45">
        <f t="shared" si="17"/>
        <v>-0.11136683054140706</v>
      </c>
      <c r="S142" s="45"/>
      <c r="U142" s="23">
        <v>5491</v>
      </c>
      <c r="V142" s="23">
        <v>3.3</v>
      </c>
      <c r="W142" s="23">
        <v>2.9509978034039701</v>
      </c>
      <c r="X142" s="45">
        <f t="shared" si="19"/>
        <v>0.34900219659602971</v>
      </c>
    </row>
    <row r="143" spans="1:24" x14ac:dyDescent="0.35">
      <c r="A143" s="23">
        <v>5486</v>
      </c>
      <c r="B143" s="23">
        <v>3.1</v>
      </c>
      <c r="C143" s="23">
        <v>2.1942492522931301</v>
      </c>
      <c r="D143" s="45">
        <f t="shared" ref="D143:D174" si="20">(B143-C143)</f>
        <v>0.90575074770687003</v>
      </c>
      <c r="F143" s="23">
        <v>54862</v>
      </c>
      <c r="G143" s="23">
        <v>1.135</v>
      </c>
      <c r="H143" s="23">
        <v>1.1957377778718701</v>
      </c>
      <c r="I143" s="45">
        <f t="shared" ref="I143:I174" si="21">(G143-H143)</f>
        <v>-6.0737777871870069E-2</v>
      </c>
      <c r="K143">
        <v>5491</v>
      </c>
      <c r="L143">
        <v>2.1</v>
      </c>
      <c r="M143">
        <v>1.8353699053413099</v>
      </c>
      <c r="N143" s="45">
        <f t="shared" ref="N143:N174" si="22">(L143-M143)</f>
        <v>0.26463009465869014</v>
      </c>
      <c r="S143" s="45"/>
      <c r="U143" s="23">
        <v>5493</v>
      </c>
      <c r="V143" s="23">
        <v>3.3650000000000002</v>
      </c>
      <c r="W143" s="23">
        <v>3.2973287405762401</v>
      </c>
      <c r="X143" s="45">
        <f t="shared" ref="X143:X174" si="23">(V143-W143)</f>
        <v>6.7671259423760066E-2</v>
      </c>
    </row>
    <row r="144" spans="1:24" x14ac:dyDescent="0.35">
      <c r="A144" s="23">
        <v>54541</v>
      </c>
      <c r="B144" s="23">
        <v>3.9</v>
      </c>
      <c r="C144" s="23">
        <v>4.9264043072771004</v>
      </c>
      <c r="D144" s="45">
        <f t="shared" si="20"/>
        <v>-1.0264043072771005</v>
      </c>
      <c r="F144" s="23">
        <v>54902</v>
      </c>
      <c r="G144" s="23">
        <v>1.4750000000000001</v>
      </c>
      <c r="H144" s="23">
        <v>1.4820336383780099</v>
      </c>
      <c r="I144" s="45">
        <f t="shared" si="21"/>
        <v>-7.0336383780098544E-3</v>
      </c>
      <c r="K144">
        <v>5493</v>
      </c>
      <c r="L144">
        <v>1.9</v>
      </c>
      <c r="M144">
        <v>1.86987581311268</v>
      </c>
      <c r="N144" s="45">
        <f t="shared" si="22"/>
        <v>3.0124186887319881E-2</v>
      </c>
      <c r="S144" s="45"/>
      <c r="U144" s="23">
        <v>5465</v>
      </c>
      <c r="V144" s="23">
        <v>1.35</v>
      </c>
      <c r="W144" s="23">
        <v>1.2542387380775899</v>
      </c>
      <c r="X144" s="45">
        <f t="shared" si="23"/>
        <v>9.576126192241019E-2</v>
      </c>
    </row>
    <row r="145" spans="1:24" x14ac:dyDescent="0.35">
      <c r="A145" s="23">
        <v>54852</v>
      </c>
      <c r="B145" s="23">
        <v>2.5499999999999998</v>
      </c>
      <c r="C145" s="23">
        <v>1.9124232020512799</v>
      </c>
      <c r="D145" s="45">
        <f t="shared" si="20"/>
        <v>0.63757679794871991</v>
      </c>
      <c r="F145" s="23">
        <v>54551</v>
      </c>
      <c r="G145" s="23">
        <v>1.6950000000000001</v>
      </c>
      <c r="H145" s="23">
        <v>2.00548584747271</v>
      </c>
      <c r="I145" s="45">
        <f t="shared" si="21"/>
        <v>-0.31048584747270991</v>
      </c>
      <c r="K145">
        <v>5465</v>
      </c>
      <c r="L145">
        <v>1.86</v>
      </c>
      <c r="M145">
        <v>1.84123367325034</v>
      </c>
      <c r="N145" s="45">
        <f t="shared" si="22"/>
        <v>1.8766326749660056E-2</v>
      </c>
      <c r="S145" s="45"/>
      <c r="U145" s="23">
        <v>5466</v>
      </c>
      <c r="V145" s="23">
        <v>1.68</v>
      </c>
      <c r="W145" s="23">
        <v>1.6910724099064001</v>
      </c>
      <c r="X145" s="45">
        <f t="shared" si="23"/>
        <v>-1.1072409906400127E-2</v>
      </c>
    </row>
    <row r="146" spans="1:24" x14ac:dyDescent="0.35">
      <c r="A146" s="23">
        <v>54861</v>
      </c>
      <c r="B146" s="23">
        <v>2.3250000000000002</v>
      </c>
      <c r="C146" s="23">
        <v>1.79277645426471</v>
      </c>
      <c r="D146" s="45">
        <f t="shared" si="20"/>
        <v>0.53222354573529018</v>
      </c>
      <c r="F146" s="23">
        <v>54851</v>
      </c>
      <c r="G146" s="23">
        <v>1.77</v>
      </c>
      <c r="H146" s="23">
        <v>2.17405287954201</v>
      </c>
      <c r="I146" s="45">
        <f t="shared" si="21"/>
        <v>-0.40405287954200997</v>
      </c>
      <c r="K146">
        <v>5466</v>
      </c>
      <c r="L146">
        <v>1.5</v>
      </c>
      <c r="M146">
        <v>1.6367220196530701</v>
      </c>
      <c r="N146" s="45">
        <f t="shared" si="22"/>
        <v>-0.13672201965307007</v>
      </c>
      <c r="S146" s="45"/>
      <c r="U146" s="23">
        <v>5467</v>
      </c>
      <c r="V146" s="23">
        <v>2.1</v>
      </c>
      <c r="W146" s="23">
        <v>2.0807261047278001</v>
      </c>
      <c r="X146" s="45">
        <f t="shared" si="23"/>
        <v>1.9273895272200026E-2</v>
      </c>
    </row>
    <row r="147" spans="1:24" x14ac:dyDescent="0.35">
      <c r="A147" s="23">
        <v>54862</v>
      </c>
      <c r="B147" s="23">
        <v>1.55</v>
      </c>
      <c r="C147" s="23">
        <v>1.53476464465146</v>
      </c>
      <c r="D147" s="45">
        <f t="shared" si="20"/>
        <v>1.5235355348540036E-2</v>
      </c>
      <c r="F147" s="23">
        <v>5491</v>
      </c>
      <c r="G147" s="23">
        <v>6.6</v>
      </c>
      <c r="H147" s="23">
        <v>6.0850208081208397</v>
      </c>
      <c r="I147" s="45">
        <f t="shared" si="21"/>
        <v>0.51497919187915997</v>
      </c>
      <c r="K147">
        <v>5467</v>
      </c>
      <c r="L147">
        <v>2</v>
      </c>
      <c r="M147">
        <v>1.93925871048708</v>
      </c>
      <c r="N147" s="45">
        <f t="shared" si="22"/>
        <v>6.0741289512920016E-2</v>
      </c>
      <c r="S147" s="45"/>
      <c r="U147" s="23">
        <v>5468</v>
      </c>
      <c r="V147" s="23">
        <v>2.4700000000000002</v>
      </c>
      <c r="W147" s="23">
        <v>2.18491251840058</v>
      </c>
      <c r="X147" s="45">
        <f t="shared" si="23"/>
        <v>0.28508748159942021</v>
      </c>
    </row>
    <row r="148" spans="1:24" x14ac:dyDescent="0.35">
      <c r="A148" s="23">
        <v>54902</v>
      </c>
      <c r="B148" s="23">
        <v>2.4</v>
      </c>
      <c r="C148" s="23">
        <v>3.0797844121381299</v>
      </c>
      <c r="D148" s="45">
        <f t="shared" si="20"/>
        <v>-0.67978441213813001</v>
      </c>
      <c r="F148" s="23">
        <v>5493</v>
      </c>
      <c r="G148" s="23">
        <v>6.73</v>
      </c>
      <c r="H148" s="23">
        <v>6.6892196261839798</v>
      </c>
      <c r="I148" s="45">
        <f t="shared" si="21"/>
        <v>4.0780373816020621E-2</v>
      </c>
      <c r="K148">
        <v>5468</v>
      </c>
      <c r="L148">
        <v>1.0900000000000001</v>
      </c>
      <c r="M148">
        <v>1.6573863861551199</v>
      </c>
      <c r="N148" s="45">
        <f t="shared" si="22"/>
        <v>-0.56738638615511983</v>
      </c>
      <c r="S148" s="45"/>
      <c r="U148" s="23">
        <v>5469</v>
      </c>
      <c r="V148" s="23">
        <v>1.68</v>
      </c>
      <c r="W148" s="23">
        <v>1.48515253539131</v>
      </c>
      <c r="X148" s="45">
        <f t="shared" si="23"/>
        <v>0.19484746460868996</v>
      </c>
    </row>
    <row r="149" spans="1:24" x14ac:dyDescent="0.35">
      <c r="A149" s="23">
        <v>54551</v>
      </c>
      <c r="B149" s="23">
        <v>3.5249999999999999</v>
      </c>
      <c r="C149" s="23">
        <v>4.2158329562072598</v>
      </c>
      <c r="D149" s="45">
        <f t="shared" si="20"/>
        <v>-0.69083295620725993</v>
      </c>
      <c r="F149" s="23">
        <v>5465</v>
      </c>
      <c r="G149" s="23">
        <v>3.67</v>
      </c>
      <c r="H149" s="23">
        <v>3.54870596975756</v>
      </c>
      <c r="I149" s="45">
        <f t="shared" si="21"/>
        <v>0.1212940302424399</v>
      </c>
      <c r="K149">
        <v>5469</v>
      </c>
      <c r="L149">
        <v>1.49</v>
      </c>
      <c r="M149">
        <v>1.31019262204807</v>
      </c>
      <c r="N149" s="45">
        <f t="shared" si="22"/>
        <v>0.17980737795193003</v>
      </c>
      <c r="U149" s="23">
        <v>5474</v>
      </c>
      <c r="V149" s="23">
        <v>1.91</v>
      </c>
      <c r="W149" s="23">
        <v>1.70730395131654</v>
      </c>
      <c r="X149" s="45">
        <f t="shared" si="23"/>
        <v>0.20269604868345992</v>
      </c>
    </row>
    <row r="150" spans="1:24" x14ac:dyDescent="0.35">
      <c r="A150" s="23">
        <v>54851</v>
      </c>
      <c r="B150" s="23">
        <v>3.8250000000000002</v>
      </c>
      <c r="C150" s="23">
        <v>4.2570980303254897</v>
      </c>
      <c r="D150" s="45">
        <f t="shared" si="20"/>
        <v>-0.43209803032548955</v>
      </c>
      <c r="F150" s="23">
        <v>5466</v>
      </c>
      <c r="G150" s="23">
        <v>3.27</v>
      </c>
      <c r="H150" s="23">
        <v>3.2918684240257199</v>
      </c>
      <c r="I150" s="45">
        <f t="shared" si="21"/>
        <v>-2.1868424025719868E-2</v>
      </c>
      <c r="K150">
        <v>5474</v>
      </c>
      <c r="L150">
        <v>1.57</v>
      </c>
      <c r="M150">
        <v>1.62677561530321</v>
      </c>
      <c r="N150" s="45">
        <f t="shared" si="22"/>
        <v>-5.6775615303209959E-2</v>
      </c>
      <c r="U150" s="23">
        <v>5832</v>
      </c>
      <c r="V150" s="23">
        <v>1.55</v>
      </c>
      <c r="W150" s="23">
        <v>1.1811053377592999</v>
      </c>
      <c r="X150" s="45">
        <f t="shared" si="23"/>
        <v>0.36889466224070011</v>
      </c>
    </row>
    <row r="151" spans="1:24" x14ac:dyDescent="0.35">
      <c r="A151" s="23">
        <v>5491</v>
      </c>
      <c r="B151" s="23">
        <v>4.3</v>
      </c>
      <c r="C151" s="23">
        <v>4.0525235959764299</v>
      </c>
      <c r="D151" s="45">
        <f t="shared" si="20"/>
        <v>0.24747640402356996</v>
      </c>
      <c r="F151" s="23">
        <v>5467</v>
      </c>
      <c r="G151" s="23">
        <v>4.5199999999999996</v>
      </c>
      <c r="H151" s="23">
        <v>4.2644302162491101</v>
      </c>
      <c r="I151" s="45">
        <f t="shared" si="21"/>
        <v>0.25556978375088946</v>
      </c>
      <c r="K151">
        <v>5832</v>
      </c>
      <c r="L151">
        <v>1.19</v>
      </c>
      <c r="M151">
        <v>1.0530936502117401</v>
      </c>
      <c r="N151" s="45">
        <f t="shared" si="22"/>
        <v>0.13690634978825988</v>
      </c>
      <c r="U151" s="23">
        <v>5834</v>
      </c>
      <c r="V151" s="23">
        <v>2.13</v>
      </c>
      <c r="W151" s="23">
        <v>1.95828503882185</v>
      </c>
      <c r="X151" s="45">
        <f t="shared" si="23"/>
        <v>0.17171496117814988</v>
      </c>
    </row>
    <row r="152" spans="1:24" x14ac:dyDescent="0.35">
      <c r="A152" s="23">
        <v>5493</v>
      </c>
      <c r="B152" s="23">
        <v>4.2</v>
      </c>
      <c r="C152" s="23">
        <v>4.3561511800631099</v>
      </c>
      <c r="D152" s="45">
        <f t="shared" si="20"/>
        <v>-0.15615118006310968</v>
      </c>
      <c r="F152" s="23">
        <v>5468</v>
      </c>
      <c r="G152" s="23">
        <v>3.99</v>
      </c>
      <c r="H152" s="23">
        <v>4.27625171120311</v>
      </c>
      <c r="I152" s="45">
        <f t="shared" si="21"/>
        <v>-0.28625171120310977</v>
      </c>
      <c r="K152">
        <v>5834</v>
      </c>
      <c r="L152">
        <v>1.93</v>
      </c>
      <c r="M152">
        <v>1.6073960284825699</v>
      </c>
      <c r="N152" s="45">
        <f t="shared" si="22"/>
        <v>0.32260397151743003</v>
      </c>
      <c r="U152" s="23">
        <v>5840</v>
      </c>
      <c r="V152" s="23">
        <v>1.93</v>
      </c>
      <c r="W152" s="23">
        <v>1.606702849213</v>
      </c>
      <c r="X152" s="45">
        <f t="shared" si="23"/>
        <v>0.32329715078699994</v>
      </c>
    </row>
    <row r="153" spans="1:24" x14ac:dyDescent="0.35">
      <c r="A153" s="23">
        <v>5465</v>
      </c>
      <c r="B153" s="23">
        <v>9.5</v>
      </c>
      <c r="C153" s="23">
        <v>10.401925425086899</v>
      </c>
      <c r="D153" s="45">
        <f t="shared" si="20"/>
        <v>-0.90192542508689932</v>
      </c>
      <c r="F153" s="23">
        <v>5469</v>
      </c>
      <c r="G153" s="23">
        <v>3.54</v>
      </c>
      <c r="H153" s="23">
        <v>3.2692472436879401</v>
      </c>
      <c r="I153" s="45">
        <f t="shared" si="21"/>
        <v>0.27075275631205997</v>
      </c>
      <c r="K153">
        <v>5837</v>
      </c>
      <c r="L153">
        <v>1.58</v>
      </c>
      <c r="M153">
        <v>1.60552772538996</v>
      </c>
      <c r="N153" s="45">
        <f t="shared" si="22"/>
        <v>-2.5527725389959954E-2</v>
      </c>
      <c r="U153" s="23">
        <v>5841</v>
      </c>
      <c r="V153" s="23">
        <v>0.67</v>
      </c>
      <c r="W153" s="23">
        <v>0.69813359457274204</v>
      </c>
      <c r="X153" s="45">
        <f t="shared" si="23"/>
        <v>-2.8133594572742004E-2</v>
      </c>
    </row>
    <row r="154" spans="1:24" x14ac:dyDescent="0.35">
      <c r="A154" s="23">
        <v>5466</v>
      </c>
      <c r="B154" s="23">
        <v>6.1</v>
      </c>
      <c r="C154" s="23">
        <v>7.5236354130271996</v>
      </c>
      <c r="D154" s="45">
        <f t="shared" si="20"/>
        <v>-1.4236354130272</v>
      </c>
      <c r="F154" s="23">
        <v>5474</v>
      </c>
      <c r="G154" s="23">
        <v>3.8</v>
      </c>
      <c r="H154" s="23">
        <v>3.8065922126768701</v>
      </c>
      <c r="I154" s="45">
        <f t="shared" si="21"/>
        <v>-6.5922126768702682E-3</v>
      </c>
      <c r="K154">
        <v>5840</v>
      </c>
      <c r="L154">
        <v>1.1399999999999999</v>
      </c>
      <c r="M154">
        <v>1.1997557325336199</v>
      </c>
      <c r="N154" s="45">
        <f t="shared" si="22"/>
        <v>-5.9755732533619987E-2</v>
      </c>
      <c r="U154" s="23">
        <v>5842</v>
      </c>
      <c r="V154" s="23">
        <v>1.68</v>
      </c>
      <c r="W154" s="23">
        <v>1.7376331917107699</v>
      </c>
      <c r="X154" s="45">
        <f t="shared" si="23"/>
        <v>-5.7633191710769971E-2</v>
      </c>
    </row>
    <row r="155" spans="1:24" x14ac:dyDescent="0.35">
      <c r="A155" s="23">
        <v>5467</v>
      </c>
      <c r="B155" s="23">
        <v>9.1999999999999993</v>
      </c>
      <c r="C155" s="23">
        <v>9.8909739908509309</v>
      </c>
      <c r="D155" s="45">
        <f t="shared" si="20"/>
        <v>-0.69097399085093159</v>
      </c>
      <c r="F155" s="23">
        <v>5832</v>
      </c>
      <c r="G155" s="23">
        <v>3.04</v>
      </c>
      <c r="H155" s="23">
        <v>2.5619646360316901</v>
      </c>
      <c r="I155" s="45">
        <f t="shared" si="21"/>
        <v>0.47803536396830992</v>
      </c>
      <c r="K155">
        <v>5841</v>
      </c>
      <c r="L155">
        <v>0.22</v>
      </c>
      <c r="M155">
        <v>0.25339186803203301</v>
      </c>
      <c r="N155" s="45">
        <f t="shared" si="22"/>
        <v>-3.3391868032033006E-2</v>
      </c>
      <c r="U155" s="23">
        <v>5843</v>
      </c>
      <c r="V155" s="23">
        <v>1.47</v>
      </c>
      <c r="W155" s="23">
        <v>1.4744432741046101</v>
      </c>
      <c r="X155" s="45">
        <f t="shared" si="23"/>
        <v>-4.4432741046100954E-3</v>
      </c>
    </row>
    <row r="156" spans="1:24" x14ac:dyDescent="0.35">
      <c r="A156" s="23">
        <v>5468</v>
      </c>
      <c r="B156" s="23">
        <v>9.6999999999999993</v>
      </c>
      <c r="C156" s="23">
        <v>8.2434233807938693</v>
      </c>
      <c r="D156" s="45">
        <f t="shared" si="20"/>
        <v>1.45657661920613</v>
      </c>
      <c r="F156" s="23">
        <v>5834</v>
      </c>
      <c r="G156" s="23">
        <v>4.01</v>
      </c>
      <c r="H156" s="23">
        <v>3.9574330741108699</v>
      </c>
      <c r="I156" s="45">
        <f t="shared" si="21"/>
        <v>5.2566925889129923E-2</v>
      </c>
      <c r="K156">
        <v>5842</v>
      </c>
      <c r="L156">
        <v>2.14</v>
      </c>
      <c r="M156">
        <v>1.90678349722944</v>
      </c>
      <c r="N156" s="45">
        <f t="shared" si="22"/>
        <v>0.23321650277056016</v>
      </c>
      <c r="U156" s="23">
        <v>5844</v>
      </c>
      <c r="V156" s="23">
        <v>1.62</v>
      </c>
      <c r="W156" s="23">
        <v>1.7999035322891701</v>
      </c>
      <c r="X156" s="45">
        <f t="shared" si="23"/>
        <v>-0.17990353228917</v>
      </c>
    </row>
    <row r="157" spans="1:24" x14ac:dyDescent="0.35">
      <c r="A157" s="23">
        <v>5469</v>
      </c>
      <c r="B157" s="23">
        <v>8.1999999999999993</v>
      </c>
      <c r="C157" s="23">
        <v>9.6016937106493891</v>
      </c>
      <c r="D157" s="45">
        <f t="shared" si="20"/>
        <v>-1.4016937106493899</v>
      </c>
      <c r="F157" s="23">
        <v>5837</v>
      </c>
      <c r="G157" s="23">
        <v>4.1100000000000003</v>
      </c>
      <c r="H157" s="23">
        <v>3.6585030134899799</v>
      </c>
      <c r="I157" s="45">
        <f t="shared" si="21"/>
        <v>0.45149698651002046</v>
      </c>
      <c r="K157">
        <v>5843</v>
      </c>
      <c r="L157">
        <v>1.19</v>
      </c>
      <c r="M157">
        <v>1.1806171931034699</v>
      </c>
      <c r="N157" s="45">
        <f t="shared" si="22"/>
        <v>9.3828068965300382E-3</v>
      </c>
      <c r="U157" s="23">
        <v>6390</v>
      </c>
      <c r="V157" s="23">
        <v>0.1</v>
      </c>
      <c r="W157" s="23">
        <v>0.49178908669232402</v>
      </c>
      <c r="X157" s="45">
        <f t="shared" si="23"/>
        <v>-0.39178908669232404</v>
      </c>
    </row>
    <row r="158" spans="1:24" x14ac:dyDescent="0.35">
      <c r="A158" s="23">
        <v>5474</v>
      </c>
      <c r="B158" s="23">
        <v>9.3000000000000007</v>
      </c>
      <c r="C158" s="23">
        <v>10.002174037077101</v>
      </c>
      <c r="D158" s="45">
        <f t="shared" si="20"/>
        <v>-0.70217403707709991</v>
      </c>
      <c r="F158" s="23">
        <v>5840</v>
      </c>
      <c r="G158" s="23">
        <v>3.21</v>
      </c>
      <c r="H158" s="23">
        <v>3.0475744787076402</v>
      </c>
      <c r="I158" s="45">
        <f t="shared" si="21"/>
        <v>0.16242552129235976</v>
      </c>
      <c r="K158">
        <v>5844</v>
      </c>
      <c r="L158">
        <v>1.56</v>
      </c>
      <c r="M158">
        <v>1.4453339273238099</v>
      </c>
      <c r="N158" s="45">
        <f t="shared" si="22"/>
        <v>0.11466607267619011</v>
      </c>
      <c r="U158" s="23">
        <v>6447</v>
      </c>
      <c r="V158" s="23">
        <v>0.78</v>
      </c>
      <c r="W158" s="23">
        <v>0.82809528927534304</v>
      </c>
      <c r="X158" s="45">
        <f t="shared" si="23"/>
        <v>-4.8095289275343012E-2</v>
      </c>
    </row>
    <row r="159" spans="1:24" x14ac:dyDescent="0.35">
      <c r="A159" s="23">
        <v>5832</v>
      </c>
      <c r="B159" s="23">
        <v>7</v>
      </c>
      <c r="C159" s="23">
        <v>5.25394632645268</v>
      </c>
      <c r="D159" s="45">
        <f t="shared" si="20"/>
        <v>1.74605367354732</v>
      </c>
      <c r="F159" s="23">
        <v>5841</v>
      </c>
      <c r="G159" s="23">
        <v>0.86</v>
      </c>
      <c r="H159" s="23">
        <v>0.84922780791288399</v>
      </c>
      <c r="I159" s="45">
        <f t="shared" si="21"/>
        <v>1.0772192087115995E-2</v>
      </c>
      <c r="K159">
        <v>6390</v>
      </c>
      <c r="L159">
        <v>0.25</v>
      </c>
      <c r="M159">
        <v>0.51735167385525804</v>
      </c>
      <c r="N159" s="45">
        <f t="shared" si="22"/>
        <v>-0.26735167385525804</v>
      </c>
      <c r="U159" s="23">
        <v>6570</v>
      </c>
      <c r="V159" s="23">
        <v>1.49</v>
      </c>
      <c r="W159" s="23">
        <v>1.6739521289314101</v>
      </c>
      <c r="X159" s="45">
        <f t="shared" si="23"/>
        <v>-0.18395212893141011</v>
      </c>
    </row>
    <row r="160" spans="1:24" x14ac:dyDescent="0.35">
      <c r="A160" s="23">
        <v>5834</v>
      </c>
      <c r="B160" s="23">
        <v>9.9</v>
      </c>
      <c r="C160" s="23">
        <v>7.6912645497832699</v>
      </c>
      <c r="D160" s="45">
        <f t="shared" si="20"/>
        <v>2.2087354502167305</v>
      </c>
      <c r="F160" s="23">
        <v>5842</v>
      </c>
      <c r="G160" s="23">
        <v>3.77</v>
      </c>
      <c r="H160" s="23">
        <v>3.7684816667092398</v>
      </c>
      <c r="I160" s="45">
        <f t="shared" si="21"/>
        <v>1.518333290760232E-3</v>
      </c>
      <c r="K160">
        <v>6447</v>
      </c>
      <c r="L160">
        <v>0.28999999999999998</v>
      </c>
      <c r="M160">
        <v>0.32078652874649699</v>
      </c>
      <c r="N160" s="45">
        <f t="shared" si="22"/>
        <v>-3.0786528746497011E-2</v>
      </c>
      <c r="U160" s="23">
        <v>8769</v>
      </c>
      <c r="V160" s="23">
        <v>0.51</v>
      </c>
      <c r="W160" s="23">
        <v>0.60957618075748399</v>
      </c>
      <c r="X160" s="45">
        <f t="shared" si="23"/>
        <v>-9.9576180757483979E-2</v>
      </c>
    </row>
    <row r="161" spans="1:24" x14ac:dyDescent="0.35">
      <c r="A161" s="23">
        <v>5837</v>
      </c>
      <c r="B161" s="23">
        <v>8.6999999999999993</v>
      </c>
      <c r="C161" s="23">
        <v>8.1932975769208696</v>
      </c>
      <c r="D161" s="45">
        <f t="shared" si="20"/>
        <v>0.50670242307912972</v>
      </c>
      <c r="F161" s="23">
        <v>5843</v>
      </c>
      <c r="G161" s="23">
        <v>2.8</v>
      </c>
      <c r="H161" s="23">
        <v>2.8040751687399399</v>
      </c>
      <c r="I161" s="45">
        <f t="shared" si="21"/>
        <v>-4.0751687399400716E-3</v>
      </c>
      <c r="K161">
        <v>6570</v>
      </c>
      <c r="L161">
        <v>0.97</v>
      </c>
      <c r="M161">
        <v>1.05276597088233</v>
      </c>
      <c r="N161" s="45">
        <f t="shared" si="22"/>
        <v>-8.2765970882330064E-2</v>
      </c>
      <c r="U161" s="23">
        <v>8770</v>
      </c>
      <c r="V161" s="23">
        <v>1.44</v>
      </c>
      <c r="W161" s="23">
        <v>1.73309445055874</v>
      </c>
      <c r="X161" s="45">
        <f t="shared" si="23"/>
        <v>-0.29309445055874006</v>
      </c>
    </row>
    <row r="162" spans="1:24" x14ac:dyDescent="0.35">
      <c r="A162" s="23">
        <v>5840</v>
      </c>
      <c r="B162" s="23">
        <v>6.3</v>
      </c>
      <c r="C162" s="23">
        <v>6.3810983410111399</v>
      </c>
      <c r="D162" s="45">
        <f t="shared" si="20"/>
        <v>-8.1098341011140107E-2</v>
      </c>
      <c r="F162" s="23">
        <v>5844</v>
      </c>
      <c r="G162" s="23">
        <v>2.96</v>
      </c>
      <c r="H162" s="23">
        <v>3.1166337599362501</v>
      </c>
      <c r="I162" s="45">
        <f t="shared" si="21"/>
        <v>-0.15663375993625017</v>
      </c>
      <c r="K162">
        <v>8769</v>
      </c>
      <c r="L162">
        <v>0.32</v>
      </c>
      <c r="M162">
        <v>0.46368127661944197</v>
      </c>
      <c r="N162" s="45">
        <f t="shared" si="22"/>
        <v>-0.14368127661944197</v>
      </c>
      <c r="U162" s="23">
        <v>8773</v>
      </c>
      <c r="V162" s="23">
        <v>2.1800000000000002</v>
      </c>
      <c r="W162" s="23">
        <v>2.0457195166548399</v>
      </c>
      <c r="X162" s="45">
        <f t="shared" si="23"/>
        <v>0.1342804833451603</v>
      </c>
    </row>
    <row r="163" spans="1:24" x14ac:dyDescent="0.35">
      <c r="A163" s="23">
        <v>5841</v>
      </c>
      <c r="B163" s="23">
        <v>0.92</v>
      </c>
      <c r="C163" s="23">
        <v>2.42972800927808</v>
      </c>
      <c r="D163" s="45">
        <f t="shared" si="20"/>
        <v>-1.50972800927808</v>
      </c>
      <c r="F163" s="23">
        <v>6390</v>
      </c>
      <c r="G163" s="23">
        <v>0.44</v>
      </c>
      <c r="H163" s="23">
        <v>1.08177590889287</v>
      </c>
      <c r="I163" s="45">
        <f t="shared" si="21"/>
        <v>-0.64177590889287006</v>
      </c>
      <c r="K163">
        <v>8770</v>
      </c>
      <c r="L163">
        <v>1.4</v>
      </c>
      <c r="M163">
        <v>1.48949693919827</v>
      </c>
      <c r="N163" s="45">
        <f t="shared" si="22"/>
        <v>-8.9496939198270065E-2</v>
      </c>
    </row>
    <row r="164" spans="1:24" x14ac:dyDescent="0.35">
      <c r="A164" s="23">
        <v>5842</v>
      </c>
      <c r="B164" s="23">
        <v>9.9</v>
      </c>
      <c r="C164" s="23">
        <v>8.5565221397603093</v>
      </c>
      <c r="D164" s="45">
        <f t="shared" si="20"/>
        <v>1.3434778602396911</v>
      </c>
      <c r="F164" s="23">
        <v>6447</v>
      </c>
      <c r="G164" s="23">
        <v>1.41</v>
      </c>
      <c r="H164" s="23">
        <v>1.42678286785457</v>
      </c>
      <c r="I164" s="45">
        <f t="shared" si="21"/>
        <v>-1.678286785457006E-2</v>
      </c>
      <c r="K164">
        <v>8773</v>
      </c>
      <c r="L164">
        <v>0.78</v>
      </c>
      <c r="M164">
        <v>0.60608764169154905</v>
      </c>
      <c r="N164" s="45">
        <f t="shared" si="22"/>
        <v>0.17391235830845098</v>
      </c>
    </row>
    <row r="165" spans="1:24" x14ac:dyDescent="0.35">
      <c r="A165" s="23">
        <v>5843</v>
      </c>
      <c r="B165" s="23">
        <v>5.2</v>
      </c>
      <c r="C165" s="23">
        <v>3.9704309398176001</v>
      </c>
      <c r="D165" s="45">
        <f t="shared" si="20"/>
        <v>1.2295690601824001</v>
      </c>
      <c r="F165" s="23">
        <v>6570</v>
      </c>
      <c r="G165" s="23">
        <v>2.4</v>
      </c>
      <c r="H165" s="23">
        <v>2.4976656512945801</v>
      </c>
      <c r="I165" s="45">
        <f t="shared" si="21"/>
        <v>-9.7665651294580158E-2</v>
      </c>
      <c r="N165" s="45"/>
    </row>
    <row r="166" spans="1:24" x14ac:dyDescent="0.35">
      <c r="A166" s="23">
        <v>5844</v>
      </c>
      <c r="B166" s="23">
        <v>8.4</v>
      </c>
      <c r="C166" s="23">
        <v>6.58111457318169</v>
      </c>
      <c r="D166" s="45">
        <f t="shared" si="20"/>
        <v>1.8188854268183103</v>
      </c>
      <c r="F166" s="23">
        <v>8769</v>
      </c>
      <c r="G166" s="23">
        <v>1.89</v>
      </c>
      <c r="H166" s="23">
        <v>1.55442224227505</v>
      </c>
      <c r="I166" s="45">
        <f t="shared" si="21"/>
        <v>0.33557775772494991</v>
      </c>
    </row>
    <row r="167" spans="1:24" x14ac:dyDescent="0.35">
      <c r="A167" s="23">
        <v>6390</v>
      </c>
      <c r="B167" s="23">
        <v>1.7</v>
      </c>
      <c r="C167" s="23">
        <v>3.1048525792157999</v>
      </c>
      <c r="D167" s="45">
        <f t="shared" si="20"/>
        <v>-1.4048525792158</v>
      </c>
      <c r="F167" s="23">
        <v>8770</v>
      </c>
      <c r="G167" s="23">
        <v>3.09</v>
      </c>
      <c r="H167" s="23">
        <v>3.2394611681993699</v>
      </c>
      <c r="I167" s="45">
        <f t="shared" si="21"/>
        <v>-0.14946116819937005</v>
      </c>
    </row>
    <row r="168" spans="1:24" x14ac:dyDescent="0.35">
      <c r="A168" s="23">
        <v>6447</v>
      </c>
      <c r="B168" s="23">
        <v>1.4</v>
      </c>
      <c r="C168" s="23">
        <v>2.1260128171191299</v>
      </c>
      <c r="D168" s="45">
        <f t="shared" si="20"/>
        <v>-0.72601281711913002</v>
      </c>
      <c r="F168" s="23">
        <v>8773</v>
      </c>
      <c r="G168" s="23">
        <v>3.09</v>
      </c>
      <c r="H168" s="23">
        <v>3.03986695354804</v>
      </c>
      <c r="I168" s="45">
        <f t="shared" si="21"/>
        <v>5.0133046451959817E-2</v>
      </c>
    </row>
    <row r="169" spans="1:24" x14ac:dyDescent="0.35">
      <c r="A169" s="23">
        <v>8769</v>
      </c>
      <c r="B169" s="23">
        <v>1.25</v>
      </c>
      <c r="C169" s="23">
        <v>2.2610875181723702</v>
      </c>
      <c r="D169" s="45">
        <f t="shared" si="20"/>
        <v>-1.0110875181723702</v>
      </c>
    </row>
    <row r="170" spans="1:24" x14ac:dyDescent="0.35">
      <c r="A170" s="23">
        <v>8770</v>
      </c>
      <c r="B170" s="23">
        <v>8.33</v>
      </c>
      <c r="C170" s="23">
        <v>5.6323979316432498</v>
      </c>
      <c r="D170" s="45">
        <f t="shared" si="20"/>
        <v>2.6976020683567503</v>
      </c>
    </row>
    <row r="171" spans="1:24" x14ac:dyDescent="0.35">
      <c r="A171" s="23">
        <v>8773</v>
      </c>
      <c r="B171" s="23">
        <v>1.85</v>
      </c>
      <c r="C171" s="23">
        <v>1.60914600351035</v>
      </c>
      <c r="D171" s="45">
        <f t="shared" si="20"/>
        <v>0.24085399648965011</v>
      </c>
    </row>
    <row r="172" spans="1:24" x14ac:dyDescent="0.35">
      <c r="D172" s="45"/>
    </row>
  </sheetData>
  <mergeCells count="5">
    <mergeCell ref="A1:D1"/>
    <mergeCell ref="F1:I1"/>
    <mergeCell ref="K1:N1"/>
    <mergeCell ref="P1:S1"/>
    <mergeCell ref="U1:X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1"/>
  <sheetViews>
    <sheetView topLeftCell="C1" zoomScale="70" zoomScaleNormal="70" workbookViewId="0">
      <selection activeCell="AE3" sqref="AE3:AE9"/>
    </sheetView>
  </sheetViews>
  <sheetFormatPr defaultColWidth="9.1796875" defaultRowHeight="14.5" x14ac:dyDescent="0.35"/>
  <cols>
    <col min="1" max="1" width="9.1796875" style="23"/>
    <col min="2" max="2" width="13.81640625" style="23" bestFit="1" customWidth="1"/>
    <col min="3" max="5" width="9.1796875" style="23"/>
    <col min="6" max="6" width="14.81640625" style="23" bestFit="1" customWidth="1"/>
    <col min="7" max="7" width="14.81640625" style="23" customWidth="1"/>
    <col min="8" max="9" width="9.1796875" style="23"/>
    <col min="10" max="10" width="15.81640625" style="23" bestFit="1" customWidth="1"/>
    <col min="11" max="13" width="9.1796875" style="23"/>
    <col min="14" max="14" width="9.7265625" style="23" bestFit="1" customWidth="1"/>
    <col min="15" max="16384" width="9.1796875" style="23"/>
  </cols>
  <sheetData>
    <row r="1" spans="1:35" x14ac:dyDescent="0.35">
      <c r="B1" s="57" t="s">
        <v>43</v>
      </c>
      <c r="C1" s="57"/>
      <c r="D1" s="57"/>
      <c r="E1" s="57"/>
      <c r="F1" s="57"/>
      <c r="G1" s="48"/>
      <c r="I1" s="57" t="s">
        <v>2</v>
      </c>
      <c r="J1" s="57"/>
      <c r="K1" s="57"/>
      <c r="L1" s="57"/>
      <c r="M1" s="57"/>
      <c r="N1" s="48"/>
      <c r="P1" s="57" t="s">
        <v>3</v>
      </c>
      <c r="Q1" s="57"/>
      <c r="R1" s="57"/>
      <c r="S1" s="57"/>
      <c r="T1" s="57"/>
      <c r="U1" s="48"/>
      <c r="W1" s="57" t="s">
        <v>4</v>
      </c>
      <c r="X1" s="57"/>
      <c r="Y1" s="57"/>
      <c r="Z1" s="57"/>
      <c r="AA1" s="57"/>
      <c r="AB1" s="48"/>
      <c r="AD1" s="57" t="s">
        <v>5</v>
      </c>
      <c r="AE1" s="57"/>
      <c r="AF1" s="57"/>
      <c r="AG1" s="57"/>
      <c r="AH1" s="57"/>
    </row>
    <row r="3" spans="1:35" x14ac:dyDescent="0.35">
      <c r="B3" s="41" t="s">
        <v>6</v>
      </c>
      <c r="C3" s="28">
        <f>SQRT(SUMSQ(E12:E1048576)/COUNTA(E12:E1048576))</f>
        <v>0.65064647440526946</v>
      </c>
      <c r="I3" s="41" t="s">
        <v>16</v>
      </c>
      <c r="J3" s="49">
        <f>SQRT(SUMSQ(L12:L1048576)/COUNTA(L12:L1048576))</f>
        <v>0.35293923336528321</v>
      </c>
      <c r="P3" s="41" t="s">
        <v>16</v>
      </c>
      <c r="Q3" s="23">
        <f>SQRT(SUMSQ(S12:S1048576)/COUNTA(S12:S1048576))</f>
        <v>0.16394605924061231</v>
      </c>
      <c r="W3" s="41" t="s">
        <v>16</v>
      </c>
      <c r="X3" s="23">
        <f>SQRT(SUMSQ(Z12:Z1048576)/COUNTA(Z12:Z1048576))</f>
        <v>0.6017279025597686</v>
      </c>
      <c r="AA3" s="23">
        <v>6.1677795969319096</v>
      </c>
      <c r="AD3" s="41" t="s">
        <v>16</v>
      </c>
      <c r="AE3" s="23">
        <f>SQRT(SUMSQ(AG12:AG1048576)/COUNTA(AG12:AG1048576))</f>
        <v>0.14569027064334142</v>
      </c>
    </row>
    <row r="4" spans="1:35" x14ac:dyDescent="0.35">
      <c r="B4" s="41" t="s">
        <v>7</v>
      </c>
      <c r="C4" s="28">
        <f>AVERAGE(E12:E1048576)</f>
        <v>-0.15163820690811866</v>
      </c>
      <c r="I4" s="41" t="s">
        <v>7</v>
      </c>
      <c r="J4" s="49">
        <f>AVERAGE(L12:L1048576)</f>
        <v>-4.7397580433725495E-2</v>
      </c>
      <c r="P4" s="41" t="s">
        <v>7</v>
      </c>
      <c r="Q4" s="49">
        <v>-0.01</v>
      </c>
      <c r="W4" s="41" t="s">
        <v>7</v>
      </c>
      <c r="X4" s="23">
        <f>AVERAGE(Z12:Z1048576)</f>
        <v>6.180716987221456E-2</v>
      </c>
      <c r="AA4" s="23">
        <v>6.1952454380882997</v>
      </c>
      <c r="AD4" s="41" t="s">
        <v>7</v>
      </c>
      <c r="AE4" s="23">
        <f>AVERAGE(AG12:AG1048576)</f>
        <v>2.5373877789498987E-2</v>
      </c>
    </row>
    <row r="5" spans="1:35" x14ac:dyDescent="0.35">
      <c r="B5" s="41" t="s">
        <v>8</v>
      </c>
      <c r="C5" s="28">
        <f>CORREL(C12:C1048576,D12:D1048576)^2</f>
        <v>0.92530626765403257</v>
      </c>
      <c r="I5" s="41" t="s">
        <v>8</v>
      </c>
      <c r="J5" s="49">
        <f>CORREL(J12:J1048576,K12:K1048576)^2</f>
        <v>0.82996485642817019</v>
      </c>
      <c r="P5" s="41" t="s">
        <v>8</v>
      </c>
      <c r="Q5" s="23">
        <f>CORREL(Q12:Q1048576,R12:R1048576)^2</f>
        <v>0.92374085334005418</v>
      </c>
      <c r="W5" s="41" t="s">
        <v>8</v>
      </c>
      <c r="X5" s="23">
        <f>CORREL(X12:X1048576,Y12:Y1048576)^2</f>
        <v>0.64851835349862552</v>
      </c>
      <c r="AA5" s="23">
        <v>4.9588321286924897</v>
      </c>
      <c r="AD5" s="41" t="s">
        <v>8</v>
      </c>
      <c r="AE5" s="23">
        <f>CORREL(AE12:AE1048576,AF12:AF1048576)^2</f>
        <v>0.77295999403207938</v>
      </c>
    </row>
    <row r="6" spans="1:35" x14ac:dyDescent="0.35">
      <c r="B6" s="41" t="s">
        <v>9</v>
      </c>
      <c r="C6" s="28">
        <f>SLOPE(C12:C1048576,D12:D1048576)</f>
        <v>0.94718607808821842</v>
      </c>
      <c r="I6" s="41" t="s">
        <v>9</v>
      </c>
      <c r="J6" s="49">
        <f>SLOPE(J12:J1048576,K12:K1048576)</f>
        <v>1.0948217031783916</v>
      </c>
      <c r="P6" s="41" t="s">
        <v>9</v>
      </c>
      <c r="Q6" s="23">
        <f>SLOPE(Q12:Q1048576,R12:R1048576)</f>
        <v>1.2497297548235913</v>
      </c>
      <c r="W6" s="41" t="s">
        <v>9</v>
      </c>
      <c r="X6" s="23">
        <f>SLOPE(X12:X1048576,Y12:Y1048576)</f>
        <v>0.876145117245133</v>
      </c>
      <c r="AA6" s="23">
        <v>4.8291560263765598</v>
      </c>
      <c r="AD6" s="41" t="s">
        <v>9</v>
      </c>
      <c r="AE6" s="23">
        <f>SLOPE(AE12:AE1048576,AF12:AF1048576)</f>
        <v>0.91766898904147021</v>
      </c>
    </row>
    <row r="7" spans="1:35" x14ac:dyDescent="0.35">
      <c r="B7" s="41" t="s">
        <v>16</v>
      </c>
      <c r="C7" s="28">
        <f>SQRT(SUMXMY2(C12:C1048576,D12:D1048576)/COUNTA(C12:C1048576))</f>
        <v>0.65064647440526946</v>
      </c>
      <c r="I7" s="41" t="s">
        <v>16</v>
      </c>
      <c r="J7" s="23">
        <f>SQRT(SUMXMY2(J12:J1048576,K12:K1048576)/COUNTA(J12:J1048576))</f>
        <v>0.35293923336528321</v>
      </c>
      <c r="P7" s="41" t="s">
        <v>16</v>
      </c>
      <c r="Q7" s="23">
        <f>SQRT(SUMXMY2(Q12:Q1048576,T12:T1048576)/COUNTA(Q12:Q1048576))</f>
        <v>0.16762816885204279</v>
      </c>
      <c r="W7" s="41" t="s">
        <v>16</v>
      </c>
      <c r="X7" s="23">
        <f>SQRT(SUMXMY2(X12:X1048576,AA12:AA1048576)/COUNTA(X12:X1048576))</f>
        <v>0.59854518832863879</v>
      </c>
      <c r="AD7" s="41" t="s">
        <v>16</v>
      </c>
      <c r="AE7" s="23">
        <f>SQRT(SUMXMY2(AE12:AE1048576,AH12:AH1048576)/COUNTA(AE12:AE1048576))</f>
        <v>0.14346365841582892</v>
      </c>
    </row>
    <row r="8" spans="1:35" x14ac:dyDescent="0.35">
      <c r="B8" s="41" t="s">
        <v>17</v>
      </c>
      <c r="C8" s="23">
        <f>COUNTIF(G12:G36,"&gt;35%")</f>
        <v>0</v>
      </c>
      <c r="I8" s="41" t="s">
        <v>17</v>
      </c>
      <c r="J8" s="23">
        <f>COUNTIF(N12:N36,"&gt;35%")</f>
        <v>0</v>
      </c>
      <c r="P8" s="41" t="s">
        <v>17</v>
      </c>
      <c r="Q8" s="23">
        <f>COUNTIF(U12:U36,"&gt;35%")</f>
        <v>0</v>
      </c>
      <c r="W8" s="41" t="s">
        <v>17</v>
      </c>
      <c r="X8" s="23">
        <f>COUNTIF(AB12:AB39,"&gt;35%")</f>
        <v>0</v>
      </c>
      <c r="AD8" s="41" t="s">
        <v>17</v>
      </c>
      <c r="AE8" s="23">
        <f>COUNTIF(AI12:AI36,"&gt;35%")</f>
        <v>0</v>
      </c>
    </row>
    <row r="9" spans="1:35" x14ac:dyDescent="0.35">
      <c r="B9" s="41" t="s">
        <v>2</v>
      </c>
      <c r="C9" s="23">
        <f>COUNT(B12:B36)</f>
        <v>21</v>
      </c>
      <c r="G9" s="50">
        <f>AVERAGE(G12:G31)</f>
        <v>8.3125596824832226E-2</v>
      </c>
      <c r="I9" s="41" t="s">
        <v>2</v>
      </c>
      <c r="J9" s="23">
        <f>COUNT(J12:J36)</f>
        <v>20</v>
      </c>
      <c r="N9" s="50">
        <f>AVERAGE(N12:N31)</f>
        <v>0.10516941656569054</v>
      </c>
      <c r="P9" s="41" t="s">
        <v>2</v>
      </c>
      <c r="Q9" s="23">
        <f>COUNT(Q12:Q36)</f>
        <v>20</v>
      </c>
      <c r="U9" s="50">
        <f>AVERAGE(U12:U31)</f>
        <v>9.9384558699036618E-2</v>
      </c>
      <c r="W9" s="41" t="s">
        <v>2</v>
      </c>
      <c r="X9" s="23">
        <f>COUNT(X12:X39)</f>
        <v>20</v>
      </c>
      <c r="AB9" s="50">
        <f>AVERAGE(AB12:AB34)</f>
        <v>0.10513626061016394</v>
      </c>
      <c r="AD9" s="41" t="s">
        <v>2</v>
      </c>
      <c r="AE9" s="23">
        <f>COUNT(AE12:AE36)</f>
        <v>18</v>
      </c>
      <c r="AI9" s="50">
        <f>AVERAGE(AI12:AI31)</f>
        <v>8.603154306946989E-2</v>
      </c>
    </row>
    <row r="10" spans="1:35" x14ac:dyDescent="0.35">
      <c r="N10" s="50"/>
    </row>
    <row r="11" spans="1:35" x14ac:dyDescent="0.35">
      <c r="B11" s="41" t="s">
        <v>27</v>
      </c>
      <c r="C11" s="41" t="s">
        <v>37</v>
      </c>
      <c r="D11" s="41" t="s">
        <v>45</v>
      </c>
      <c r="E11" s="41" t="s">
        <v>35</v>
      </c>
      <c r="F11" s="41" t="s">
        <v>46</v>
      </c>
      <c r="G11" s="41" t="s">
        <v>44</v>
      </c>
      <c r="I11" s="41" t="s">
        <v>27</v>
      </c>
      <c r="J11" s="41" t="s">
        <v>37</v>
      </c>
      <c r="K11" s="41" t="s">
        <v>45</v>
      </c>
      <c r="L11" s="41" t="s">
        <v>35</v>
      </c>
      <c r="M11" s="41" t="s">
        <v>46</v>
      </c>
      <c r="N11" s="41" t="s">
        <v>44</v>
      </c>
      <c r="P11" s="41" t="s">
        <v>27</v>
      </c>
      <c r="Q11" s="41" t="s">
        <v>37</v>
      </c>
      <c r="R11" s="41" t="s">
        <v>45</v>
      </c>
      <c r="S11" s="41" t="s">
        <v>35</v>
      </c>
      <c r="T11" s="41" t="s">
        <v>46</v>
      </c>
      <c r="U11" s="41" t="s">
        <v>44</v>
      </c>
      <c r="W11" s="41" t="s">
        <v>27</v>
      </c>
      <c r="X11" s="41" t="s">
        <v>37</v>
      </c>
      <c r="Y11" s="41" t="s">
        <v>45</v>
      </c>
      <c r="Z11" s="41" t="s">
        <v>35</v>
      </c>
      <c r="AA11" s="41" t="s">
        <v>46</v>
      </c>
      <c r="AB11" s="41" t="s">
        <v>44</v>
      </c>
      <c r="AD11" s="41" t="s">
        <v>27</v>
      </c>
      <c r="AE11" s="41" t="s">
        <v>37</v>
      </c>
      <c r="AF11" s="41" t="s">
        <v>45</v>
      </c>
      <c r="AG11" s="41" t="s">
        <v>35</v>
      </c>
      <c r="AH11" s="41" t="s">
        <v>46</v>
      </c>
      <c r="AI11" s="41" t="s">
        <v>44</v>
      </c>
    </row>
    <row r="12" spans="1:35" x14ac:dyDescent="0.35">
      <c r="A12" s="23">
        <v>1</v>
      </c>
      <c r="B12" s="23">
        <v>4</v>
      </c>
      <c r="C12" s="28">
        <v>6.3</v>
      </c>
      <c r="D12" s="28">
        <v>7.2085261070844302</v>
      </c>
      <c r="E12" s="28">
        <f t="shared" ref="E12:E32" si="0">C12-D12</f>
        <v>-0.90852610708443038</v>
      </c>
      <c r="F12" s="28">
        <f t="shared" ref="F12:F32" si="1">D12+C$4</f>
        <v>7.0568879001763118</v>
      </c>
      <c r="G12" s="51">
        <f t="shared" ref="G12:G32" si="2">ABS(C12-D12)/C12</f>
        <v>0.14421049318800483</v>
      </c>
      <c r="I12" s="23">
        <v>4</v>
      </c>
      <c r="J12" s="28">
        <v>2.79</v>
      </c>
      <c r="K12" s="28">
        <v>2.9639962870368799</v>
      </c>
      <c r="L12" s="28">
        <f t="shared" ref="L12:L31" si="3">J12-K12</f>
        <v>-0.17399628703687986</v>
      </c>
      <c r="M12" s="28">
        <f t="shared" ref="M12:M31" si="4">K12+J$4</f>
        <v>2.9165987066031542</v>
      </c>
      <c r="N12" s="51">
        <f t="shared" ref="N12:N31" si="5">ABS(J12-M12)/J12</f>
        <v>4.5375880502922648E-2</v>
      </c>
      <c r="P12" s="23">
        <v>4</v>
      </c>
      <c r="Q12" s="28">
        <v>1.25</v>
      </c>
      <c r="R12" s="28">
        <v>1.2932453963514601</v>
      </c>
      <c r="S12" s="28">
        <f t="shared" ref="S12:S31" si="6">Q12-R12</f>
        <v>-4.3245396351460075E-2</v>
      </c>
      <c r="T12" s="28">
        <f t="shared" ref="T12:T31" si="7">R12+Q$4</f>
        <v>1.2832453963514601</v>
      </c>
      <c r="U12" s="51">
        <f t="shared" ref="U12:U31" si="8">ABS(Q12-T12)/Q12</f>
        <v>2.6596317081168053E-2</v>
      </c>
      <c r="W12" s="23">
        <v>4</v>
      </c>
      <c r="X12" s="28">
        <v>2.78</v>
      </c>
      <c r="Y12" s="28">
        <v>2.92369084665058</v>
      </c>
      <c r="Z12" s="28">
        <f t="shared" ref="Z12:Z31" si="9">X12-Y12</f>
        <v>-0.14369084665058018</v>
      </c>
      <c r="AA12" s="28">
        <f t="shared" ref="AA12:AA31" si="10">Y12+X$4</f>
        <v>2.9854980165227945</v>
      </c>
      <c r="AB12" s="51">
        <f t="shared" ref="AB12:AB31" si="11">ABS(X12-AA12)/X12</f>
        <v>7.3920149828343398E-2</v>
      </c>
      <c r="AD12" s="23">
        <v>4</v>
      </c>
      <c r="AE12" s="28">
        <v>1.56</v>
      </c>
      <c r="AF12" s="28">
        <v>1.5272435753447899</v>
      </c>
      <c r="AG12" s="28">
        <f t="shared" ref="AG12:AG29" si="12">AE12-AF12</f>
        <v>3.2756424655210115E-2</v>
      </c>
      <c r="AH12" s="28">
        <f t="shared" ref="AH12:AH29" si="13">AF12+AE$4</f>
        <v>1.5526174531342889</v>
      </c>
      <c r="AI12" s="51">
        <f t="shared" ref="AI12:AI29" si="14">ABS(AE12-AH12)/AE12</f>
        <v>4.732401836994333E-3</v>
      </c>
    </row>
    <row r="13" spans="1:35" x14ac:dyDescent="0.35">
      <c r="A13" s="23">
        <v>2</v>
      </c>
      <c r="B13" s="23">
        <v>7</v>
      </c>
      <c r="C13" s="28">
        <v>7.8</v>
      </c>
      <c r="D13" s="28">
        <v>7.3348345451389898</v>
      </c>
      <c r="E13" s="28">
        <f t="shared" si="0"/>
        <v>0.46516545486101002</v>
      </c>
      <c r="F13" s="28">
        <f t="shared" si="1"/>
        <v>7.1831963382308714</v>
      </c>
      <c r="G13" s="51">
        <f t="shared" si="2"/>
        <v>5.9636596777052568E-2</v>
      </c>
      <c r="I13" s="23">
        <v>7</v>
      </c>
      <c r="J13" s="28">
        <v>3.2</v>
      </c>
      <c r="K13" s="28">
        <v>3.0510480916959799</v>
      </c>
      <c r="L13" s="28">
        <f t="shared" si="3"/>
        <v>0.14895190830402028</v>
      </c>
      <c r="M13" s="28">
        <f t="shared" si="4"/>
        <v>3.0036505112622542</v>
      </c>
      <c r="N13" s="51">
        <f t="shared" si="5"/>
        <v>6.1359215230545605E-2</v>
      </c>
      <c r="P13" s="23">
        <v>7</v>
      </c>
      <c r="Q13" s="28">
        <v>1.32</v>
      </c>
      <c r="R13" s="28">
        <v>1.2920357310250801</v>
      </c>
      <c r="S13" s="28">
        <f t="shared" si="6"/>
        <v>2.7964268974919992E-2</v>
      </c>
      <c r="T13" s="28">
        <f t="shared" si="7"/>
        <v>1.2820357310250801</v>
      </c>
      <c r="U13" s="51">
        <f t="shared" si="8"/>
        <v>2.8760809829484847E-2</v>
      </c>
      <c r="W13" s="23">
        <v>7</v>
      </c>
      <c r="X13" s="28">
        <v>3.27</v>
      </c>
      <c r="Y13" s="28">
        <v>2.9881237591602798</v>
      </c>
      <c r="Z13" s="28">
        <f t="shared" si="9"/>
        <v>0.28187624083972018</v>
      </c>
      <c r="AA13" s="28">
        <f t="shared" si="10"/>
        <v>3.0499309290324943</v>
      </c>
      <c r="AB13" s="51">
        <f t="shared" si="11"/>
        <v>6.7299410081806024E-2</v>
      </c>
      <c r="AD13" s="23">
        <v>7</v>
      </c>
      <c r="AE13" s="28">
        <v>1.53</v>
      </c>
      <c r="AF13" s="28">
        <v>1.5177978922050199</v>
      </c>
      <c r="AG13" s="28">
        <f t="shared" si="12"/>
        <v>1.2202107794980099E-2</v>
      </c>
      <c r="AH13" s="28">
        <f t="shared" si="13"/>
        <v>1.5431717699945189</v>
      </c>
      <c r="AI13" s="51">
        <f t="shared" si="14"/>
        <v>8.6089999964175535E-3</v>
      </c>
    </row>
    <row r="14" spans="1:35" x14ac:dyDescent="0.35">
      <c r="A14" s="23">
        <v>3</v>
      </c>
      <c r="B14" s="23">
        <v>8</v>
      </c>
      <c r="C14" s="28">
        <v>8.6</v>
      </c>
      <c r="D14" s="28">
        <v>7.9975789068741596</v>
      </c>
      <c r="E14" s="28">
        <f t="shared" si="0"/>
        <v>0.60242109312584002</v>
      </c>
      <c r="F14" s="28">
        <f t="shared" si="1"/>
        <v>7.8459406999660413</v>
      </c>
      <c r="G14" s="51">
        <f t="shared" si="2"/>
        <v>7.0048964316958146E-2</v>
      </c>
      <c r="I14" s="23">
        <v>8</v>
      </c>
      <c r="J14" s="28">
        <v>3.17</v>
      </c>
      <c r="K14" s="28">
        <v>3.19561210275833</v>
      </c>
      <c r="L14" s="28">
        <f t="shared" si="3"/>
        <v>-2.5612102758330035E-2</v>
      </c>
      <c r="M14" s="28">
        <f t="shared" si="4"/>
        <v>3.1482145223246043</v>
      </c>
      <c r="N14" s="51">
        <f t="shared" si="5"/>
        <v>6.8723904338787462E-3</v>
      </c>
      <c r="P14" s="23">
        <v>8</v>
      </c>
      <c r="Q14" s="28">
        <v>1.45</v>
      </c>
      <c r="R14" s="28">
        <v>1.40628961130008</v>
      </c>
      <c r="S14" s="28">
        <f t="shared" si="6"/>
        <v>4.3710388699919944E-2</v>
      </c>
      <c r="T14" s="28">
        <f t="shared" si="7"/>
        <v>1.39628961130008</v>
      </c>
      <c r="U14" s="51">
        <f t="shared" si="8"/>
        <v>3.7041647379255138E-2</v>
      </c>
      <c r="W14" s="23">
        <v>8</v>
      </c>
      <c r="X14" s="28">
        <v>3.43</v>
      </c>
      <c r="Y14" s="28">
        <v>3.3311479233332801</v>
      </c>
      <c r="Z14" s="28">
        <f t="shared" si="9"/>
        <v>9.8852076666720023E-2</v>
      </c>
      <c r="AA14" s="28">
        <f t="shared" si="10"/>
        <v>3.3929550932054946</v>
      </c>
      <c r="AB14" s="51">
        <f t="shared" si="11"/>
        <v>1.0800264371575965E-2</v>
      </c>
      <c r="AD14" s="23">
        <v>8</v>
      </c>
      <c r="AE14" s="28">
        <v>1.56</v>
      </c>
      <c r="AF14" s="28">
        <v>1.5375710351995</v>
      </c>
      <c r="AG14" s="28">
        <f t="shared" si="12"/>
        <v>2.2428964800500051E-2</v>
      </c>
      <c r="AH14" s="28">
        <f t="shared" si="13"/>
        <v>1.562944912988999</v>
      </c>
      <c r="AI14" s="51">
        <f t="shared" si="14"/>
        <v>1.8877647365377593E-3</v>
      </c>
    </row>
    <row r="15" spans="1:35" x14ac:dyDescent="0.35">
      <c r="A15" s="23">
        <v>4</v>
      </c>
      <c r="B15" s="23">
        <v>15</v>
      </c>
      <c r="C15" s="28">
        <v>4.5999999999999996</v>
      </c>
      <c r="D15" s="28">
        <v>5.8089109159697196</v>
      </c>
      <c r="E15" s="28">
        <f t="shared" si="0"/>
        <v>-1.20891091596972</v>
      </c>
      <c r="F15" s="28">
        <f t="shared" si="1"/>
        <v>5.6572727090616013</v>
      </c>
      <c r="G15" s="51">
        <f t="shared" si="2"/>
        <v>0.26280672086298262</v>
      </c>
      <c r="I15" s="23">
        <v>15</v>
      </c>
      <c r="J15" s="28">
        <v>2.3199999999999998</v>
      </c>
      <c r="K15" s="28">
        <v>2.8618932476010199</v>
      </c>
      <c r="L15" s="28">
        <f t="shared" si="3"/>
        <v>-0.54189324760102009</v>
      </c>
      <c r="M15" s="28">
        <f t="shared" si="4"/>
        <v>2.8144956671672943</v>
      </c>
      <c r="N15" s="51">
        <f t="shared" si="5"/>
        <v>0.21314468412383383</v>
      </c>
      <c r="P15" s="23">
        <v>15</v>
      </c>
      <c r="Q15" s="28">
        <v>1.25</v>
      </c>
      <c r="R15" s="28">
        <v>1.41046479705765</v>
      </c>
      <c r="S15" s="28">
        <f t="shared" si="6"/>
        <v>-0.16046479705765004</v>
      </c>
      <c r="T15" s="28">
        <f t="shared" si="7"/>
        <v>1.40046479705765</v>
      </c>
      <c r="U15" s="51">
        <f t="shared" si="8"/>
        <v>0.12037183764612003</v>
      </c>
      <c r="W15" s="23">
        <v>15</v>
      </c>
      <c r="X15" s="28">
        <v>3.65</v>
      </c>
      <c r="Y15" s="28">
        <v>3.3183303891225</v>
      </c>
      <c r="Z15" s="28">
        <f t="shared" si="9"/>
        <v>0.33166961087749991</v>
      </c>
      <c r="AA15" s="28">
        <f t="shared" si="10"/>
        <v>3.3801375589947145</v>
      </c>
      <c r="AB15" s="51">
        <f t="shared" si="11"/>
        <v>7.3934915343913818E-2</v>
      </c>
      <c r="AD15" s="52">
        <v>15</v>
      </c>
      <c r="AE15" s="28">
        <v>1.61</v>
      </c>
      <c r="AF15" s="28">
        <v>1.6123623609636499</v>
      </c>
      <c r="AG15" s="28">
        <f t="shared" si="12"/>
        <v>-2.3623609636498344E-3</v>
      </c>
      <c r="AH15" s="28">
        <f t="shared" si="13"/>
        <v>1.6377362387531489</v>
      </c>
      <c r="AI15" s="53">
        <f t="shared" si="14"/>
        <v>1.722747748642782E-2</v>
      </c>
    </row>
    <row r="16" spans="1:35" x14ac:dyDescent="0.35">
      <c r="A16" s="23">
        <v>5</v>
      </c>
      <c r="B16" s="23">
        <v>1550</v>
      </c>
      <c r="C16" s="28">
        <v>7.8</v>
      </c>
      <c r="D16" s="28">
        <v>7.3308695380551798</v>
      </c>
      <c r="E16" s="28">
        <f t="shared" si="0"/>
        <v>0.46913046194482</v>
      </c>
      <c r="F16" s="28">
        <f t="shared" si="1"/>
        <v>7.1792313311470615</v>
      </c>
      <c r="G16" s="51">
        <f t="shared" si="2"/>
        <v>6.0144931018566668E-2</v>
      </c>
      <c r="I16" s="23">
        <v>1550</v>
      </c>
      <c r="J16" s="28">
        <v>3.35</v>
      </c>
      <c r="K16" s="28">
        <v>3.2008261851325601</v>
      </c>
      <c r="L16" s="28">
        <f t="shared" si="3"/>
        <v>0.14917381486743997</v>
      </c>
      <c r="M16" s="28">
        <f t="shared" si="4"/>
        <v>3.1534286046988345</v>
      </c>
      <c r="N16" s="51">
        <f t="shared" si="5"/>
        <v>5.867802844810914E-2</v>
      </c>
      <c r="P16" s="23">
        <v>1550</v>
      </c>
      <c r="Q16" s="28">
        <v>1.59</v>
      </c>
      <c r="R16" s="28">
        <v>1.2787018698052599</v>
      </c>
      <c r="S16" s="28">
        <f t="shared" si="6"/>
        <v>0.31129813019474017</v>
      </c>
      <c r="T16" s="28">
        <f t="shared" si="7"/>
        <v>1.2687018698052599</v>
      </c>
      <c r="U16" s="51">
        <f t="shared" si="8"/>
        <v>0.20207429571996238</v>
      </c>
      <c r="W16" s="23">
        <v>1550</v>
      </c>
      <c r="X16" s="28">
        <v>3.48</v>
      </c>
      <c r="Y16" s="28">
        <v>4.4040585596459003</v>
      </c>
      <c r="Z16" s="28">
        <f t="shared" si="9"/>
        <v>-0.92405855964590033</v>
      </c>
      <c r="AA16" s="28">
        <f t="shared" si="10"/>
        <v>4.4658657295181152</v>
      </c>
      <c r="AB16" s="51">
        <f t="shared" si="11"/>
        <v>0.28329474986152736</v>
      </c>
      <c r="AD16" s="52">
        <v>1550</v>
      </c>
      <c r="AE16" s="28">
        <v>1.46</v>
      </c>
      <c r="AF16" s="28">
        <v>1.6013205912744699</v>
      </c>
      <c r="AG16" s="28">
        <f t="shared" si="12"/>
        <v>-0.14132059127446994</v>
      </c>
      <c r="AH16" s="28">
        <f t="shared" si="13"/>
        <v>1.6266944690639689</v>
      </c>
      <c r="AI16" s="53">
        <f t="shared" si="14"/>
        <v>0.11417429387943076</v>
      </c>
    </row>
    <row r="17" spans="1:35" x14ac:dyDescent="0.35">
      <c r="A17" s="23">
        <v>6</v>
      </c>
      <c r="B17" s="23">
        <v>4548</v>
      </c>
      <c r="C17" s="28">
        <v>7.5</v>
      </c>
      <c r="D17" s="28">
        <v>7.27092310736814</v>
      </c>
      <c r="E17" s="28">
        <f t="shared" si="0"/>
        <v>0.22907689263186004</v>
      </c>
      <c r="F17" s="28">
        <f t="shared" si="1"/>
        <v>7.1192849004600216</v>
      </c>
      <c r="G17" s="51">
        <f t="shared" si="2"/>
        <v>3.0543585684248007E-2</v>
      </c>
      <c r="I17" s="23">
        <v>4548</v>
      </c>
      <c r="J17" s="28">
        <v>3.85</v>
      </c>
      <c r="K17" s="28">
        <v>3.2297298317241201</v>
      </c>
      <c r="L17" s="28">
        <f t="shared" si="3"/>
        <v>0.62027016827588</v>
      </c>
      <c r="M17" s="28">
        <f t="shared" si="4"/>
        <v>3.1823322512903944</v>
      </c>
      <c r="N17" s="51">
        <f t="shared" si="5"/>
        <v>0.17342019447002743</v>
      </c>
      <c r="P17" s="23">
        <v>4548</v>
      </c>
      <c r="Q17" s="28">
        <v>1.85</v>
      </c>
      <c r="R17" s="28">
        <v>1.5001386192914801</v>
      </c>
      <c r="S17" s="28">
        <f t="shared" si="6"/>
        <v>0.34986138070852002</v>
      </c>
      <c r="T17" s="28">
        <f t="shared" si="7"/>
        <v>1.4901386192914801</v>
      </c>
      <c r="U17" s="51">
        <f t="shared" si="8"/>
        <v>0.19451966524784867</v>
      </c>
      <c r="W17" s="23">
        <v>4548</v>
      </c>
      <c r="X17" s="28">
        <v>4.47</v>
      </c>
      <c r="Y17" s="28">
        <v>4.3501024255968499</v>
      </c>
      <c r="Z17" s="28">
        <f t="shared" si="9"/>
        <v>0.11989757440314985</v>
      </c>
      <c r="AA17" s="28">
        <f t="shared" si="10"/>
        <v>4.4119095954690648</v>
      </c>
      <c r="AB17" s="51">
        <f t="shared" si="11"/>
        <v>1.2995616226159945E-2</v>
      </c>
      <c r="AD17" s="52">
        <v>4548</v>
      </c>
      <c r="AE17" s="28">
        <v>1.75</v>
      </c>
      <c r="AF17" s="28">
        <v>1.4723950770566601</v>
      </c>
      <c r="AG17" s="28">
        <f t="shared" si="12"/>
        <v>0.27760492294333994</v>
      </c>
      <c r="AH17" s="28">
        <f t="shared" si="13"/>
        <v>1.497768954846159</v>
      </c>
      <c r="AI17" s="53">
        <f t="shared" si="14"/>
        <v>0.14413202580219484</v>
      </c>
    </row>
    <row r="18" spans="1:35" x14ac:dyDescent="0.35">
      <c r="A18" s="23">
        <v>7</v>
      </c>
      <c r="B18" s="52">
        <v>5144</v>
      </c>
      <c r="C18" s="28">
        <v>6.8</v>
      </c>
      <c r="D18" s="28">
        <v>6.5432853928506098</v>
      </c>
      <c r="E18" s="28">
        <f t="shared" si="0"/>
        <v>0.25671460714938998</v>
      </c>
      <c r="F18" s="28">
        <f t="shared" si="1"/>
        <v>6.3916471859424915</v>
      </c>
      <c r="G18" s="53">
        <f t="shared" si="2"/>
        <v>3.7752148110204407E-2</v>
      </c>
      <c r="I18" s="52">
        <v>5144</v>
      </c>
      <c r="J18" s="28">
        <v>2.11</v>
      </c>
      <c r="K18" s="28">
        <v>2.3267279232576801</v>
      </c>
      <c r="L18" s="28">
        <f t="shared" si="3"/>
        <v>-0.2167279232576802</v>
      </c>
      <c r="M18" s="28">
        <f t="shared" si="4"/>
        <v>2.2793303428239544</v>
      </c>
      <c r="N18" s="53">
        <f t="shared" si="5"/>
        <v>8.0251347309931068E-2</v>
      </c>
      <c r="P18" s="52">
        <v>5144</v>
      </c>
      <c r="Q18" s="28">
        <v>0.89</v>
      </c>
      <c r="R18" s="28">
        <v>0.85258589943656404</v>
      </c>
      <c r="S18" s="28">
        <f t="shared" si="6"/>
        <v>3.741410056343597E-2</v>
      </c>
      <c r="T18" s="28">
        <f t="shared" si="7"/>
        <v>0.84258589943656403</v>
      </c>
      <c r="U18" s="53">
        <f t="shared" si="8"/>
        <v>5.3274270295995484E-2</v>
      </c>
      <c r="W18" s="52">
        <v>5144</v>
      </c>
      <c r="X18" s="28">
        <v>2.79</v>
      </c>
      <c r="Y18" s="28">
        <v>3.1499729280927999</v>
      </c>
      <c r="Z18" s="28">
        <f t="shared" si="9"/>
        <v>-0.3599729280927999</v>
      </c>
      <c r="AA18" s="28">
        <f t="shared" si="10"/>
        <v>3.2117800979650144</v>
      </c>
      <c r="AB18" s="53">
        <f t="shared" si="11"/>
        <v>0.15117566235305174</v>
      </c>
      <c r="AD18" s="52">
        <v>5144</v>
      </c>
      <c r="AE18" s="28">
        <v>1.05</v>
      </c>
      <c r="AF18" s="28">
        <v>0.97614305682466695</v>
      </c>
      <c r="AG18" s="28">
        <f t="shared" si="12"/>
        <v>7.385694317533309E-2</v>
      </c>
      <c r="AH18" s="28">
        <f t="shared" si="13"/>
        <v>1.0015169346141659</v>
      </c>
      <c r="AI18" s="53">
        <f t="shared" si="14"/>
        <v>4.6174347986508699E-2</v>
      </c>
    </row>
    <row r="19" spans="1:35" x14ac:dyDescent="0.35">
      <c r="A19" s="23">
        <v>8</v>
      </c>
      <c r="B19" s="52">
        <v>5145</v>
      </c>
      <c r="C19" s="28">
        <v>11</v>
      </c>
      <c r="D19" s="28">
        <v>11.311304245994201</v>
      </c>
      <c r="E19" s="28">
        <f t="shared" si="0"/>
        <v>-0.31130424599420081</v>
      </c>
      <c r="F19" s="28">
        <f t="shared" si="1"/>
        <v>11.159666039086082</v>
      </c>
      <c r="G19" s="53">
        <f t="shared" si="2"/>
        <v>2.83003859994728E-2</v>
      </c>
      <c r="I19" s="52">
        <v>5145</v>
      </c>
      <c r="J19" s="28">
        <v>4.3899999999999997</v>
      </c>
      <c r="K19" s="28">
        <v>4.0743275835416197</v>
      </c>
      <c r="L19" s="28">
        <f t="shared" si="3"/>
        <v>0.31567241645837996</v>
      </c>
      <c r="M19" s="28">
        <f t="shared" si="4"/>
        <v>4.0269300031078945</v>
      </c>
      <c r="N19" s="53">
        <f t="shared" si="5"/>
        <v>8.2703871729408934E-2</v>
      </c>
      <c r="P19" s="52">
        <v>5145</v>
      </c>
      <c r="Q19" s="28">
        <v>1.98</v>
      </c>
      <c r="R19" s="28">
        <v>1.8888972283826999</v>
      </c>
      <c r="S19" s="28">
        <f t="shared" si="6"/>
        <v>9.1102771617300071E-2</v>
      </c>
      <c r="T19" s="28">
        <f t="shared" si="7"/>
        <v>1.8788972283826999</v>
      </c>
      <c r="U19" s="53">
        <f t="shared" si="8"/>
        <v>5.1062005867323276E-2</v>
      </c>
      <c r="W19" s="52">
        <v>5145</v>
      </c>
      <c r="X19" s="28">
        <v>5.0999999999999996</v>
      </c>
      <c r="Y19" s="28">
        <v>5.3826162145677898</v>
      </c>
      <c r="Z19" s="28">
        <f t="shared" si="9"/>
        <v>-0.28261621456779018</v>
      </c>
      <c r="AA19" s="28">
        <f t="shared" si="10"/>
        <v>5.4444233844400047</v>
      </c>
      <c r="AB19" s="53">
        <f t="shared" si="11"/>
        <v>6.7533996949020611E-2</v>
      </c>
      <c r="AD19" s="52">
        <v>5145</v>
      </c>
      <c r="AE19" s="28">
        <v>1.83</v>
      </c>
      <c r="AF19" s="28">
        <v>1.8778243791523599</v>
      </c>
      <c r="AG19" s="28">
        <f t="shared" si="12"/>
        <v>-4.7824379152359819E-2</v>
      </c>
      <c r="AH19" s="28">
        <f t="shared" si="13"/>
        <v>1.9031982569418588</v>
      </c>
      <c r="AI19" s="53">
        <f t="shared" si="14"/>
        <v>3.9999047509212446E-2</v>
      </c>
    </row>
    <row r="20" spans="1:35" x14ac:dyDescent="0.35">
      <c r="A20" s="23">
        <v>9</v>
      </c>
      <c r="B20" s="52">
        <v>5310</v>
      </c>
      <c r="C20" s="28">
        <v>7</v>
      </c>
      <c r="D20" s="28">
        <v>7.0658301140291799</v>
      </c>
      <c r="E20" s="28">
        <f t="shared" si="0"/>
        <v>-6.5830114029179931E-2</v>
      </c>
      <c r="F20" s="28">
        <f t="shared" si="1"/>
        <v>6.9141919071210616</v>
      </c>
      <c r="G20" s="53">
        <f t="shared" si="2"/>
        <v>9.4043020041685611E-3</v>
      </c>
      <c r="I20" s="52">
        <v>5310</v>
      </c>
      <c r="J20" s="28">
        <v>3.24</v>
      </c>
      <c r="K20" s="28">
        <v>3.2918733401678</v>
      </c>
      <c r="L20" s="28">
        <f t="shared" si="3"/>
        <v>-5.1873340167799764E-2</v>
      </c>
      <c r="M20" s="28">
        <f t="shared" si="4"/>
        <v>3.2444757597340743</v>
      </c>
      <c r="N20" s="53">
        <f t="shared" si="5"/>
        <v>1.3814073253315131E-3</v>
      </c>
      <c r="P20" s="52">
        <v>5310</v>
      </c>
      <c r="Q20" s="28">
        <v>1.44</v>
      </c>
      <c r="R20" s="28">
        <v>1.3097405379122999</v>
      </c>
      <c r="S20" s="28">
        <f t="shared" si="6"/>
        <v>0.13025946208770001</v>
      </c>
      <c r="T20" s="28">
        <f t="shared" si="7"/>
        <v>1.2997405379122999</v>
      </c>
      <c r="U20" s="53">
        <f t="shared" si="8"/>
        <v>9.7402404227569461E-2</v>
      </c>
      <c r="W20" s="52">
        <v>5310</v>
      </c>
      <c r="X20" s="28">
        <v>3.4</v>
      </c>
      <c r="Y20" s="28">
        <v>3.7459056670559798</v>
      </c>
      <c r="Z20" s="28">
        <f t="shared" si="9"/>
        <v>-0.34590566705597992</v>
      </c>
      <c r="AA20" s="28">
        <f t="shared" si="10"/>
        <v>3.8077128369281943</v>
      </c>
      <c r="AB20" s="53">
        <f t="shared" si="11"/>
        <v>0.11991554027299835</v>
      </c>
      <c r="AD20" s="52">
        <v>5310</v>
      </c>
      <c r="AE20" s="28">
        <v>1.28</v>
      </c>
      <c r="AF20" s="28">
        <v>1.38042871847578</v>
      </c>
      <c r="AG20" s="28">
        <f t="shared" si="12"/>
        <v>-0.10042871847577994</v>
      </c>
      <c r="AH20" s="28">
        <f t="shared" si="13"/>
        <v>1.4058025962652789</v>
      </c>
      <c r="AI20" s="53">
        <f t="shared" si="14"/>
        <v>9.8283278332249133E-2</v>
      </c>
    </row>
    <row r="21" spans="1:35" x14ac:dyDescent="0.35">
      <c r="A21" s="23">
        <v>10</v>
      </c>
      <c r="B21" s="52">
        <v>5313</v>
      </c>
      <c r="C21" s="28">
        <v>5</v>
      </c>
      <c r="D21" s="28">
        <v>4.6756838000927603</v>
      </c>
      <c r="E21" s="28">
        <f t="shared" si="0"/>
        <v>0.3243161999072397</v>
      </c>
      <c r="F21" s="28">
        <f t="shared" si="1"/>
        <v>4.5240455931846419</v>
      </c>
      <c r="G21" s="53">
        <f t="shared" si="2"/>
        <v>6.486323998144794E-2</v>
      </c>
      <c r="I21" s="52">
        <v>5313</v>
      </c>
      <c r="J21" s="28">
        <v>3.28</v>
      </c>
      <c r="K21" s="28">
        <v>3.31216644556388</v>
      </c>
      <c r="L21" s="28">
        <f t="shared" si="3"/>
        <v>-3.2166445563880153E-2</v>
      </c>
      <c r="M21" s="28">
        <f t="shared" si="4"/>
        <v>3.2647688651301543</v>
      </c>
      <c r="N21" s="53">
        <f t="shared" si="5"/>
        <v>4.6436386798309479E-3</v>
      </c>
      <c r="P21" s="52">
        <v>5313</v>
      </c>
      <c r="Q21" s="28">
        <v>1.44</v>
      </c>
      <c r="R21" s="28">
        <v>1.4033026858261699</v>
      </c>
      <c r="S21" s="28">
        <f t="shared" si="6"/>
        <v>3.6697314173830042E-2</v>
      </c>
      <c r="T21" s="28">
        <f t="shared" si="7"/>
        <v>1.3933026858261699</v>
      </c>
      <c r="U21" s="53">
        <f t="shared" si="8"/>
        <v>3.2428690398493096E-2</v>
      </c>
      <c r="W21" s="52">
        <v>5313</v>
      </c>
      <c r="X21" s="28">
        <v>4.41</v>
      </c>
      <c r="Y21" s="28">
        <v>4.3207106599658998</v>
      </c>
      <c r="Z21" s="28">
        <f t="shared" si="9"/>
        <v>8.9289340034100384E-2</v>
      </c>
      <c r="AA21" s="28">
        <f t="shared" si="10"/>
        <v>4.3825178298381147</v>
      </c>
      <c r="AB21" s="53">
        <f t="shared" si="11"/>
        <v>6.2317846172075912E-3</v>
      </c>
      <c r="AD21" s="52">
        <v>5313</v>
      </c>
      <c r="AE21" s="28">
        <v>1.57</v>
      </c>
      <c r="AF21" s="28">
        <v>1.50781485006939</v>
      </c>
      <c r="AG21" s="28">
        <f t="shared" si="12"/>
        <v>6.2185149930610084E-2</v>
      </c>
      <c r="AH21" s="28">
        <f t="shared" si="13"/>
        <v>1.5331887278588889</v>
      </c>
      <c r="AI21" s="53">
        <f t="shared" si="14"/>
        <v>2.3446670153573965E-2</v>
      </c>
    </row>
    <row r="22" spans="1:35" x14ac:dyDescent="0.35">
      <c r="A22" s="23">
        <v>11</v>
      </c>
      <c r="B22" s="52">
        <v>5315</v>
      </c>
      <c r="C22" s="28">
        <v>7</v>
      </c>
      <c r="D22" s="28">
        <v>7.1065641282529501</v>
      </c>
      <c r="E22" s="28">
        <f t="shared" si="0"/>
        <v>-0.10656412825295014</v>
      </c>
      <c r="F22" s="28">
        <f t="shared" si="1"/>
        <v>6.9549259213448318</v>
      </c>
      <c r="G22" s="53">
        <f t="shared" si="2"/>
        <v>1.5223446893278592E-2</v>
      </c>
      <c r="I22" s="52">
        <v>5315</v>
      </c>
      <c r="J22" s="28">
        <v>3.94</v>
      </c>
      <c r="K22" s="28">
        <v>3.7861305198652202</v>
      </c>
      <c r="L22" s="28">
        <f t="shared" si="3"/>
        <v>0.15386948013477975</v>
      </c>
      <c r="M22" s="28">
        <f t="shared" si="4"/>
        <v>3.7387329394314945</v>
      </c>
      <c r="N22" s="53">
        <f t="shared" si="5"/>
        <v>5.1083010296574978E-2</v>
      </c>
      <c r="P22" s="52">
        <v>5315</v>
      </c>
      <c r="Q22" s="28">
        <v>2.0099999999999998</v>
      </c>
      <c r="R22" s="28">
        <v>1.69140921814217</v>
      </c>
      <c r="S22" s="28">
        <f t="shared" si="6"/>
        <v>0.31859078185782974</v>
      </c>
      <c r="T22" s="28">
        <f t="shared" si="7"/>
        <v>1.68140921814217</v>
      </c>
      <c r="U22" s="53">
        <f t="shared" si="8"/>
        <v>0.16347800092429343</v>
      </c>
      <c r="W22" s="52">
        <v>5315</v>
      </c>
      <c r="X22" s="28">
        <v>4.54</v>
      </c>
      <c r="Y22" s="28">
        <v>4.2313521398241498</v>
      </c>
      <c r="Z22" s="28">
        <f t="shared" si="9"/>
        <v>0.30864786017585022</v>
      </c>
      <c r="AA22" s="28">
        <f t="shared" si="10"/>
        <v>4.2931593096963647</v>
      </c>
      <c r="AB22" s="53">
        <f t="shared" si="11"/>
        <v>5.4370196102122313E-2</v>
      </c>
      <c r="AD22" s="52">
        <v>5342</v>
      </c>
      <c r="AE22" s="28">
        <v>1.28</v>
      </c>
      <c r="AF22" s="28">
        <v>1.38951273817315</v>
      </c>
      <c r="AG22" s="28">
        <f t="shared" si="12"/>
        <v>-0.10951273817314999</v>
      </c>
      <c r="AH22" s="28">
        <f t="shared" si="13"/>
        <v>1.414886615962649</v>
      </c>
      <c r="AI22" s="53">
        <f t="shared" si="14"/>
        <v>0.10538016872081948</v>
      </c>
    </row>
    <row r="23" spans="1:35" x14ac:dyDescent="0.35">
      <c r="A23" s="23">
        <v>12</v>
      </c>
      <c r="B23" s="52">
        <v>5333</v>
      </c>
      <c r="C23" s="28">
        <v>7.3</v>
      </c>
      <c r="D23" s="28">
        <v>8.0276049571902899</v>
      </c>
      <c r="E23" s="28">
        <f t="shared" si="0"/>
        <v>-0.72760495719029006</v>
      </c>
      <c r="F23" s="28">
        <f t="shared" si="1"/>
        <v>7.8759667502821715</v>
      </c>
      <c r="G23" s="53">
        <f t="shared" si="2"/>
        <v>9.9671911943875355E-2</v>
      </c>
      <c r="I23" s="52">
        <v>5333</v>
      </c>
      <c r="J23" s="28">
        <v>4.33</v>
      </c>
      <c r="K23" s="28">
        <v>3.7176421305836</v>
      </c>
      <c r="L23" s="28">
        <f t="shared" si="3"/>
        <v>0.61235786941640002</v>
      </c>
      <c r="M23" s="28">
        <f t="shared" si="4"/>
        <v>3.6702445501498744</v>
      </c>
      <c r="N23" s="53">
        <f t="shared" si="5"/>
        <v>0.15236846416862024</v>
      </c>
      <c r="P23" s="52">
        <v>5333</v>
      </c>
      <c r="Q23" s="28">
        <v>1.55</v>
      </c>
      <c r="R23" s="28">
        <v>1.5757021309282</v>
      </c>
      <c r="S23" s="28">
        <f t="shared" si="6"/>
        <v>-2.5702130928199951E-2</v>
      </c>
      <c r="T23" s="28">
        <f t="shared" si="7"/>
        <v>1.5657021309282</v>
      </c>
      <c r="U23" s="53">
        <f t="shared" si="8"/>
        <v>1.0130407050451574E-2</v>
      </c>
      <c r="W23" s="52">
        <v>5333</v>
      </c>
      <c r="X23" s="28">
        <v>4.4400000000000004</v>
      </c>
      <c r="Y23" s="28">
        <v>4.2727700242004296</v>
      </c>
      <c r="Z23" s="28">
        <f t="shared" si="9"/>
        <v>0.16722997579957077</v>
      </c>
      <c r="AA23" s="28">
        <f t="shared" si="10"/>
        <v>4.3345771940726445</v>
      </c>
      <c r="AB23" s="53">
        <f t="shared" si="11"/>
        <v>2.3743875208863931E-2</v>
      </c>
      <c r="AD23" s="52">
        <v>5344</v>
      </c>
      <c r="AE23" s="28">
        <v>1.37</v>
      </c>
      <c r="AF23" s="28">
        <v>1.2805284022108401</v>
      </c>
      <c r="AG23" s="28">
        <f t="shared" si="12"/>
        <v>8.9471597789160029E-2</v>
      </c>
      <c r="AH23" s="28">
        <f t="shared" si="13"/>
        <v>1.305902280000339</v>
      </c>
      <c r="AI23" s="53">
        <f t="shared" si="14"/>
        <v>4.6786656934059173E-2</v>
      </c>
    </row>
    <row r="24" spans="1:35" x14ac:dyDescent="0.35">
      <c r="A24" s="23">
        <v>13</v>
      </c>
      <c r="B24" s="52">
        <v>5341</v>
      </c>
      <c r="C24" s="28">
        <v>6.3</v>
      </c>
      <c r="D24" s="28">
        <v>7.6085556650607797</v>
      </c>
      <c r="E24" s="28">
        <f t="shared" si="0"/>
        <v>-1.3085556650607799</v>
      </c>
      <c r="F24" s="28">
        <f t="shared" si="1"/>
        <v>7.4569174581526614</v>
      </c>
      <c r="G24" s="53">
        <f t="shared" si="2"/>
        <v>0.20770724842234603</v>
      </c>
      <c r="I24" s="52">
        <v>5342</v>
      </c>
      <c r="J24" s="28">
        <v>2.95</v>
      </c>
      <c r="K24" s="28">
        <v>3.4067858334802299</v>
      </c>
      <c r="L24" s="28">
        <f t="shared" si="3"/>
        <v>-0.45678583348022972</v>
      </c>
      <c r="M24" s="28">
        <f t="shared" si="4"/>
        <v>3.3593882530465042</v>
      </c>
      <c r="N24" s="53">
        <f t="shared" si="5"/>
        <v>0.13877567899881493</v>
      </c>
      <c r="P24" s="52">
        <v>5342</v>
      </c>
      <c r="Q24" s="28">
        <v>1.6</v>
      </c>
      <c r="R24" s="28">
        <v>1.48448661277784</v>
      </c>
      <c r="S24" s="28">
        <f t="shared" si="6"/>
        <v>0.11551338722216009</v>
      </c>
      <c r="T24" s="28">
        <f t="shared" si="7"/>
        <v>1.47448661277784</v>
      </c>
      <c r="U24" s="53">
        <f t="shared" si="8"/>
        <v>7.8445867013850062E-2</v>
      </c>
      <c r="W24" s="52">
        <v>5341</v>
      </c>
      <c r="X24" s="28">
        <v>4.53</v>
      </c>
      <c r="Y24" s="28">
        <v>5.6563955624180302</v>
      </c>
      <c r="Z24" s="28">
        <f t="shared" si="9"/>
        <v>-1.12639556241803</v>
      </c>
      <c r="AA24" s="28">
        <f t="shared" si="10"/>
        <v>5.7182027322902451</v>
      </c>
      <c r="AB24" s="53">
        <f t="shared" si="11"/>
        <v>0.26229640889409378</v>
      </c>
      <c r="AD24" s="52">
        <v>5347</v>
      </c>
      <c r="AE24" s="28">
        <v>1.76</v>
      </c>
      <c r="AF24" s="28">
        <v>1.8081353728132901</v>
      </c>
      <c r="AG24" s="28">
        <f t="shared" si="12"/>
        <v>-4.8135372813290056E-2</v>
      </c>
      <c r="AH24" s="28">
        <f t="shared" si="13"/>
        <v>1.833509250602789</v>
      </c>
      <c r="AI24" s="53">
        <f t="shared" si="14"/>
        <v>4.1766619660675575E-2</v>
      </c>
    </row>
    <row r="25" spans="1:35" x14ac:dyDescent="0.35">
      <c r="A25" s="23">
        <v>14</v>
      </c>
      <c r="B25" s="52">
        <v>5342</v>
      </c>
      <c r="C25" s="28">
        <v>8.9</v>
      </c>
      <c r="D25" s="28">
        <v>8.9122426420709502</v>
      </c>
      <c r="E25" s="28">
        <f t="shared" si="0"/>
        <v>-1.2242642070949827E-2</v>
      </c>
      <c r="F25" s="28">
        <f t="shared" si="1"/>
        <v>8.7606044351628309</v>
      </c>
      <c r="G25" s="53">
        <f t="shared" si="2"/>
        <v>1.3755777607808795E-3</v>
      </c>
      <c r="I25" s="52">
        <v>5344</v>
      </c>
      <c r="J25" s="28">
        <v>2.7</v>
      </c>
      <c r="K25" s="28">
        <v>3.1519533090681602</v>
      </c>
      <c r="L25" s="28">
        <f t="shared" si="3"/>
        <v>-0.45195330906816</v>
      </c>
      <c r="M25" s="28">
        <f t="shared" si="4"/>
        <v>3.1045557286344345</v>
      </c>
      <c r="N25" s="53">
        <f t="shared" si="5"/>
        <v>0.14983545504979048</v>
      </c>
      <c r="P25" s="52">
        <v>5344</v>
      </c>
      <c r="Q25" s="28">
        <v>1.45</v>
      </c>
      <c r="R25" s="28">
        <v>1.3497055315539199</v>
      </c>
      <c r="S25" s="28">
        <f t="shared" si="6"/>
        <v>0.10029446844608003</v>
      </c>
      <c r="T25" s="28">
        <f t="shared" si="7"/>
        <v>1.3397055315539199</v>
      </c>
      <c r="U25" s="53">
        <f t="shared" si="8"/>
        <v>7.6065150652468994E-2</v>
      </c>
      <c r="W25" s="52">
        <v>5342</v>
      </c>
      <c r="X25" s="28">
        <v>5.93</v>
      </c>
      <c r="Y25" s="28">
        <v>4.4473859003965499</v>
      </c>
      <c r="Z25" s="28">
        <f t="shared" si="9"/>
        <v>1.4826140996034498</v>
      </c>
      <c r="AA25" s="28">
        <f t="shared" si="10"/>
        <v>4.5091930702687648</v>
      </c>
      <c r="AB25" s="53">
        <f t="shared" si="11"/>
        <v>0.23959644683494688</v>
      </c>
      <c r="AD25" s="23">
        <v>5485</v>
      </c>
      <c r="AE25" s="28">
        <v>1.3</v>
      </c>
      <c r="AF25" s="28">
        <v>1.2785554198051601</v>
      </c>
      <c r="AG25" s="28">
        <f t="shared" si="12"/>
        <v>2.1444580194839968E-2</v>
      </c>
      <c r="AH25" s="28">
        <f t="shared" si="13"/>
        <v>1.303929297594659</v>
      </c>
      <c r="AI25" s="51">
        <f t="shared" si="14"/>
        <v>3.0225366112761436E-3</v>
      </c>
    </row>
    <row r="26" spans="1:35" x14ac:dyDescent="0.35">
      <c r="A26" s="23">
        <v>15</v>
      </c>
      <c r="B26" s="52">
        <v>5344</v>
      </c>
      <c r="C26" s="28">
        <v>5.8</v>
      </c>
      <c r="D26" s="28">
        <v>7.2254418028052099</v>
      </c>
      <c r="E26" s="28">
        <f t="shared" si="0"/>
        <v>-1.42544180280521</v>
      </c>
      <c r="F26" s="28">
        <f t="shared" si="1"/>
        <v>7.0738035958970915</v>
      </c>
      <c r="G26" s="53">
        <f t="shared" si="2"/>
        <v>0.2457658280698638</v>
      </c>
      <c r="I26" s="52">
        <v>5347</v>
      </c>
      <c r="J26" s="28">
        <v>3.74</v>
      </c>
      <c r="K26" s="28">
        <v>4.1884876827188204</v>
      </c>
      <c r="L26" s="28">
        <f t="shared" si="3"/>
        <v>-0.44848768271882022</v>
      </c>
      <c r="M26" s="28">
        <f t="shared" si="4"/>
        <v>4.1410901022850952</v>
      </c>
      <c r="N26" s="53">
        <f t="shared" si="5"/>
        <v>0.10724334285697727</v>
      </c>
      <c r="P26" s="52">
        <v>5347</v>
      </c>
      <c r="Q26" s="28">
        <v>2.1</v>
      </c>
      <c r="R26" s="28">
        <v>1.81600347880603</v>
      </c>
      <c r="S26" s="28">
        <f t="shared" si="6"/>
        <v>0.28399652119397012</v>
      </c>
      <c r="T26" s="28">
        <f t="shared" si="7"/>
        <v>1.80600347880603</v>
      </c>
      <c r="U26" s="53">
        <f t="shared" si="8"/>
        <v>0.13999834342570006</v>
      </c>
      <c r="W26" s="52">
        <v>5344</v>
      </c>
      <c r="X26" s="28">
        <v>5.21</v>
      </c>
      <c r="Y26" s="28">
        <v>3.92135538241563</v>
      </c>
      <c r="Z26" s="28">
        <f t="shared" si="9"/>
        <v>1.28864461758437</v>
      </c>
      <c r="AA26" s="28">
        <f t="shared" si="10"/>
        <v>3.9831625522878444</v>
      </c>
      <c r="AB26" s="53">
        <f t="shared" si="11"/>
        <v>0.235477437180836</v>
      </c>
      <c r="AD26" s="23">
        <v>5490</v>
      </c>
      <c r="AE26" s="28">
        <v>1.6</v>
      </c>
      <c r="AF26" s="28">
        <v>1.2601323574232099</v>
      </c>
      <c r="AG26" s="28">
        <f t="shared" si="12"/>
        <v>0.33986764257679014</v>
      </c>
      <c r="AH26" s="28">
        <f t="shared" si="13"/>
        <v>1.2855062352127089</v>
      </c>
      <c r="AI26" s="51">
        <f t="shared" si="14"/>
        <v>0.19655860299205699</v>
      </c>
    </row>
    <row r="27" spans="1:35" x14ac:dyDescent="0.35">
      <c r="A27" s="23">
        <v>16</v>
      </c>
      <c r="B27" s="52">
        <v>5347</v>
      </c>
      <c r="C27" s="28">
        <v>11</v>
      </c>
      <c r="D27" s="28">
        <v>11.1987328303127</v>
      </c>
      <c r="E27" s="28">
        <f t="shared" si="0"/>
        <v>-0.19873283031270006</v>
      </c>
      <c r="F27" s="28">
        <f t="shared" si="1"/>
        <v>11.047094623404581</v>
      </c>
      <c r="G27" s="53">
        <f t="shared" si="2"/>
        <v>1.8066620937518187E-2</v>
      </c>
      <c r="I27" s="52">
        <v>5485</v>
      </c>
      <c r="J27" s="28">
        <v>2.36</v>
      </c>
      <c r="K27" s="28">
        <v>2.9042740787761798</v>
      </c>
      <c r="L27" s="28">
        <f t="shared" si="3"/>
        <v>-0.54427407877617995</v>
      </c>
      <c r="M27" s="28">
        <f t="shared" si="4"/>
        <v>2.8568764983424542</v>
      </c>
      <c r="N27" s="53">
        <f t="shared" si="5"/>
        <v>0.2105408891281586</v>
      </c>
      <c r="P27" s="52">
        <v>5485</v>
      </c>
      <c r="Q27" s="28">
        <v>1.1000000000000001</v>
      </c>
      <c r="R27" s="28">
        <v>1.23033641753339</v>
      </c>
      <c r="S27" s="28">
        <f t="shared" si="6"/>
        <v>-0.13033641753338987</v>
      </c>
      <c r="T27" s="28">
        <f t="shared" si="7"/>
        <v>1.2203364175333899</v>
      </c>
      <c r="U27" s="53">
        <f t="shared" si="8"/>
        <v>0.10939674321217259</v>
      </c>
      <c r="W27" s="52">
        <v>5485</v>
      </c>
      <c r="X27" s="28">
        <v>4.4000000000000004</v>
      </c>
      <c r="Y27" s="28">
        <v>4.5181550642566197</v>
      </c>
      <c r="Z27" s="28">
        <f t="shared" si="9"/>
        <v>-0.11815506425661937</v>
      </c>
      <c r="AA27" s="28">
        <f t="shared" si="10"/>
        <v>4.5799622341288346</v>
      </c>
      <c r="AB27" s="53">
        <f t="shared" si="11"/>
        <v>4.0900507756553239E-2</v>
      </c>
      <c r="AD27" s="23">
        <v>54542</v>
      </c>
      <c r="AE27" s="28">
        <v>0.95</v>
      </c>
      <c r="AF27" s="28">
        <v>1.1230772522447501</v>
      </c>
      <c r="AG27" s="28">
        <f t="shared" si="12"/>
        <v>-0.17307725224475012</v>
      </c>
      <c r="AH27" s="28">
        <f t="shared" si="13"/>
        <v>1.148451130034249</v>
      </c>
      <c r="AI27" s="51">
        <f t="shared" si="14"/>
        <v>0.20889592635184115</v>
      </c>
    </row>
    <row r="28" spans="1:35" s="52" customFormat="1" x14ac:dyDescent="0.35">
      <c r="A28" s="23">
        <v>17</v>
      </c>
      <c r="B28" s="23">
        <v>5485</v>
      </c>
      <c r="C28" s="28">
        <v>5.0999999999999996</v>
      </c>
      <c r="D28" s="28">
        <v>4.0509392395051904</v>
      </c>
      <c r="E28" s="28">
        <f t="shared" si="0"/>
        <v>1.0490607604948092</v>
      </c>
      <c r="F28" s="28">
        <f t="shared" si="1"/>
        <v>3.8993010325970716</v>
      </c>
      <c r="G28" s="51">
        <f t="shared" si="2"/>
        <v>0.20569818833231554</v>
      </c>
      <c r="I28" s="23">
        <v>5490</v>
      </c>
      <c r="J28" s="28">
        <v>2.95</v>
      </c>
      <c r="K28" s="28">
        <v>2.6932494788063299</v>
      </c>
      <c r="L28" s="28">
        <f t="shared" si="3"/>
        <v>0.25675052119367026</v>
      </c>
      <c r="M28" s="28">
        <f t="shared" si="4"/>
        <v>2.6458518983726043</v>
      </c>
      <c r="N28" s="51">
        <f t="shared" si="5"/>
        <v>0.10310105139911725</v>
      </c>
      <c r="P28" s="23">
        <v>5490</v>
      </c>
      <c r="Q28" s="28">
        <v>0.88</v>
      </c>
      <c r="R28" s="28">
        <v>0.95735141834260795</v>
      </c>
      <c r="S28" s="28">
        <f t="shared" si="6"/>
        <v>-7.7351418342607947E-2</v>
      </c>
      <c r="T28" s="28">
        <f t="shared" si="7"/>
        <v>0.94735141834260794</v>
      </c>
      <c r="U28" s="51">
        <f t="shared" si="8"/>
        <v>7.6535702662054478E-2</v>
      </c>
      <c r="W28" s="23">
        <v>5490</v>
      </c>
      <c r="X28" s="28">
        <v>5.5</v>
      </c>
      <c r="Y28" s="28">
        <v>4.9320437778828898</v>
      </c>
      <c r="Z28" s="28">
        <f t="shared" si="9"/>
        <v>0.56795622211711017</v>
      </c>
      <c r="AA28" s="28">
        <f t="shared" si="10"/>
        <v>4.9938509477551047</v>
      </c>
      <c r="AB28" s="51">
        <f t="shared" si="11"/>
        <v>9.2027100408162768E-2</v>
      </c>
      <c r="AD28" s="23">
        <v>54552</v>
      </c>
      <c r="AE28" s="28">
        <v>0.65</v>
      </c>
      <c r="AF28" s="28">
        <v>0.77927834673391005</v>
      </c>
      <c r="AG28" s="28">
        <f t="shared" si="12"/>
        <v>-0.12927834673391003</v>
      </c>
      <c r="AH28" s="28">
        <f t="shared" si="13"/>
        <v>0.80465222452340901</v>
      </c>
      <c r="AI28" s="51">
        <f t="shared" si="14"/>
        <v>0.23792649926678305</v>
      </c>
    </row>
    <row r="29" spans="1:35" s="52" customFormat="1" x14ac:dyDescent="0.35">
      <c r="A29" s="23">
        <v>18</v>
      </c>
      <c r="B29" s="23">
        <v>5490</v>
      </c>
      <c r="C29" s="28">
        <v>4.8</v>
      </c>
      <c r="D29" s="28">
        <v>4.9120966226043699</v>
      </c>
      <c r="E29" s="28">
        <f t="shared" si="0"/>
        <v>-0.11209662260437003</v>
      </c>
      <c r="F29" s="28">
        <f t="shared" si="1"/>
        <v>4.7604584156962515</v>
      </c>
      <c r="G29" s="51">
        <f t="shared" si="2"/>
        <v>2.3353463042577093E-2</v>
      </c>
      <c r="I29" s="23">
        <v>54542</v>
      </c>
      <c r="J29" s="28">
        <v>1.665</v>
      </c>
      <c r="K29" s="28">
        <v>1.9400754687271</v>
      </c>
      <c r="L29" s="28">
        <f t="shared" si="3"/>
        <v>-0.27507546872709998</v>
      </c>
      <c r="M29" s="28">
        <f t="shared" si="4"/>
        <v>1.8926778882933746</v>
      </c>
      <c r="N29" s="51">
        <f t="shared" si="5"/>
        <v>0.1367434764524772</v>
      </c>
      <c r="P29" s="23">
        <v>54542</v>
      </c>
      <c r="Q29" s="28">
        <v>0.6</v>
      </c>
      <c r="R29" s="28">
        <v>0.67009231843804196</v>
      </c>
      <c r="S29" s="28">
        <f t="shared" si="6"/>
        <v>-7.0092318438041978E-2</v>
      </c>
      <c r="T29" s="28">
        <f t="shared" si="7"/>
        <v>0.66009231843804195</v>
      </c>
      <c r="U29" s="51">
        <f t="shared" si="8"/>
        <v>0.10015386406340329</v>
      </c>
      <c r="W29" s="23">
        <v>54542</v>
      </c>
      <c r="X29" s="28">
        <v>3.45</v>
      </c>
      <c r="Y29" s="28">
        <v>3.8249887241582701</v>
      </c>
      <c r="Z29" s="28">
        <f t="shared" si="9"/>
        <v>-0.37498872415826989</v>
      </c>
      <c r="AA29" s="28">
        <f t="shared" si="10"/>
        <v>3.8867958940304845</v>
      </c>
      <c r="AB29" s="51">
        <f t="shared" si="11"/>
        <v>0.12660750551608241</v>
      </c>
      <c r="AD29" s="23">
        <v>54901</v>
      </c>
      <c r="AE29" s="28">
        <v>1.2</v>
      </c>
      <c r="AF29" s="28">
        <v>0.92314877381842197</v>
      </c>
      <c r="AG29" s="28">
        <f t="shared" si="12"/>
        <v>0.27685122618157798</v>
      </c>
      <c r="AH29" s="28">
        <f t="shared" si="13"/>
        <v>0.94852265160792093</v>
      </c>
      <c r="AI29" s="51">
        <f t="shared" si="14"/>
        <v>0.20956445699339921</v>
      </c>
    </row>
    <row r="30" spans="1:35" s="52" customFormat="1" x14ac:dyDescent="0.35">
      <c r="A30" s="23">
        <v>19</v>
      </c>
      <c r="B30" s="23">
        <v>54542</v>
      </c>
      <c r="C30" s="28">
        <v>2.6</v>
      </c>
      <c r="D30" s="28">
        <v>2.5275174632164998</v>
      </c>
      <c r="E30" s="28">
        <f t="shared" si="0"/>
        <v>7.2482536783500251E-2</v>
      </c>
      <c r="F30" s="28">
        <f t="shared" si="1"/>
        <v>2.375879256308381</v>
      </c>
      <c r="G30" s="51">
        <f t="shared" si="2"/>
        <v>2.7877898762884712E-2</v>
      </c>
      <c r="I30" s="23">
        <v>54552</v>
      </c>
      <c r="J30" s="28">
        <v>1.1299999999999999</v>
      </c>
      <c r="K30" s="28">
        <v>1.38441023572542</v>
      </c>
      <c r="L30" s="28">
        <f t="shared" si="3"/>
        <v>-0.2544102357254201</v>
      </c>
      <c r="M30" s="28">
        <f t="shared" si="4"/>
        <v>1.3370126552916946</v>
      </c>
      <c r="N30" s="51">
        <f t="shared" si="5"/>
        <v>0.18319704008114573</v>
      </c>
      <c r="P30" s="23">
        <v>54552</v>
      </c>
      <c r="Q30" s="28">
        <v>0.45500000000000002</v>
      </c>
      <c r="R30" s="28">
        <v>0.59540201214043698</v>
      </c>
      <c r="S30" s="28">
        <f t="shared" si="6"/>
        <v>-0.14040201214043696</v>
      </c>
      <c r="T30" s="28">
        <f t="shared" si="7"/>
        <v>0.58540201214043697</v>
      </c>
      <c r="U30" s="51">
        <f t="shared" si="8"/>
        <v>0.28659782888008123</v>
      </c>
      <c r="W30" s="23">
        <v>54552</v>
      </c>
      <c r="X30" s="28">
        <v>1.8</v>
      </c>
      <c r="Y30" s="28">
        <v>1.5212434510155299</v>
      </c>
      <c r="Z30" s="28">
        <f t="shared" si="9"/>
        <v>0.27875654898447011</v>
      </c>
      <c r="AA30" s="28">
        <f t="shared" si="10"/>
        <v>1.5830506208877444</v>
      </c>
      <c r="AB30" s="51">
        <f t="shared" si="11"/>
        <v>0.12052743284014203</v>
      </c>
      <c r="AD30" s="23"/>
      <c r="AE30" s="23"/>
      <c r="AF30" s="23"/>
      <c r="AG30" s="23"/>
      <c r="AH30" s="23"/>
      <c r="AI30" s="51"/>
    </row>
    <row r="31" spans="1:35" s="52" customFormat="1" x14ac:dyDescent="0.35">
      <c r="A31" s="23">
        <v>20</v>
      </c>
      <c r="B31" s="23">
        <v>54552</v>
      </c>
      <c r="C31" s="28">
        <v>2.35</v>
      </c>
      <c r="D31" s="28">
        <v>2.46764190331203</v>
      </c>
      <c r="E31" s="28">
        <f t="shared" si="0"/>
        <v>-0.11764190331202995</v>
      </c>
      <c r="F31" s="28">
        <f t="shared" si="1"/>
        <v>2.3160036964039112</v>
      </c>
      <c r="G31" s="51">
        <f t="shared" si="2"/>
        <v>5.0060384388097852E-2</v>
      </c>
      <c r="I31" s="23">
        <v>54901</v>
      </c>
      <c r="J31" s="28">
        <v>2.2124999999999999</v>
      </c>
      <c r="K31" s="28">
        <v>1.94424183244358</v>
      </c>
      <c r="L31" s="28">
        <f t="shared" si="3"/>
        <v>0.26825816755641996</v>
      </c>
      <c r="M31" s="28">
        <f t="shared" si="4"/>
        <v>1.8968442520098545</v>
      </c>
      <c r="N31" s="51">
        <f t="shared" si="5"/>
        <v>0.14266926462831431</v>
      </c>
      <c r="P31" s="23">
        <v>54901</v>
      </c>
      <c r="Q31" s="28">
        <v>0.66</v>
      </c>
      <c r="R31" s="28">
        <v>0.738215832786004</v>
      </c>
      <c r="S31" s="28">
        <f t="shared" si="6"/>
        <v>-7.8215832786003969E-2</v>
      </c>
      <c r="T31" s="28">
        <f t="shared" si="7"/>
        <v>0.72821583278600399</v>
      </c>
      <c r="U31" s="51">
        <f t="shared" si="8"/>
        <v>0.1033573224030363</v>
      </c>
      <c r="W31" s="23">
        <v>54901</v>
      </c>
      <c r="X31" s="28">
        <v>4.125</v>
      </c>
      <c r="Y31" s="28">
        <v>4.2285072027957504</v>
      </c>
      <c r="Z31" s="28">
        <f t="shared" si="9"/>
        <v>-0.10350720279575043</v>
      </c>
      <c r="AA31" s="28">
        <f t="shared" si="10"/>
        <v>4.2903143726679653</v>
      </c>
      <c r="AB31" s="51">
        <f t="shared" si="11"/>
        <v>4.0076211555870385E-2</v>
      </c>
      <c r="AD31" s="23"/>
      <c r="AE31" s="23"/>
      <c r="AF31" s="23"/>
      <c r="AG31" s="23"/>
      <c r="AH31" s="23"/>
      <c r="AI31" s="51"/>
    </row>
    <row r="32" spans="1:35" s="52" customFormat="1" x14ac:dyDescent="0.35">
      <c r="A32" s="23">
        <v>21</v>
      </c>
      <c r="B32" s="23">
        <v>54901</v>
      </c>
      <c r="C32" s="28">
        <v>3.6</v>
      </c>
      <c r="D32" s="28">
        <v>3.7493184172821499</v>
      </c>
      <c r="E32" s="28">
        <f t="shared" si="0"/>
        <v>-0.14931841728214978</v>
      </c>
      <c r="F32" s="28">
        <f t="shared" si="1"/>
        <v>3.5976802103740311</v>
      </c>
      <c r="G32" s="51">
        <f t="shared" si="2"/>
        <v>4.1477338133930494E-2</v>
      </c>
      <c r="I32" s="23"/>
      <c r="J32" s="28"/>
      <c r="K32" s="28"/>
      <c r="L32" s="28"/>
      <c r="M32" s="28"/>
      <c r="N32" s="51"/>
      <c r="P32" s="23"/>
      <c r="Q32" s="28"/>
      <c r="R32" s="28"/>
      <c r="S32" s="28"/>
      <c r="T32" s="28"/>
      <c r="U32" s="51"/>
      <c r="W32" s="23"/>
      <c r="X32" s="28"/>
      <c r="Y32" s="28"/>
      <c r="Z32" s="28"/>
      <c r="AA32" s="28"/>
      <c r="AB32" s="51"/>
      <c r="AD32" s="23"/>
      <c r="AE32" s="23"/>
      <c r="AF32" s="23"/>
      <c r="AG32" s="23"/>
      <c r="AH32" s="23"/>
      <c r="AI32" s="23"/>
    </row>
    <row r="33" spans="1:35" s="52" customFormat="1" x14ac:dyDescent="0.35">
      <c r="A33" s="23"/>
      <c r="B33" s="23"/>
      <c r="C33" s="23"/>
      <c r="D33" s="23"/>
      <c r="E33" s="23"/>
      <c r="F33" s="23"/>
      <c r="G33" s="51"/>
      <c r="I33" s="23"/>
      <c r="J33" s="23"/>
      <c r="K33" s="23"/>
      <c r="L33" s="23"/>
      <c r="M33" s="23"/>
      <c r="N33" s="51"/>
      <c r="P33" s="23"/>
      <c r="Q33" s="23"/>
      <c r="R33" s="23"/>
      <c r="S33" s="23"/>
      <c r="T33" s="23"/>
      <c r="U33" s="51"/>
      <c r="W33" s="23"/>
      <c r="X33" s="23"/>
      <c r="Y33" s="23"/>
      <c r="Z33" s="23"/>
      <c r="AA33" s="23"/>
      <c r="AB33" s="51"/>
      <c r="AD33" s="23"/>
      <c r="AE33" s="23"/>
      <c r="AF33" s="23"/>
      <c r="AG33" s="23"/>
      <c r="AH33" s="23"/>
      <c r="AI33" s="23"/>
    </row>
    <row r="34" spans="1:35" s="52" customFormat="1" x14ac:dyDescent="0.35">
      <c r="A34" s="23"/>
      <c r="B34" s="23"/>
      <c r="C34" s="23"/>
      <c r="D34" s="23"/>
      <c r="E34" s="23"/>
      <c r="F34" s="23"/>
      <c r="G34" s="51"/>
      <c r="I34" s="23"/>
      <c r="J34" s="23"/>
      <c r="K34" s="23"/>
      <c r="L34" s="23"/>
      <c r="M34" s="23"/>
      <c r="N34" s="51"/>
      <c r="P34" s="23"/>
      <c r="Q34" s="23"/>
      <c r="R34" s="23"/>
      <c r="S34" s="23"/>
      <c r="T34" s="23"/>
      <c r="U34" s="51"/>
      <c r="W34" s="23"/>
      <c r="X34" s="23"/>
      <c r="Y34" s="23"/>
      <c r="Z34" s="23"/>
      <c r="AA34" s="23"/>
      <c r="AB34" s="51"/>
      <c r="AD34" s="23"/>
      <c r="AE34" s="23"/>
      <c r="AF34" s="23"/>
      <c r="AG34" s="23"/>
      <c r="AH34" s="23"/>
      <c r="AI34" s="23"/>
    </row>
    <row r="35" spans="1:35" s="52" customFormat="1" x14ac:dyDescent="0.35">
      <c r="A35" s="23"/>
      <c r="B35" s="23"/>
      <c r="C35" s="23"/>
      <c r="D35" s="23"/>
      <c r="E35" s="23"/>
      <c r="F35" s="23"/>
      <c r="G35" s="51"/>
      <c r="I35" s="23"/>
      <c r="J35" s="23"/>
      <c r="K35" s="23"/>
      <c r="L35" s="23"/>
      <c r="M35" s="23"/>
      <c r="N35" s="51"/>
      <c r="P35" s="23"/>
      <c r="Q35" s="23"/>
      <c r="R35" s="23"/>
      <c r="S35" s="23"/>
      <c r="T35" s="23"/>
      <c r="U35" s="51"/>
      <c r="W35" s="23"/>
      <c r="X35" s="23"/>
      <c r="Y35" s="23"/>
      <c r="Z35" s="23"/>
      <c r="AA35" s="23"/>
      <c r="AB35" s="51"/>
      <c r="AD35" s="23"/>
      <c r="AE35" s="23"/>
      <c r="AF35" s="23"/>
      <c r="AG35" s="23"/>
      <c r="AH35" s="23"/>
      <c r="AI35" s="23"/>
    </row>
    <row r="36" spans="1:35" s="52" customFormat="1" x14ac:dyDescent="0.35">
      <c r="A36" s="23"/>
      <c r="B36" s="23"/>
      <c r="C36" s="23"/>
      <c r="D36" s="23"/>
      <c r="E36" s="23"/>
      <c r="F36" s="23"/>
      <c r="G36" s="51"/>
      <c r="I36" s="23"/>
      <c r="J36" s="23"/>
      <c r="K36" s="23"/>
      <c r="L36" s="23"/>
      <c r="M36" s="23"/>
      <c r="N36" s="51"/>
      <c r="P36" s="23"/>
      <c r="Q36" s="23"/>
      <c r="R36" s="23"/>
      <c r="S36" s="23"/>
      <c r="T36" s="23"/>
      <c r="U36" s="51"/>
      <c r="W36" s="23"/>
      <c r="X36" s="23"/>
      <c r="Y36" s="23"/>
      <c r="Z36" s="23"/>
      <c r="AA36" s="23"/>
      <c r="AB36" s="51"/>
      <c r="AD36" s="23"/>
      <c r="AE36" s="23"/>
      <c r="AF36" s="23"/>
      <c r="AG36" s="23"/>
      <c r="AH36" s="23"/>
      <c r="AI36" s="23"/>
    </row>
    <row r="37" spans="1:35" s="52" customFormat="1" x14ac:dyDescent="0.35">
      <c r="A37" s="23"/>
      <c r="B37" s="23"/>
      <c r="C37" s="23"/>
      <c r="D37" s="23"/>
      <c r="E37" s="23"/>
      <c r="F37" s="23"/>
      <c r="G37" s="23"/>
      <c r="I37" s="23"/>
      <c r="J37" s="23"/>
      <c r="K37" s="23"/>
      <c r="L37" s="23"/>
      <c r="M37" s="23"/>
      <c r="N37" s="23"/>
      <c r="P37" s="23"/>
      <c r="Q37" s="23"/>
      <c r="R37" s="23"/>
      <c r="S37" s="23"/>
      <c r="T37" s="23"/>
      <c r="U37" s="23"/>
      <c r="W37" s="23"/>
      <c r="X37" s="23"/>
      <c r="Y37" s="23"/>
      <c r="Z37" s="23"/>
      <c r="AA37" s="23"/>
      <c r="AB37" s="51"/>
      <c r="AD37" s="23"/>
      <c r="AE37" s="23"/>
      <c r="AF37" s="23"/>
      <c r="AG37" s="23"/>
      <c r="AH37" s="23"/>
      <c r="AI37" s="23"/>
    </row>
    <row r="38" spans="1:35" x14ac:dyDescent="0.35">
      <c r="AB38" s="51"/>
    </row>
    <row r="39" spans="1:35" x14ac:dyDescent="0.35">
      <c r="AB39" s="51"/>
    </row>
    <row r="40" spans="1:35" x14ac:dyDescent="0.35">
      <c r="AB40" s="51"/>
    </row>
    <row r="41" spans="1:35" x14ac:dyDescent="0.35">
      <c r="AB41" s="51"/>
    </row>
    <row r="42" spans="1:35" x14ac:dyDescent="0.35">
      <c r="AB42" s="51"/>
    </row>
    <row r="43" spans="1:35" x14ac:dyDescent="0.35">
      <c r="AB43" s="51"/>
    </row>
    <row r="44" spans="1:35" x14ac:dyDescent="0.35">
      <c r="AB44" s="51"/>
    </row>
    <row r="45" spans="1:35" x14ac:dyDescent="0.35">
      <c r="AB45" s="51"/>
    </row>
    <row r="46" spans="1:35" x14ac:dyDescent="0.35">
      <c r="AB46" s="51"/>
    </row>
    <row r="47" spans="1:35" x14ac:dyDescent="0.35">
      <c r="AB47" s="51"/>
    </row>
    <row r="48" spans="1:35" x14ac:dyDescent="0.35">
      <c r="AB48" s="51"/>
    </row>
    <row r="49" spans="28:28" x14ac:dyDescent="0.35">
      <c r="AB49" s="51"/>
    </row>
    <row r="50" spans="28:28" x14ac:dyDescent="0.35">
      <c r="AB50" s="51"/>
    </row>
    <row r="51" spans="28:28" x14ac:dyDescent="0.35">
      <c r="AB51" s="51"/>
    </row>
    <row r="52" spans="28:28" x14ac:dyDescent="0.35">
      <c r="AB52" s="51"/>
    </row>
    <row r="53" spans="28:28" x14ac:dyDescent="0.35">
      <c r="AB53" s="51"/>
    </row>
    <row r="54" spans="28:28" x14ac:dyDescent="0.35">
      <c r="AB54" s="51"/>
    </row>
    <row r="55" spans="28:28" x14ac:dyDescent="0.35">
      <c r="AB55" s="51"/>
    </row>
    <row r="56" spans="28:28" x14ac:dyDescent="0.35">
      <c r="AB56" s="51"/>
    </row>
    <row r="57" spans="28:28" x14ac:dyDescent="0.35">
      <c r="AB57" s="51"/>
    </row>
    <row r="58" spans="28:28" x14ac:dyDescent="0.35">
      <c r="AB58" s="51"/>
    </row>
    <row r="59" spans="28:28" x14ac:dyDescent="0.35">
      <c r="AB59" s="51"/>
    </row>
    <row r="60" spans="28:28" x14ac:dyDescent="0.35">
      <c r="AB60" s="51"/>
    </row>
    <row r="61" spans="28:28" x14ac:dyDescent="0.35">
      <c r="AB61" s="51"/>
    </row>
  </sheetData>
  <mergeCells count="5">
    <mergeCell ref="B1:F1"/>
    <mergeCell ref="I1:M1"/>
    <mergeCell ref="P1:T1"/>
    <mergeCell ref="W1:AA1"/>
    <mergeCell ref="AD1:AH1"/>
  </mergeCells>
  <conditionalFormatting sqref="G12:G36 N33:N36 U33:U36 AB33:AB61 AI12:AI31">
    <cfRule type="cellIs" dxfId="3" priority="4" operator="greaterThan">
      <formula>0.35</formula>
    </cfRule>
  </conditionalFormatting>
  <conditionalFormatting sqref="N12:N32">
    <cfRule type="cellIs" dxfId="2" priority="3" operator="greaterThan">
      <formula>0.35</formula>
    </cfRule>
  </conditionalFormatting>
  <conditionalFormatting sqref="U12:U32">
    <cfRule type="cellIs" dxfId="1" priority="2" operator="greaterThan">
      <formula>0.35</formula>
    </cfRule>
  </conditionalFormatting>
  <conditionalFormatting sqref="AB12:AB32">
    <cfRule type="cellIs" dxfId="0" priority="1" operator="greaterThan">
      <formula>0.35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8"/>
  <sheetViews>
    <sheetView tabSelected="1" topLeftCell="A67" zoomScale="85" zoomScaleNormal="85" workbookViewId="0">
      <selection activeCell="B4" sqref="B4:B8"/>
    </sheetView>
  </sheetViews>
  <sheetFormatPr defaultRowHeight="14.5" x14ac:dyDescent="0.35"/>
  <cols>
    <col min="1" max="1" width="21.1796875" bestFit="1" customWidth="1"/>
    <col min="2" max="2" width="12.81640625" style="23" bestFit="1" customWidth="1"/>
    <col min="3" max="3" width="15.453125" style="28" customWidth="1"/>
    <col min="4" max="6" width="11.54296875" style="28" bestFit="1" customWidth="1"/>
    <col min="7" max="7" width="7.1796875" style="28" customWidth="1"/>
    <col min="8" max="8" width="9.1796875" style="28" customWidth="1"/>
    <col min="9" max="9" width="9.1796875" style="35" customWidth="1"/>
    <col min="10" max="10" width="10.453125" style="28" customWidth="1"/>
    <col min="11" max="11" width="10.54296875" style="23" customWidth="1"/>
    <col min="12" max="12" width="14.453125" style="23" customWidth="1"/>
    <col min="13" max="13" width="14.7265625" style="23" customWidth="1"/>
    <col min="14" max="16" width="9.1796875" style="23" customWidth="1"/>
    <col min="17" max="17" width="21.1796875" bestFit="1" customWidth="1"/>
    <col min="18" max="18" width="12.81640625" style="23" bestFit="1" customWidth="1"/>
    <col min="19" max="19" width="15.453125" style="28" customWidth="1"/>
    <col min="20" max="22" width="11.54296875" style="28" bestFit="1" customWidth="1"/>
    <col min="23" max="23" width="7.1796875" style="28" customWidth="1"/>
    <col min="24" max="24" width="9.1796875" style="23"/>
    <col min="26" max="26" width="9.1796875" style="23"/>
    <col min="27" max="27" width="9.1796875" style="23" customWidth="1"/>
    <col min="28" max="31" width="9.1796875" style="23"/>
    <col min="32" max="32" width="9.1796875" style="23" customWidth="1"/>
    <col min="34" max="34" width="9.1796875" style="23"/>
    <col min="35" max="35" width="9.1796875" style="23" customWidth="1"/>
    <col min="36" max="39" width="9.1796875" style="23"/>
    <col min="40" max="40" width="12.54296875" customWidth="1"/>
    <col min="42" max="42" width="9.1796875" style="23"/>
    <col min="43" max="43" width="9.1796875" style="23" customWidth="1"/>
    <col min="44" max="49" width="9.1796875" style="23"/>
  </cols>
  <sheetData>
    <row r="1" spans="1:50" x14ac:dyDescent="0.35">
      <c r="B1" s="58" t="s">
        <v>19</v>
      </c>
      <c r="C1" s="58"/>
      <c r="D1" s="58"/>
      <c r="E1" s="58"/>
      <c r="F1" s="58"/>
      <c r="G1" s="58"/>
      <c r="H1" s="23"/>
      <c r="I1"/>
      <c r="J1" s="23"/>
    </row>
    <row r="2" spans="1:50" x14ac:dyDescent="0.35">
      <c r="B2" s="58"/>
      <c r="C2" s="58"/>
      <c r="D2" s="58"/>
      <c r="E2" s="58"/>
      <c r="F2" s="58"/>
      <c r="G2" s="58"/>
      <c r="H2" s="23"/>
      <c r="I2"/>
      <c r="J2" s="23"/>
    </row>
    <row r="3" spans="1:50" x14ac:dyDescent="0.35">
      <c r="B3" s="25" t="s">
        <v>20</v>
      </c>
      <c r="C3" s="25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H3" s="23"/>
      <c r="I3"/>
      <c r="J3" s="23"/>
    </row>
    <row r="4" spans="1:50" ht="15" customHeight="1" x14ac:dyDescent="0.35">
      <c r="A4" s="58" t="s">
        <v>8</v>
      </c>
      <c r="B4" s="26">
        <v>189009</v>
      </c>
      <c r="C4" s="27">
        <f>CORREL(C42:C53,K42:K53)^2</f>
        <v>0.94761743621688355</v>
      </c>
      <c r="D4" s="27">
        <f>CORREL(D42:D53,L42:L53)^2</f>
        <v>0.91300001405023745</v>
      </c>
      <c r="E4" s="27">
        <f>CORREL(E42:E53,M42:M53)^2</f>
        <v>0.95710437239500679</v>
      </c>
      <c r="F4" s="27">
        <f>CORREL(F42:F53,N42:N53)^2</f>
        <v>0.93657813766187259</v>
      </c>
      <c r="G4" s="27">
        <f>CORREL(G42:G53,O42:O53)^2</f>
        <v>0.985360192715942</v>
      </c>
      <c r="H4" s="23"/>
      <c r="I4"/>
      <c r="J4" s="23"/>
    </row>
    <row r="5" spans="1:50" ht="15" customHeight="1" x14ac:dyDescent="0.35">
      <c r="A5" s="58"/>
      <c r="B5" s="26">
        <v>189013</v>
      </c>
      <c r="C5" s="27">
        <f>CORREL(C42:C53,S42:S53)^2</f>
        <v>0.99012246070585963</v>
      </c>
      <c r="D5" s="27">
        <f>CORREL(D42:D53,T42:T53)^2</f>
        <v>0.98950926053611366</v>
      </c>
      <c r="E5" s="27">
        <f>CORREL(E42:E53,U42:U53)^2</f>
        <v>0.99245314035085985</v>
      </c>
      <c r="F5" s="27">
        <f>CORREL(F42:F53,V42:V53)^2</f>
        <v>0.97905261067867333</v>
      </c>
      <c r="G5" s="27">
        <f>CORREL(G42:G53,W42:W53)^2</f>
        <v>0.99318136659834433</v>
      </c>
      <c r="H5" s="23"/>
      <c r="I5"/>
      <c r="J5" s="23"/>
    </row>
    <row r="6" spans="1:50" ht="15" customHeight="1" x14ac:dyDescent="0.35">
      <c r="A6" s="58"/>
      <c r="B6" s="26">
        <v>189017</v>
      </c>
      <c r="C6" s="27">
        <f>CORREL(C42:C53,AA42:AA53)^2</f>
        <v>0.95505568509228111</v>
      </c>
      <c r="D6" s="27">
        <f>CORREL(D42:D53,AB42:AB53)^2</f>
        <v>0.95245004137707157</v>
      </c>
      <c r="E6" s="27">
        <f>CORREL(E42:E53,AC42:AC53)^2</f>
        <v>0.94968261204684046</v>
      </c>
      <c r="F6" s="27">
        <f>CORREL(F42:F53,AD42:AD53)^2</f>
        <v>0.95293742670706272</v>
      </c>
      <c r="G6" s="27">
        <f>CORREL(G42:G53,AE42:AE53)^2</f>
        <v>0.98643894226217099</v>
      </c>
      <c r="H6" s="23"/>
      <c r="I6"/>
      <c r="J6" s="23"/>
    </row>
    <row r="7" spans="1:50" x14ac:dyDescent="0.35">
      <c r="A7" s="58"/>
      <c r="B7" s="26">
        <v>190006</v>
      </c>
      <c r="C7" s="27">
        <f>CORREL(C42:C53,AI42:AI53)^2</f>
        <v>0.97094053688857895</v>
      </c>
      <c r="D7" s="27">
        <f>CORREL(D42:D53,AJ42:AJ53)^2</f>
        <v>0.97440811485704015</v>
      </c>
      <c r="E7" s="27">
        <f>CORREL(E42:E53,AK42:AK53)^2</f>
        <v>0.99045725077554703</v>
      </c>
      <c r="F7" s="27">
        <f>CORREL(F42:F53,AL42:AL53)^2</f>
        <v>0.98714585730550497</v>
      </c>
      <c r="G7" s="27">
        <f>CORREL(G42:G53,AM42:AM53)^2</f>
        <v>0.98402738985506144</v>
      </c>
      <c r="H7" s="23"/>
      <c r="I7"/>
      <c r="J7" s="23"/>
    </row>
    <row r="8" spans="1:50" x14ac:dyDescent="0.35">
      <c r="A8" s="23"/>
      <c r="H8" s="23"/>
      <c r="I8"/>
      <c r="J8" s="23"/>
    </row>
    <row r="9" spans="1:50" x14ac:dyDescent="0.35">
      <c r="A9" s="59" t="s">
        <v>21</v>
      </c>
      <c r="B9" s="26">
        <f>B4</f>
        <v>189009</v>
      </c>
      <c r="C9" s="27">
        <f>AVERAGE(C42:C53)-AVERAGE(K42:K53)</f>
        <v>-0.18077425636937683</v>
      </c>
      <c r="D9" s="27">
        <f>AVERAGE(D42:D53)-AVERAGE(L42:L53)</f>
        <v>-3.226314142040998E-2</v>
      </c>
      <c r="E9" s="27">
        <f>AVERAGE(E42:E53)-AVERAGE(M42:M53)</f>
        <v>-3.8271317334281463E-2</v>
      </c>
      <c r="F9" s="27">
        <f>AVERAGE(F42:F53)-AVERAGE(N42:N53)</f>
        <v>-4.6535125060363836E-2</v>
      </c>
      <c r="G9" s="27">
        <f>AVERAGE(G42:G53)-AVERAGE(O42:O53)</f>
        <v>2.4156057967694711E-3</v>
      </c>
      <c r="H9" s="23"/>
      <c r="I9"/>
      <c r="J9" s="23"/>
    </row>
    <row r="10" spans="1:50" x14ac:dyDescent="0.35">
      <c r="A10" s="60"/>
      <c r="B10" s="26">
        <f>B5</f>
        <v>189013</v>
      </c>
      <c r="C10" s="27">
        <f>AVERAGE(C42:C53)-AVERAGE(S42:S53)</f>
        <v>8.3982757368737282E-2</v>
      </c>
      <c r="D10" s="27">
        <f>AVERAGE(D42:D53)-AVERAGE(T42:T53)</f>
        <v>-6.9503808182624915E-3</v>
      </c>
      <c r="E10" s="27">
        <f>AVERAGE(E42:E53)-AVERAGE(U42:U53)</f>
        <v>7.0096965735233496E-4</v>
      </c>
      <c r="F10" s="27">
        <f>AVERAGE(F42:F53)-AVERAGE(V42:V53)</f>
        <v>5.0139318412800726E-3</v>
      </c>
      <c r="G10" s="27">
        <f>AVERAGE(G42:G53)-AVERAGE(W42:W53)</f>
        <v>-4.9599780494282708E-3</v>
      </c>
      <c r="H10" s="23"/>
      <c r="I10"/>
      <c r="J10" s="23"/>
    </row>
    <row r="11" spans="1:50" x14ac:dyDescent="0.35">
      <c r="A11" s="60"/>
      <c r="B11" s="26">
        <f>B6</f>
        <v>189017</v>
      </c>
      <c r="C11" s="27">
        <f>AVERAGE(C42:C53)-AVERAGE(AA42:AA53)</f>
        <v>0.12104763503903371</v>
      </c>
      <c r="D11" s="27">
        <f>AVERAGE(D42:D53)-AVERAGE(AB42:AB53)</f>
        <v>0.11916676184011221</v>
      </c>
      <c r="E11" s="27">
        <f>AVERAGE(E42:E53)-AVERAGE(AC42:AC53)</f>
        <v>3.0689951842482799E-2</v>
      </c>
      <c r="F11" s="27">
        <f>AVERAGE(F42:F53)-AVERAGE(AD42:AD53)</f>
        <v>-0.18810076154594091</v>
      </c>
      <c r="G11" s="27">
        <f>AVERAGE(G42:G53)-AVERAGE(AE42:AE53)</f>
        <v>1.0448871288695649E-2</v>
      </c>
      <c r="H11" s="23"/>
      <c r="I11"/>
      <c r="J11" s="23"/>
    </row>
    <row r="12" spans="1:50" x14ac:dyDescent="0.35">
      <c r="A12" s="61"/>
      <c r="B12" s="26">
        <f>B7</f>
        <v>190006</v>
      </c>
      <c r="C12" s="27">
        <f>AVERAGE(C42:C53)-AVERAGE(AI42:AI53)</f>
        <v>8.7255057822114068E-2</v>
      </c>
      <c r="D12" s="27">
        <f>AVERAGE(D42:D53)-AVERAGE(AJ42:AJ53)</f>
        <v>0.10472731786646916</v>
      </c>
      <c r="E12" s="27">
        <f>AVERAGE(E42:E53)-AVERAGE(AK42:AK53)</f>
        <v>9.4541747651497587E-3</v>
      </c>
      <c r="F12" s="27">
        <f>AVERAGE(F42:F53)-AVERAGE(AL42:AL53)</f>
        <v>-4.8047644604263251E-2</v>
      </c>
      <c r="G12" s="27">
        <f>AVERAGE(G42:G53)-AVERAGE(AM42:AM53)</f>
        <v>5.2978022664755819E-3</v>
      </c>
      <c r="H12" s="23"/>
      <c r="I12"/>
      <c r="J12" s="23"/>
    </row>
    <row r="13" spans="1:50" s="23" customFormat="1" ht="15" hidden="1" customHeight="1" x14ac:dyDescent="0.35">
      <c r="B13" s="26"/>
      <c r="C13" s="27"/>
      <c r="D13" s="27"/>
      <c r="E13" s="27"/>
      <c r="F13" s="27"/>
      <c r="G13" s="27"/>
      <c r="I13"/>
      <c r="Y13"/>
      <c r="AG13"/>
      <c r="AN13"/>
      <c r="AO13"/>
      <c r="AX13"/>
    </row>
    <row r="14" spans="1:50" s="23" customFormat="1" ht="15" hidden="1" customHeight="1" x14ac:dyDescent="0.35">
      <c r="A14" s="59" t="s">
        <v>9</v>
      </c>
      <c r="B14" s="26">
        <f>B4</f>
        <v>189009</v>
      </c>
      <c r="C14" s="27">
        <f>SLOPE(K$55:K$66,C$42:C$53)</f>
        <v>0.84511001517870687</v>
      </c>
      <c r="D14" s="27">
        <f>SLOPE(L$55:L$66,D$42:D$53)</f>
        <v>0.92806825344426536</v>
      </c>
      <c r="E14" s="27">
        <f>SLOPE(M$55:M$66,E$42:E$53)</f>
        <v>0.93774939904216748</v>
      </c>
      <c r="F14" s="27">
        <f>SLOPE(N$55:N$66,F$42:F$53)</f>
        <v>1.0552871927558074</v>
      </c>
      <c r="G14" s="27">
        <f>SLOPE(O$55:O$66,G$42:G$53)</f>
        <v>1.0411361749058456</v>
      </c>
      <c r="I14"/>
      <c r="Y14"/>
      <c r="AG14"/>
      <c r="AN14"/>
      <c r="AO14"/>
      <c r="AX14"/>
    </row>
    <row r="15" spans="1:50" s="23" customFormat="1" ht="15" hidden="1" customHeight="1" x14ac:dyDescent="0.35">
      <c r="A15" s="60"/>
      <c r="B15" s="26">
        <f>B5</f>
        <v>189013</v>
      </c>
      <c r="C15" s="27">
        <f>SLOPE(S$55:S$66,C$42:C$53)</f>
        <v>1.0712630222845432</v>
      </c>
      <c r="D15" s="27">
        <f>SLOPE(T$55:T$66,D$42:D$53)</f>
        <v>1.1331781055968262</v>
      </c>
      <c r="E15" s="27">
        <f>SLOPE(U$55:U$66,E$42:E$53)</f>
        <v>1.082043653773157</v>
      </c>
      <c r="F15" s="27">
        <f>SLOPE(V$55:V$66,F$42:F$53)</f>
        <v>1.0520614662137662</v>
      </c>
      <c r="G15" s="27">
        <f>SLOPE(W$55:W$66,G$42:G$53)</f>
        <v>1.0256899247958424</v>
      </c>
      <c r="I15"/>
      <c r="Y15"/>
      <c r="AG15"/>
      <c r="AN15"/>
      <c r="AO15"/>
      <c r="AX15"/>
    </row>
    <row r="16" spans="1:50" s="23" customFormat="1" ht="15" hidden="1" customHeight="1" x14ac:dyDescent="0.35">
      <c r="A16" s="60"/>
      <c r="B16" s="26">
        <f>B6</f>
        <v>189017</v>
      </c>
      <c r="C16" s="27">
        <f>SLOPE(AA$55:AA$66,C$42:C$53)</f>
        <v>1.2277264485034407</v>
      </c>
      <c r="D16" s="27">
        <f>SLOPE(AB$55:AB$66,D$42:D$53)</f>
        <v>0.89251851881189848</v>
      </c>
      <c r="E16" s="27">
        <f>SLOPE(AC$55:AC$66,E$42:E$53)</f>
        <v>1.0119022851587847</v>
      </c>
      <c r="F16" s="27">
        <f>SLOPE(AD$55:AD$66,F$42:F$53)</f>
        <v>1.1626599756098113</v>
      </c>
      <c r="G16" s="27">
        <f>SLOPE(AE$55:AE$66,G$42:G$53)</f>
        <v>1.0758844683182269</v>
      </c>
      <c r="I16"/>
      <c r="Y16"/>
      <c r="AG16"/>
      <c r="AN16"/>
      <c r="AO16"/>
      <c r="AX16"/>
    </row>
    <row r="17" spans="1:50" s="23" customFormat="1" ht="15" hidden="1" customHeight="1" x14ac:dyDescent="0.35">
      <c r="A17" s="61"/>
      <c r="B17" s="26">
        <f>B7</f>
        <v>190006</v>
      </c>
      <c r="C17" s="27">
        <f>SLOPE(AI$55:AI$66,C$42:C$53)</f>
        <v>1.0217856317341294</v>
      </c>
      <c r="D17" s="27">
        <f>SLOPE(AJ$55:AJ$66,D$42:D$53)</f>
        <v>0.94528955117184033</v>
      </c>
      <c r="E17" s="27">
        <f>SLOPE(AK$55:AK$66,E$42:E$53)</f>
        <v>1.0005970846914494</v>
      </c>
      <c r="F17" s="27">
        <f>SLOPE(AL$55:AL$66,F$42:F$53)</f>
        <v>1.137707575663313</v>
      </c>
      <c r="G17" s="27">
        <f>SLOPE(AM$55:AM$66,G$42:G$53)</f>
        <v>0.94833835169736602</v>
      </c>
      <c r="I17"/>
      <c r="Y17"/>
      <c r="AG17"/>
      <c r="AN17"/>
      <c r="AO17"/>
      <c r="AX17"/>
    </row>
    <row r="18" spans="1:50" s="23" customFormat="1" x14ac:dyDescent="0.35">
      <c r="A18"/>
      <c r="B18" s="26"/>
      <c r="C18" s="27"/>
      <c r="D18" s="27"/>
      <c r="E18" s="27"/>
      <c r="F18" s="27"/>
      <c r="G18" s="27"/>
      <c r="I18"/>
      <c r="Y18"/>
      <c r="AG18"/>
      <c r="AN18"/>
      <c r="AO18"/>
      <c r="AX18"/>
    </row>
    <row r="19" spans="1:50" s="23" customFormat="1" x14ac:dyDescent="0.35">
      <c r="A19" s="59" t="s">
        <v>22</v>
      </c>
      <c r="B19" s="26">
        <f>B4</f>
        <v>189009</v>
      </c>
      <c r="C19" s="27">
        <f>SQRT(SUMXMY2(C42:C53,K42:K53)/COUNT(C42:C53))</f>
        <v>0.4784436608786492</v>
      </c>
      <c r="D19" s="27">
        <f>SQRT(SUMXMY2(D42:D53,L42:L53)/COUNT(D42:D53))</f>
        <v>0.18049237811700727</v>
      </c>
      <c r="E19" s="27">
        <f>SQRT(SUMXMY2(E42:E53,M42:M53)/COUNT(E42:E53))</f>
        <v>8.746923286803171E-2</v>
      </c>
      <c r="F19" s="27">
        <f>SQRT(SUMXMY2(F42:F53,N42:N53)/COUNT(F42:F53))</f>
        <v>0.3124438011252218</v>
      </c>
      <c r="G19" s="27">
        <f>SQRT(SUMXMY2(G42:G53,O42:O53)/COUNT(G42:G53))</f>
        <v>4.3889124497282689E-2</v>
      </c>
      <c r="I19"/>
      <c r="Y19"/>
      <c r="AG19"/>
      <c r="AN19"/>
      <c r="AO19"/>
      <c r="AX19"/>
    </row>
    <row r="20" spans="1:50" s="23" customFormat="1" x14ac:dyDescent="0.35">
      <c r="A20" s="60"/>
      <c r="B20" s="26">
        <f>B5</f>
        <v>189013</v>
      </c>
      <c r="C20" s="27">
        <f>SQRT(SUMXMY2(C42:C53,S42:S53)/COUNT(C42:C53))</f>
        <v>0.24113978588233867</v>
      </c>
      <c r="D20" s="27">
        <f>SQRT(SUMXMY2(D42:D53,T42:T53)/COUNT(D42:D53))</f>
        <v>0.1066774409345555</v>
      </c>
      <c r="E20" s="27">
        <f>SQRT(SUMXMY2(E42:E53,U42:U53)/COUNT(E42:E53))</f>
        <v>4.7273728469681343E-2</v>
      </c>
      <c r="F20" s="27">
        <f>SQRT(SUMXMY2(F42:F53,V42:V53)/COUNT(F42:F53))</f>
        <v>0.17924970119774514</v>
      </c>
      <c r="G20" s="27">
        <f>SQRT(SUMXMY2(G42:G53,W42:W53)/COUNT(G42:G53))</f>
        <v>2.9583772607888709E-2</v>
      </c>
      <c r="I20"/>
      <c r="Y20"/>
      <c r="AG20"/>
      <c r="AN20"/>
      <c r="AO20"/>
      <c r="AX20"/>
    </row>
    <row r="21" spans="1:50" s="23" customFormat="1" x14ac:dyDescent="0.35">
      <c r="A21" s="60"/>
      <c r="B21" s="26">
        <f>B6</f>
        <v>189017</v>
      </c>
      <c r="C21" s="27">
        <f>SQRT(SUMXMY2(C42:C53,AA42:AA53)/COUNT(C42:C53))</f>
        <v>0.62791773311551802</v>
      </c>
      <c r="D21" s="27">
        <f>SQRT(SUMXMY2(D42:D53,AB42:AB53)/COUNT(D42:D53))</f>
        <v>0.18097248822023423</v>
      </c>
      <c r="E21" s="27">
        <f>SQRT(SUMXMY2(E42:E53,AC42:AC53)/COUNT(E42:E53))</f>
        <v>9.3355871631944365E-2</v>
      </c>
      <c r="F21" s="27">
        <f>SQRT(SUMXMY2(F42:F53,AD42:AD53)/COUNT(F42:F53))</f>
        <v>0.38572168368722515</v>
      </c>
      <c r="G21" s="27">
        <f>SQRT(SUMXMY2(G42:G53,AE42:AE53)/COUNT(G42:G53))</f>
        <v>4.9474146029447545E-2</v>
      </c>
      <c r="I21"/>
      <c r="Y21"/>
      <c r="AG21"/>
      <c r="AN21"/>
      <c r="AO21"/>
      <c r="AX21"/>
    </row>
    <row r="22" spans="1:50" s="23" customFormat="1" x14ac:dyDescent="0.35">
      <c r="A22" s="61"/>
      <c r="B22" s="26">
        <f>B7</f>
        <v>190006</v>
      </c>
      <c r="C22" s="27">
        <f>SQRT(SUMXMY2(C42:C53,AI42:AI53)/COUNT(C42:C53))</f>
        <v>0.32509400267097532</v>
      </c>
      <c r="D22" s="27">
        <f>SQRT(SUMXMY2(D42:D53,AJ42:AJ53)/COUNT(D42:D53))</f>
        <v>0.14329230834291973</v>
      </c>
      <c r="E22" s="27">
        <f>SQRT(SUMXMY2(E42:E53,AK42:AK53)/COUNT(E42:E53))</f>
        <v>3.831417385305759E-2</v>
      </c>
      <c r="F22" s="27">
        <f>SQRT(SUMXMY2(F42:F53,AL42:AL53)/COUNT(F42:F53))</f>
        <v>0.2141986575484178</v>
      </c>
      <c r="G22" s="27">
        <f>SQRT(SUMXMY2(G42:G53,AM42:AM53)/COUNT(G42:G53))</f>
        <v>4.3489039319955548E-2</v>
      </c>
      <c r="I22"/>
      <c r="Y22"/>
      <c r="AG22"/>
      <c r="AN22"/>
      <c r="AO22"/>
      <c r="AX22"/>
    </row>
    <row r="23" spans="1:50" s="23" customFormat="1" x14ac:dyDescent="0.35">
      <c r="A23"/>
      <c r="B23" s="26"/>
      <c r="C23" s="27"/>
      <c r="D23" s="27"/>
      <c r="E23" s="27"/>
      <c r="F23" s="27"/>
      <c r="G23" s="27"/>
      <c r="I23"/>
      <c r="Y23"/>
      <c r="AG23"/>
      <c r="AN23"/>
      <c r="AO23"/>
      <c r="AX23"/>
    </row>
    <row r="24" spans="1:50" s="23" customFormat="1" x14ac:dyDescent="0.35">
      <c r="A24" s="59" t="s">
        <v>23</v>
      </c>
      <c r="B24" s="26">
        <f>B4</f>
        <v>189009</v>
      </c>
      <c r="C24" s="27">
        <f>SQRT(SUMXMY2(C42:C53,K55:K66)/COUNT(C42:C53))</f>
        <v>0.44297743155725577</v>
      </c>
      <c r="D24" s="27">
        <f>SQRT(SUMXMY2(D42:D53,L55:L66)/COUNT(D42:D53))</f>
        <v>0.17758543933560358</v>
      </c>
      <c r="E24" s="27">
        <f>SQRT(SUMXMY2(E42:E53,M55:M66)/COUNT(E42:E53))</f>
        <v>7.8652227991460572E-2</v>
      </c>
      <c r="F24" s="27">
        <f>SQRT(SUMXMY2(F42:F53,N55:N66)/COUNT(F42:F53))</f>
        <v>0.30895891473979786</v>
      </c>
      <c r="G24" s="27">
        <f>SQRT(SUMXMY2(G42:G53,O55:O66)/COUNT(G42:G53))</f>
        <v>4.3822598026276284E-2</v>
      </c>
      <c r="I24"/>
      <c r="Y24"/>
      <c r="AG24"/>
      <c r="AN24"/>
      <c r="AO24"/>
      <c r="AX24"/>
    </row>
    <row r="25" spans="1:50" s="23" customFormat="1" x14ac:dyDescent="0.35">
      <c r="A25" s="60"/>
      <c r="B25" s="26">
        <f>B5</f>
        <v>189013</v>
      </c>
      <c r="C25" s="27">
        <f>SQRT(SUMXMY2(C42:C53,S55:S66)/COUNT(C42:C53))</f>
        <v>0.22604267915622492</v>
      </c>
      <c r="D25" s="27">
        <f>SQRT(SUMXMY2(D42:D53,T55:T66)/COUNT(D42:D53))</f>
        <v>0.10645078022648168</v>
      </c>
      <c r="E25" s="27">
        <f>SQRT(SUMXMY2(E42:E53,U55:U66)/COUNT(E42:E53))</f>
        <v>4.726853123341819E-2</v>
      </c>
      <c r="F25" s="27">
        <f>SQRT(SUMXMY2(F42:F53,V55:V66)/COUNT(F42:F53))</f>
        <v>0.17917956319561656</v>
      </c>
      <c r="G25" s="27">
        <f>SQRT(SUMXMY2(G42:G53,W55:W66)/COUNT(G42:G53))</f>
        <v>2.9165017048931284E-2</v>
      </c>
      <c r="I25"/>
      <c r="Y25"/>
      <c r="AG25"/>
      <c r="AN25"/>
      <c r="AO25"/>
      <c r="AX25"/>
    </row>
    <row r="26" spans="1:50" s="23" customFormat="1" x14ac:dyDescent="0.35">
      <c r="A26" s="60"/>
      <c r="B26" s="26">
        <f>B6</f>
        <v>189017</v>
      </c>
      <c r="C26" s="27">
        <f>SQRT(SUMXMY2(C42:C53,AA55:AA66)/COUNT(C42:C53))</f>
        <v>0.61613971598362938</v>
      </c>
      <c r="D26" s="27">
        <f>SQRT(SUMXMY2(D42:D53,AB55:AB66)/COUNT(D42:D53))</f>
        <v>0.13619957549553863</v>
      </c>
      <c r="E26" s="27">
        <f>SQRT(SUMXMY2(E42:E53,AC55:AC66)/COUNT(E42:E53))</f>
        <v>8.8167145944882133E-2</v>
      </c>
      <c r="F26" s="27">
        <f>SQRT(SUMXMY2(F42:F53,AD55:AD66)/COUNT(F42:F53))</f>
        <v>0.33674815630132982</v>
      </c>
      <c r="G26" s="27">
        <f>SQRT(SUMXMY2(G42:G53,AE55:AE66)/COUNT(G42:G53))</f>
        <v>4.8358165950906119E-2</v>
      </c>
      <c r="I26"/>
      <c r="Y26"/>
      <c r="AG26"/>
      <c r="AN26"/>
      <c r="AO26"/>
      <c r="AX26"/>
    </row>
    <row r="27" spans="1:50" s="23" customFormat="1" x14ac:dyDescent="0.35">
      <c r="A27" s="61"/>
      <c r="B27" s="26">
        <f>B7</f>
        <v>190006</v>
      </c>
      <c r="C27" s="27">
        <f>SQRT(SUMXMY2(C42:C53,AI55:AI66)/COUNT(C42:C53))</f>
        <v>0.31316555598771684</v>
      </c>
      <c r="D27" s="27">
        <f>SQRT(SUMXMY2(D42:D53,AJ55:AJ66)/COUNT(D42:D53))</f>
        <v>9.780017649645667E-2</v>
      </c>
      <c r="E27" s="27">
        <f>SQRT(SUMXMY2(E42:E53,AK55:AK66)/COUNT(E42:E53))</f>
        <v>3.712942899577526E-2</v>
      </c>
      <c r="F27" s="27">
        <f>SQRT(SUMXMY2(F42:F53,AL55:AL66)/COUNT(F42:F53))</f>
        <v>0.20874024227140969</v>
      </c>
      <c r="G27" s="27">
        <f>SQRT(SUMXMY2(G42:G53,AM55:AM66)/COUNT(G42:G53))</f>
        <v>4.3165146033784796E-2</v>
      </c>
      <c r="I27"/>
      <c r="Y27"/>
      <c r="AG27"/>
      <c r="AN27"/>
      <c r="AO27"/>
      <c r="AX27"/>
    </row>
    <row r="28" spans="1:50" s="23" customFormat="1" x14ac:dyDescent="0.35">
      <c r="A28"/>
      <c r="B28" s="26"/>
      <c r="C28" s="27"/>
      <c r="D28" s="27"/>
      <c r="E28" s="27"/>
      <c r="F28" s="27"/>
      <c r="G28" s="27"/>
      <c r="I28"/>
      <c r="Y28"/>
      <c r="AG28"/>
      <c r="AN28"/>
      <c r="AO28"/>
      <c r="AX28"/>
    </row>
    <row r="29" spans="1:50" s="23" customFormat="1" x14ac:dyDescent="0.35">
      <c r="A29" s="59" t="s">
        <v>24</v>
      </c>
      <c r="B29" s="29" t="s">
        <v>25</v>
      </c>
      <c r="C29" s="27">
        <f>SQRT(SUMXMY2(C42:C53,AQ42:AQ53)/COUNT(C42:C53))</f>
        <v>0.15543606606609148</v>
      </c>
      <c r="D29" s="27">
        <f>SQRT(SUMXMY2(D42:D53,AR42:AR53)/COUNT(D42:D53))</f>
        <v>5.1646817376665669E-2</v>
      </c>
      <c r="E29" s="27">
        <f>SQRT(SUMXMY2(E42:E53,AS42:AS53)/COUNT(E42:E53))</f>
        <v>2.1333469872451955E-2</v>
      </c>
      <c r="F29" s="27">
        <f>SQRT(SUMXMY2(F42:F53,AT42:AT53)/COUNT(F42:F53))</f>
        <v>0.13330861117032228</v>
      </c>
      <c r="G29" s="27">
        <f>SQRT(SUMXMY2(G42:G53,AU42:AU53)/COUNT(G42:G53))</f>
        <v>1.3537027147115415E-2</v>
      </c>
      <c r="I29"/>
      <c r="Y29"/>
      <c r="AG29"/>
      <c r="AN29"/>
      <c r="AO29"/>
      <c r="AX29"/>
    </row>
    <row r="30" spans="1:50" x14ac:dyDescent="0.35">
      <c r="A30" s="60"/>
      <c r="B30" s="29">
        <f>B4</f>
        <v>189009</v>
      </c>
      <c r="C30" s="27">
        <f>SQRT(SUMXMY2(AQ42:AQ53,K42:K53)/COUNT(AQ42:AQ53))</f>
        <v>0.49071134516973125</v>
      </c>
      <c r="D30" s="27">
        <f>SQRT(SUMXMY2(AR42:AR53,L42:L53)/COUNT(AR42:AR53))</f>
        <v>0.17658003223725441</v>
      </c>
      <c r="E30" s="27">
        <f>SQRT(SUMXMY2(AS42:AS53,M42:M53)/COUNT(AS42:AS53))</f>
        <v>8.6246474286176295E-2</v>
      </c>
      <c r="F30" s="27">
        <f>SQRT(SUMXMY2(AT42:AT53,N42:N53)/COUNT(AT42:AT53))</f>
        <v>0.30508123889683819</v>
      </c>
      <c r="G30" s="27">
        <f>SQRT(SUMXMY2(AU42:AU53,O42:O53)/COUNT(AU42:AU53))</f>
        <v>4.0160977593817107E-2</v>
      </c>
      <c r="H30" s="23"/>
      <c r="I30"/>
      <c r="J30" s="23"/>
    </row>
    <row r="31" spans="1:50" x14ac:dyDescent="0.35">
      <c r="A31" s="60"/>
      <c r="B31" s="29">
        <f>B5</f>
        <v>189013</v>
      </c>
      <c r="C31" s="27">
        <f>SQRT(SUMXMY2(AQ42:AQ53,S42:S53)/COUNT(AQ42:AQ53))</f>
        <v>0.18322611916820722</v>
      </c>
      <c r="D31" s="27">
        <f>SQRT(SUMXMY2(AR42:AR53,T42:T53)/COUNT(AR42:AR53))</f>
        <v>0.11279673805082527</v>
      </c>
      <c r="E31" s="27">
        <f>SQRT(SUMXMY2(AS42:AS53,U42:U53)/COUNT(AS42:AS53))</f>
        <v>3.7744907636577417E-2</v>
      </c>
      <c r="F31" s="27">
        <f>SQRT(SUMXMY2(AT42:AT53,V42:V53)/COUNT(AT42:AT53))</f>
        <v>0.14256980698393246</v>
      </c>
      <c r="G31" s="27">
        <f>SQRT(SUMXMY2(AU42:AU53,W42:W53)/COUNT(AU42:AU53))</f>
        <v>2.455171333018577E-2</v>
      </c>
      <c r="H31" s="23"/>
      <c r="I31"/>
      <c r="J31" s="23"/>
    </row>
    <row r="32" spans="1:50" x14ac:dyDescent="0.35">
      <c r="A32" s="60"/>
      <c r="B32" s="29">
        <f>B6</f>
        <v>189017</v>
      </c>
      <c r="C32" s="27">
        <f>SQRT(SUMXMY2(AQ42:AQ53,AA42:AA53)/COUNT(AQ42:AQ53))</f>
        <v>0.55339270190867562</v>
      </c>
      <c r="D32" s="27">
        <f>SQRT(SUMXMY2(AR42:AR53,AB42:AB53)/COUNT(AR42:AR53))</f>
        <v>0.14912624228259266</v>
      </c>
      <c r="E32" s="27">
        <f>SQRT(SUMXMY2(AS42:AS53,AC42:AC53)/COUNT(AS42:AS53))</f>
        <v>8.6061840104872958E-2</v>
      </c>
      <c r="F32" s="27">
        <f>SQRT(SUMXMY2(AT42:AT53,AD42:AD53)/COUNT(AT42:AT53))</f>
        <v>0.27848761101081243</v>
      </c>
      <c r="G32" s="27">
        <f>SQRT(SUMXMY2(AU42:AU53,AE42:AE53)/COUNT(AU42:AU53))</f>
        <v>4.6219531730182957E-2</v>
      </c>
      <c r="H32" s="23"/>
      <c r="I32"/>
      <c r="J32" s="23"/>
    </row>
    <row r="33" spans="1:50" x14ac:dyDescent="0.35">
      <c r="A33" s="61"/>
      <c r="B33" s="29">
        <f>B7</f>
        <v>190006</v>
      </c>
      <c r="C33" s="27">
        <f>SQRT(SUMXMY2(AQ42:AQ53,AI42:AI53)/COUNT(AQ42:AQ53))</f>
        <v>0.2478878410688671</v>
      </c>
      <c r="D33" s="27">
        <f>SQRT(SUMXMY2(AR42:AR53,AJ42:AJ53)/COUNT(AR42:AR53))</f>
        <v>0.12286045571121995</v>
      </c>
      <c r="E33" s="27">
        <f>SQRT(SUMXMY2(AS42:AS53,AK42:AK53)/COUNT(AS42:AS53))</f>
        <v>3.26878030132048E-2</v>
      </c>
      <c r="F33" s="27">
        <f>SQRT(SUMXMY2(AT42:AT53,AL42:AL53)/COUNT(AT42:AT53))</f>
        <v>0.16380076267641253</v>
      </c>
      <c r="G33" s="27">
        <f>SQRT(SUMXMY2(AU42:AU53,AM42:AM53)/COUNT(AU42:AU53))</f>
        <v>4.1097445555441162E-2</v>
      </c>
      <c r="H33" s="23"/>
      <c r="I33"/>
      <c r="J33" s="23"/>
    </row>
    <row r="34" spans="1:50" x14ac:dyDescent="0.35">
      <c r="C34" s="23"/>
      <c r="D34" s="23"/>
      <c r="E34" s="23"/>
      <c r="F34" s="23"/>
      <c r="G34" s="23"/>
      <c r="H34" s="23"/>
      <c r="I34"/>
      <c r="J34" s="23"/>
      <c r="S34" s="23"/>
      <c r="T34" s="23"/>
      <c r="U34" s="23"/>
      <c r="V34" s="23"/>
      <c r="W34" s="23"/>
    </row>
    <row r="35" spans="1:50" x14ac:dyDescent="0.35">
      <c r="C35" s="23"/>
      <c r="D35" s="23"/>
      <c r="E35" s="23"/>
      <c r="F35" s="23"/>
      <c r="G35" s="23"/>
      <c r="H35" s="23"/>
      <c r="I35"/>
      <c r="J35" s="23"/>
      <c r="S35" s="23"/>
      <c r="T35" s="23"/>
      <c r="U35" s="23"/>
      <c r="V35" s="23"/>
      <c r="W35" s="23"/>
    </row>
    <row r="36" spans="1:50" x14ac:dyDescent="0.35">
      <c r="C36" s="23"/>
      <c r="D36" s="23"/>
      <c r="E36" s="23"/>
      <c r="F36" s="23"/>
      <c r="G36" s="23"/>
      <c r="H36" s="23"/>
      <c r="I36"/>
      <c r="J36" s="23"/>
      <c r="S36" s="23"/>
      <c r="T36" s="23"/>
      <c r="U36" s="23"/>
      <c r="V36" s="23"/>
      <c r="W36" s="23"/>
    </row>
    <row r="37" spans="1:50" s="34" customFormat="1" x14ac:dyDescent="0.35">
      <c r="A37" s="30" t="s">
        <v>28</v>
      </c>
      <c r="B37" s="31"/>
      <c r="C37" s="32"/>
      <c r="D37" s="32"/>
      <c r="E37" s="32"/>
      <c r="F37" s="32"/>
      <c r="G37" s="32"/>
      <c r="H37" s="32"/>
      <c r="I37" s="33"/>
      <c r="J37" s="32"/>
      <c r="K37" s="31"/>
      <c r="L37" s="31"/>
      <c r="M37" s="31"/>
      <c r="N37" s="31"/>
      <c r="O37" s="31"/>
      <c r="P37" s="31"/>
      <c r="R37" s="31"/>
      <c r="S37" s="32"/>
      <c r="T37" s="32"/>
      <c r="U37" s="32"/>
      <c r="V37" s="32"/>
      <c r="W37" s="32"/>
      <c r="X37" s="31"/>
      <c r="Z37" s="31"/>
      <c r="AA37" s="31"/>
      <c r="AB37" s="31"/>
      <c r="AC37" s="31"/>
      <c r="AD37" s="31"/>
      <c r="AE37" s="31"/>
      <c r="AF37" s="31"/>
      <c r="AH37" s="31"/>
      <c r="AI37" s="31"/>
      <c r="AJ37" s="31"/>
      <c r="AK37" s="31"/>
      <c r="AL37" s="31"/>
      <c r="AM37" s="31"/>
      <c r="AP37" s="31"/>
      <c r="AQ37" s="31"/>
      <c r="AR37" s="31"/>
      <c r="AS37" s="31"/>
      <c r="AT37" s="31"/>
      <c r="AU37" s="31"/>
      <c r="AV37" s="31"/>
      <c r="AW37" s="31"/>
    </row>
    <row r="38" spans="1:50" x14ac:dyDescent="0.35">
      <c r="H38" s="23"/>
      <c r="I38"/>
      <c r="J38" s="23"/>
    </row>
    <row r="39" spans="1:50" x14ac:dyDescent="0.35">
      <c r="C39" s="23"/>
      <c r="D39" s="23"/>
      <c r="E39" s="23"/>
      <c r="F39" s="23"/>
      <c r="G39" s="23"/>
      <c r="H39" s="23"/>
      <c r="J39" s="23"/>
      <c r="S39" s="23"/>
      <c r="T39" s="23"/>
      <c r="U39" s="23"/>
      <c r="V39" s="23"/>
      <c r="W39" s="23"/>
    </row>
    <row r="40" spans="1:50" x14ac:dyDescent="0.35">
      <c r="B40" s="64" t="s">
        <v>25</v>
      </c>
      <c r="C40" s="64"/>
      <c r="D40" s="64"/>
      <c r="E40" s="64"/>
      <c r="F40" s="64"/>
      <c r="G40" s="64"/>
      <c r="H40" s="23"/>
      <c r="J40" s="64">
        <v>189009</v>
      </c>
      <c r="K40" s="64"/>
      <c r="L40" s="64"/>
      <c r="M40" s="64"/>
      <c r="N40" s="64"/>
      <c r="O40" s="64"/>
      <c r="R40" s="64">
        <v>189013</v>
      </c>
      <c r="S40" s="64"/>
      <c r="T40" s="64"/>
      <c r="U40" s="64"/>
      <c r="V40" s="64"/>
      <c r="W40" s="64"/>
      <c r="Z40" s="64">
        <v>189017</v>
      </c>
      <c r="AA40" s="64"/>
      <c r="AB40" s="64"/>
      <c r="AC40" s="64"/>
      <c r="AD40" s="64"/>
      <c r="AE40" s="64"/>
      <c r="AF40" s="40"/>
      <c r="AH40" s="64">
        <v>190006</v>
      </c>
      <c r="AI40" s="64"/>
      <c r="AJ40" s="64"/>
      <c r="AK40" s="64"/>
      <c r="AL40" s="64"/>
      <c r="AM40" s="64"/>
      <c r="AP40" s="62" t="s">
        <v>26</v>
      </c>
      <c r="AQ40" s="63"/>
      <c r="AR40" s="63"/>
      <c r="AS40" s="63"/>
      <c r="AT40" s="63"/>
      <c r="AU40" s="63"/>
      <c r="AX40" s="23"/>
    </row>
    <row r="41" spans="1:50" x14ac:dyDescent="0.35">
      <c r="B41" s="26" t="s">
        <v>27</v>
      </c>
      <c r="C41" s="26" t="s">
        <v>1</v>
      </c>
      <c r="D41" s="26" t="s">
        <v>2</v>
      </c>
      <c r="E41" s="26" t="s">
        <v>3</v>
      </c>
      <c r="F41" s="26" t="s">
        <v>4</v>
      </c>
      <c r="G41" s="26" t="s">
        <v>5</v>
      </c>
      <c r="J41" s="26" t="s">
        <v>27</v>
      </c>
      <c r="K41" s="26" t="s">
        <v>1</v>
      </c>
      <c r="L41" s="26" t="s">
        <v>2</v>
      </c>
      <c r="M41" s="26" t="s">
        <v>3</v>
      </c>
      <c r="N41" s="26" t="s">
        <v>4</v>
      </c>
      <c r="O41" s="26" t="s">
        <v>5</v>
      </c>
      <c r="R41" s="26" t="s">
        <v>27</v>
      </c>
      <c r="S41" s="26" t="s">
        <v>1</v>
      </c>
      <c r="T41" s="26" t="s">
        <v>2</v>
      </c>
      <c r="U41" s="26" t="s">
        <v>3</v>
      </c>
      <c r="V41" s="26" t="s">
        <v>4</v>
      </c>
      <c r="W41" s="26" t="s">
        <v>5</v>
      </c>
      <c r="Z41" s="26" t="s">
        <v>27</v>
      </c>
      <c r="AA41" s="26" t="s">
        <v>1</v>
      </c>
      <c r="AB41" s="26" t="s">
        <v>2</v>
      </c>
      <c r="AC41" s="26" t="s">
        <v>3</v>
      </c>
      <c r="AD41" s="26" t="s">
        <v>4</v>
      </c>
      <c r="AE41" s="26" t="s">
        <v>5</v>
      </c>
      <c r="AF41" s="36"/>
      <c r="AH41" s="26" t="s">
        <v>27</v>
      </c>
      <c r="AI41" s="26" t="s">
        <v>1</v>
      </c>
      <c r="AJ41" s="26" t="s">
        <v>2</v>
      </c>
      <c r="AK41" s="26" t="s">
        <v>3</v>
      </c>
      <c r="AL41" s="26" t="s">
        <v>4</v>
      </c>
      <c r="AM41" s="26" t="s">
        <v>5</v>
      </c>
      <c r="AP41" s="26" t="s">
        <v>27</v>
      </c>
      <c r="AQ41" s="26" t="s">
        <v>1</v>
      </c>
      <c r="AR41" s="26" t="s">
        <v>2</v>
      </c>
      <c r="AS41" s="26" t="s">
        <v>3</v>
      </c>
      <c r="AT41" s="26" t="s">
        <v>4</v>
      </c>
      <c r="AU41" s="26" t="s">
        <v>5</v>
      </c>
      <c r="AV41" s="36"/>
      <c r="AW41" s="36"/>
    </row>
    <row r="42" spans="1:50" x14ac:dyDescent="0.35">
      <c r="B42" s="37">
        <v>1</v>
      </c>
      <c r="C42" s="27">
        <v>10.1288780222715</v>
      </c>
      <c r="D42" s="27">
        <v>4.3386070562597396</v>
      </c>
      <c r="E42" s="27">
        <v>2.0537973886994201</v>
      </c>
      <c r="F42" s="27">
        <v>4.1901515080265899</v>
      </c>
      <c r="G42" s="27">
        <v>1.9586573699516401</v>
      </c>
      <c r="J42" s="37">
        <v>1</v>
      </c>
      <c r="K42" s="27">
        <v>10.063150672725399</v>
      </c>
      <c r="L42" s="27">
        <v>4.1725078331136896</v>
      </c>
      <c r="M42" s="27">
        <v>1.9924146713027699</v>
      </c>
      <c r="N42" s="27">
        <v>3.9793883067623601</v>
      </c>
      <c r="O42" s="27">
        <v>1.89909047734234</v>
      </c>
      <c r="R42" s="37">
        <v>1</v>
      </c>
      <c r="S42" s="27">
        <v>10.2461580445786</v>
      </c>
      <c r="T42" s="27">
        <v>4.4298532877105901</v>
      </c>
      <c r="U42" s="27">
        <v>2.0966409503575099</v>
      </c>
      <c r="V42" s="27">
        <v>4.2291997672822399</v>
      </c>
      <c r="W42" s="27">
        <v>1.9942507001761001</v>
      </c>
      <c r="Z42" s="37">
        <v>1</v>
      </c>
      <c r="AA42" s="27">
        <v>10.646774353320399</v>
      </c>
      <c r="AB42" s="27">
        <v>4.1874910090208699</v>
      </c>
      <c r="AC42" s="27">
        <v>2.0905321489111701</v>
      </c>
      <c r="AD42" s="27">
        <v>4.50358022362113</v>
      </c>
      <c r="AE42" s="27">
        <v>1.95411835768012</v>
      </c>
      <c r="AH42" s="37">
        <v>1</v>
      </c>
      <c r="AI42" s="27">
        <v>9.9565616688241008</v>
      </c>
      <c r="AJ42" s="27">
        <v>4.1212096473857596</v>
      </c>
      <c r="AK42" s="27">
        <v>1.99909849732348</v>
      </c>
      <c r="AL42" s="27">
        <v>4.3305552296726004</v>
      </c>
      <c r="AM42" s="27">
        <v>1.9479606773772</v>
      </c>
      <c r="AP42" s="37">
        <f t="shared" ref="AP42:AP53" si="0">B42</f>
        <v>1</v>
      </c>
      <c r="AQ42" s="27">
        <f t="shared" ref="AQ42:AU53" si="1">AVERAGE(C42,K42,S42,AA42,AI42)</f>
        <v>10.208304552344</v>
      </c>
      <c r="AR42" s="27">
        <f t="shared" si="1"/>
        <v>4.2499337666981303</v>
      </c>
      <c r="AS42" s="27">
        <f t="shared" si="1"/>
        <v>2.0464967313188702</v>
      </c>
      <c r="AT42" s="27">
        <f t="shared" si="1"/>
        <v>4.2465750070729849</v>
      </c>
      <c r="AU42" s="27">
        <f t="shared" si="1"/>
        <v>1.9508155165054799</v>
      </c>
      <c r="AV42" s="38"/>
      <c r="AW42" s="38"/>
    </row>
    <row r="43" spans="1:50" x14ac:dyDescent="0.35">
      <c r="B43" s="37">
        <v>2</v>
      </c>
      <c r="C43" s="27">
        <v>7.064316199047</v>
      </c>
      <c r="D43" s="27">
        <v>2.9540000236636099</v>
      </c>
      <c r="E43" s="27">
        <v>1.18954690872936</v>
      </c>
      <c r="F43" s="27">
        <v>2.74561166645963</v>
      </c>
      <c r="G43" s="27">
        <v>1.33762249407206</v>
      </c>
      <c r="J43" s="37">
        <v>2</v>
      </c>
      <c r="K43" s="27">
        <v>8.2084511414609906</v>
      </c>
      <c r="L43" s="27">
        <v>2.86513904359136</v>
      </c>
      <c r="M43" s="27">
        <v>1.3156266813167801</v>
      </c>
      <c r="N43" s="27">
        <v>2.9204699691911902</v>
      </c>
      <c r="O43" s="27">
        <v>1.2750362248201901</v>
      </c>
      <c r="R43" s="37">
        <v>2</v>
      </c>
      <c r="S43" s="27">
        <v>7.1449573414706702</v>
      </c>
      <c r="T43" s="27">
        <v>2.8160702502972899</v>
      </c>
      <c r="U43" s="27">
        <v>1.16135162491609</v>
      </c>
      <c r="V43" s="27">
        <v>2.7158011596202298</v>
      </c>
      <c r="W43" s="27">
        <v>1.2938449490761901</v>
      </c>
      <c r="Z43" s="37">
        <v>2</v>
      </c>
      <c r="AA43" s="27">
        <v>6.4883795283348302</v>
      </c>
      <c r="AB43" s="27">
        <v>3.06662106738318</v>
      </c>
      <c r="AC43" s="27">
        <v>1.1386372293560101</v>
      </c>
      <c r="AD43" s="27">
        <v>2.7487626843163802</v>
      </c>
      <c r="AE43" s="27">
        <v>1.35176381696794</v>
      </c>
      <c r="AH43" s="37">
        <v>2</v>
      </c>
      <c r="AI43" s="27">
        <v>7.2389612638326799</v>
      </c>
      <c r="AJ43" s="27">
        <v>2.99179290899911</v>
      </c>
      <c r="AK43" s="27">
        <v>1.2356739559201699</v>
      </c>
      <c r="AL43" s="27">
        <v>2.8067038242257101</v>
      </c>
      <c r="AM43" s="27">
        <v>1.2380564921779</v>
      </c>
      <c r="AP43" s="37">
        <f t="shared" si="0"/>
        <v>2</v>
      </c>
      <c r="AQ43" s="27">
        <f t="shared" si="1"/>
        <v>7.2290130948292344</v>
      </c>
      <c r="AR43" s="27">
        <f t="shared" si="1"/>
        <v>2.93872465878691</v>
      </c>
      <c r="AS43" s="27">
        <f t="shared" si="1"/>
        <v>1.2081672800476819</v>
      </c>
      <c r="AT43" s="27">
        <f t="shared" si="1"/>
        <v>2.787469860762628</v>
      </c>
      <c r="AU43" s="27">
        <f t="shared" si="1"/>
        <v>1.2992647954228562</v>
      </c>
      <c r="AV43" s="38"/>
      <c r="AW43" s="38"/>
    </row>
    <row r="44" spans="1:50" x14ac:dyDescent="0.35">
      <c r="B44" s="37">
        <v>3</v>
      </c>
      <c r="C44" s="27">
        <v>8.8212490344883392</v>
      </c>
      <c r="D44" s="27">
        <v>3.0817454365407899</v>
      </c>
      <c r="E44" s="27">
        <v>1.5565674313764799</v>
      </c>
      <c r="F44" s="27">
        <v>3.2453837882965502</v>
      </c>
      <c r="G44" s="27">
        <v>1.6691492998461701</v>
      </c>
      <c r="J44" s="37">
        <v>3</v>
      </c>
      <c r="K44" s="27">
        <v>9.2830473111084899</v>
      </c>
      <c r="L44" s="27">
        <v>3.1837260019523401</v>
      </c>
      <c r="M44" s="27">
        <v>1.6475198982113599</v>
      </c>
      <c r="N44" s="27">
        <v>3.4043655553207901</v>
      </c>
      <c r="O44" s="27">
        <v>1.70914933608318</v>
      </c>
      <c r="R44" s="37">
        <v>3</v>
      </c>
      <c r="S44" s="27">
        <v>8.3926454232926506</v>
      </c>
      <c r="T44" s="27">
        <v>2.93463043440364</v>
      </c>
      <c r="U44" s="27">
        <v>1.4671931944550201</v>
      </c>
      <c r="V44" s="27">
        <v>2.9324566744530598</v>
      </c>
      <c r="W44" s="27">
        <v>1.6549401319843799</v>
      </c>
      <c r="Z44" s="37">
        <v>3</v>
      </c>
      <c r="AA44" s="27">
        <v>7.93215885840059</v>
      </c>
      <c r="AB44" s="27">
        <v>2.8756149271059299</v>
      </c>
      <c r="AC44" s="27">
        <v>1.3679126840223901</v>
      </c>
      <c r="AD44" s="27">
        <v>2.81468726509509</v>
      </c>
      <c r="AE44" s="27">
        <v>1.6113036933050999</v>
      </c>
      <c r="AH44" s="37">
        <v>3</v>
      </c>
      <c r="AI44" s="27">
        <v>8.79824846808547</v>
      </c>
      <c r="AJ44" s="27">
        <v>2.9490052600210102</v>
      </c>
      <c r="AK44" s="27">
        <v>1.53637827333832</v>
      </c>
      <c r="AL44" s="27">
        <v>3.2208133296915</v>
      </c>
      <c r="AM44" s="27">
        <v>1.7180883757738199</v>
      </c>
      <c r="AP44" s="37">
        <f t="shared" si="0"/>
        <v>3</v>
      </c>
      <c r="AQ44" s="27">
        <f t="shared" si="1"/>
        <v>8.6454698190751067</v>
      </c>
      <c r="AR44" s="27">
        <f t="shared" si="1"/>
        <v>3.0049444120047424</v>
      </c>
      <c r="AS44" s="27">
        <f t="shared" si="1"/>
        <v>1.515114296280714</v>
      </c>
      <c r="AT44" s="27">
        <f t="shared" si="1"/>
        <v>3.1235413225713984</v>
      </c>
      <c r="AU44" s="27">
        <f t="shared" si="1"/>
        <v>1.6725261673985301</v>
      </c>
      <c r="AV44" s="38"/>
      <c r="AW44" s="38"/>
    </row>
    <row r="45" spans="1:50" x14ac:dyDescent="0.35">
      <c r="B45" s="37">
        <v>4</v>
      </c>
      <c r="C45" s="27">
        <v>10.981454643329</v>
      </c>
      <c r="D45" s="27">
        <v>4.0009990971763196</v>
      </c>
      <c r="E45" s="27">
        <v>1.88129238955609</v>
      </c>
      <c r="F45" s="27">
        <v>4.3790705558952698</v>
      </c>
      <c r="G45" s="27">
        <v>1.5127220084502</v>
      </c>
      <c r="J45" s="37">
        <v>4</v>
      </c>
      <c r="K45" s="27">
        <v>10.5134439531694</v>
      </c>
      <c r="L45" s="27">
        <v>3.8248858974764399</v>
      </c>
      <c r="M45" s="27">
        <v>1.8177756206284801</v>
      </c>
      <c r="N45" s="27">
        <v>4.1033303166661099</v>
      </c>
      <c r="O45" s="27">
        <v>1.5008544763298299</v>
      </c>
      <c r="R45" s="37">
        <v>4</v>
      </c>
      <c r="S45" s="27">
        <v>10.990798498620199</v>
      </c>
      <c r="T45" s="27">
        <v>4.0327294426221201</v>
      </c>
      <c r="U45" s="27">
        <v>1.9088900095946599</v>
      </c>
      <c r="V45" s="27">
        <v>4.33014557919872</v>
      </c>
      <c r="W45" s="27">
        <v>1.5628133625912</v>
      </c>
      <c r="Z45" s="37">
        <v>4</v>
      </c>
      <c r="AA45" s="27">
        <v>11.417627663411199</v>
      </c>
      <c r="AB45" s="27">
        <v>3.8182479498142299</v>
      </c>
      <c r="AC45" s="27">
        <v>1.89627795226356</v>
      </c>
      <c r="AD45" s="27">
        <v>4.7944628565127996</v>
      </c>
      <c r="AE45" s="27">
        <v>1.5365078225939599</v>
      </c>
      <c r="AH45" s="37">
        <v>4</v>
      </c>
      <c r="AI45" s="27">
        <v>10.72054478504</v>
      </c>
      <c r="AJ45" s="27">
        <v>3.9555382891395201</v>
      </c>
      <c r="AK45" s="27">
        <v>1.84624973353179</v>
      </c>
      <c r="AL45" s="27">
        <v>4.6315949624991104</v>
      </c>
      <c r="AM45" s="27">
        <v>1.5034791732550801</v>
      </c>
      <c r="AP45" s="37">
        <f t="shared" si="0"/>
        <v>4</v>
      </c>
      <c r="AQ45" s="27">
        <f t="shared" si="1"/>
        <v>10.924773908713961</v>
      </c>
      <c r="AR45" s="27">
        <f t="shared" si="1"/>
        <v>3.9264801352457264</v>
      </c>
      <c r="AS45" s="27">
        <f t="shared" si="1"/>
        <v>1.8700971411149159</v>
      </c>
      <c r="AT45" s="27">
        <f t="shared" si="1"/>
        <v>4.4477208541544027</v>
      </c>
      <c r="AU45" s="27">
        <f t="shared" si="1"/>
        <v>1.5232753686440539</v>
      </c>
      <c r="AV45" s="38"/>
      <c r="AW45" s="38"/>
    </row>
    <row r="46" spans="1:50" x14ac:dyDescent="0.35">
      <c r="B46" s="37">
        <v>5</v>
      </c>
      <c r="C46" s="27">
        <v>11.855123790419899</v>
      </c>
      <c r="D46" s="27">
        <v>4.1439847208334699</v>
      </c>
      <c r="E46" s="27">
        <v>1.97472381987704</v>
      </c>
      <c r="F46" s="27">
        <v>4.7297358693195104</v>
      </c>
      <c r="G46" s="27">
        <v>1.51467148988893</v>
      </c>
      <c r="J46" s="37">
        <v>5</v>
      </c>
      <c r="K46" s="27">
        <v>11.6022993410336</v>
      </c>
      <c r="L46" s="27">
        <v>3.9765692536929702</v>
      </c>
      <c r="M46" s="27">
        <v>1.89495445880974</v>
      </c>
      <c r="N46" s="27">
        <v>4.33726221893785</v>
      </c>
      <c r="O46" s="27">
        <v>1.4542719932372401</v>
      </c>
      <c r="R46" s="37">
        <v>5</v>
      </c>
      <c r="S46" s="27">
        <v>12.0305286440468</v>
      </c>
      <c r="T46" s="27">
        <v>4.2300236710964203</v>
      </c>
      <c r="U46" s="27">
        <v>2.01662707852195</v>
      </c>
      <c r="V46" s="27">
        <v>4.8057929534210704</v>
      </c>
      <c r="W46" s="27">
        <v>1.56366296042205</v>
      </c>
      <c r="Z46" s="37">
        <v>5</v>
      </c>
      <c r="AA46" s="27">
        <v>12.1355286522429</v>
      </c>
      <c r="AB46" s="27">
        <v>3.8919084816220599</v>
      </c>
      <c r="AC46" s="27">
        <v>1.96290051647805</v>
      </c>
      <c r="AD46" s="27">
        <v>5.1344999545905097</v>
      </c>
      <c r="AE46" s="27">
        <v>1.54251104669646</v>
      </c>
      <c r="AH46" s="37">
        <v>5</v>
      </c>
      <c r="AI46" s="27">
        <v>11.6810880024345</v>
      </c>
      <c r="AJ46" s="27">
        <v>4.2073302959046996</v>
      </c>
      <c r="AK46" s="27">
        <v>1.95697018102913</v>
      </c>
      <c r="AL46" s="27">
        <v>5.09663253271885</v>
      </c>
      <c r="AM46" s="27">
        <v>1.5084461908315201</v>
      </c>
      <c r="AP46" s="37">
        <f t="shared" si="0"/>
        <v>5</v>
      </c>
      <c r="AQ46" s="27">
        <f t="shared" si="1"/>
        <v>11.860913686035541</v>
      </c>
      <c r="AR46" s="27">
        <f t="shared" si="1"/>
        <v>4.0899632846299241</v>
      </c>
      <c r="AS46" s="27">
        <f t="shared" si="1"/>
        <v>1.9612352109431821</v>
      </c>
      <c r="AT46" s="27">
        <f t="shared" si="1"/>
        <v>4.8207847057975588</v>
      </c>
      <c r="AU46" s="27">
        <f t="shared" si="1"/>
        <v>1.5167127362152399</v>
      </c>
      <c r="AV46" s="38"/>
      <c r="AW46" s="38"/>
    </row>
    <row r="47" spans="1:50" x14ac:dyDescent="0.35">
      <c r="B47" s="37">
        <v>7</v>
      </c>
      <c r="C47" s="27">
        <v>9.2063985071420102</v>
      </c>
      <c r="D47" s="27">
        <v>3.3512046183917201</v>
      </c>
      <c r="E47" s="27">
        <v>1.50252458753633</v>
      </c>
      <c r="F47" s="27">
        <v>1.9955456143217101</v>
      </c>
      <c r="G47" s="27">
        <v>1.53779437931496</v>
      </c>
      <c r="J47" s="37">
        <v>7</v>
      </c>
      <c r="K47" s="27">
        <v>9.6020195516920399</v>
      </c>
      <c r="L47" s="27">
        <v>3.3026936249632102</v>
      </c>
      <c r="M47" s="27">
        <v>1.55551591333145</v>
      </c>
      <c r="N47" s="27">
        <v>1.7846012572857599</v>
      </c>
      <c r="O47" s="27">
        <v>1.5507230542491099</v>
      </c>
      <c r="R47" s="37">
        <v>7</v>
      </c>
      <c r="S47" s="27">
        <v>8.9266071385905104</v>
      </c>
      <c r="T47" s="27">
        <v>3.44477057297747</v>
      </c>
      <c r="U47" s="27">
        <v>1.49377495664472</v>
      </c>
      <c r="V47" s="27">
        <v>2.22208927532431</v>
      </c>
      <c r="W47" s="27">
        <v>1.54018013723633</v>
      </c>
      <c r="Z47" s="37">
        <v>7</v>
      </c>
      <c r="AA47" s="27">
        <v>9.3213870807930199</v>
      </c>
      <c r="AB47" s="27">
        <v>3.4508319321773699</v>
      </c>
      <c r="AC47" s="27">
        <v>1.4738907276944999</v>
      </c>
      <c r="AD47" s="27">
        <v>2.5442516452081398</v>
      </c>
      <c r="AE47" s="27">
        <v>1.56799838469235</v>
      </c>
      <c r="AH47" s="37">
        <v>7</v>
      </c>
      <c r="AI47" s="27">
        <v>9.7025612788720501</v>
      </c>
      <c r="AJ47" s="27">
        <v>3.21374080399635</v>
      </c>
      <c r="AK47" s="27">
        <v>1.5349239921973801</v>
      </c>
      <c r="AL47" s="27">
        <v>1.8033767983951301</v>
      </c>
      <c r="AM47" s="27">
        <v>1.53760428894796</v>
      </c>
      <c r="AP47" s="37">
        <f t="shared" ref="AP47" si="2">B47</f>
        <v>7</v>
      </c>
      <c r="AQ47" s="27">
        <f t="shared" ref="AQ47" si="3">AVERAGE(C47,K47,S47,AA47,AI47)</f>
        <v>9.3517947114179272</v>
      </c>
      <c r="AR47" s="27">
        <f t="shared" ref="AR47" si="4">AVERAGE(D47,L47,T47,AB47,AJ47)</f>
        <v>3.3526483105012246</v>
      </c>
      <c r="AS47" s="27">
        <f t="shared" ref="AS47" si="5">AVERAGE(E47,M47,U47,AC47,AK47)</f>
        <v>1.5121260354808761</v>
      </c>
      <c r="AT47" s="27">
        <f t="shared" ref="AT47" si="6">AVERAGE(F47,N47,V47,AD47,AL47)</f>
        <v>2.0699729181070099</v>
      </c>
      <c r="AU47" s="27">
        <f t="shared" ref="AU47" si="7">AVERAGE(G47,O47,W47,AE47,AM47)</f>
        <v>1.5468600488881419</v>
      </c>
      <c r="AV47" s="38"/>
      <c r="AW47" s="38"/>
    </row>
    <row r="48" spans="1:50" x14ac:dyDescent="0.35">
      <c r="B48" s="37">
        <v>8</v>
      </c>
      <c r="C48" s="27">
        <v>8.5817094027306506</v>
      </c>
      <c r="D48" s="27">
        <v>3.84308726285321</v>
      </c>
      <c r="E48" s="27">
        <v>1.85984740326482</v>
      </c>
      <c r="F48" s="27">
        <v>3.4978947945492802</v>
      </c>
      <c r="G48" s="27">
        <v>1.9286670372796499</v>
      </c>
      <c r="J48" s="37">
        <v>8</v>
      </c>
      <c r="K48" s="27">
        <v>8.8219486392611799</v>
      </c>
      <c r="L48" s="27">
        <v>3.9350071177933201</v>
      </c>
      <c r="M48" s="27">
        <v>1.9167515267527599</v>
      </c>
      <c r="N48" s="27">
        <v>3.5744584711194101</v>
      </c>
      <c r="O48" s="27">
        <v>1.93695224842018</v>
      </c>
      <c r="R48" s="37">
        <v>8</v>
      </c>
      <c r="S48" s="27">
        <v>8.3621880425233499</v>
      </c>
      <c r="T48" s="27">
        <v>3.8516178820048901</v>
      </c>
      <c r="U48" s="27">
        <v>1.86685632002323</v>
      </c>
      <c r="V48" s="27">
        <v>3.5549993433149898</v>
      </c>
      <c r="W48" s="27">
        <v>1.9382465180793</v>
      </c>
      <c r="Z48" s="37">
        <v>8</v>
      </c>
      <c r="AA48" s="27">
        <v>8.6004182620280094</v>
      </c>
      <c r="AB48" s="27">
        <v>3.7019874611120498</v>
      </c>
      <c r="AC48" s="27">
        <v>1.88537078132753</v>
      </c>
      <c r="AD48" s="27">
        <v>3.6704013750166702</v>
      </c>
      <c r="AE48" s="27">
        <v>1.96251522446358</v>
      </c>
      <c r="AH48" s="37">
        <v>8</v>
      </c>
      <c r="AI48" s="27">
        <v>8.5117294473130798</v>
      </c>
      <c r="AJ48" s="27">
        <v>3.5938137555432799</v>
      </c>
      <c r="AK48" s="27">
        <v>1.83994771658161</v>
      </c>
      <c r="AL48" s="27">
        <v>3.3515807895468699</v>
      </c>
      <c r="AM48" s="27">
        <v>1.8959832501512599</v>
      </c>
      <c r="AP48" s="37">
        <f t="shared" si="0"/>
        <v>8</v>
      </c>
      <c r="AQ48" s="27">
        <f t="shared" si="1"/>
        <v>8.5755987587712532</v>
      </c>
      <c r="AR48" s="27">
        <f t="shared" si="1"/>
        <v>3.7851026958613501</v>
      </c>
      <c r="AS48" s="27">
        <f t="shared" si="1"/>
        <v>1.87375474958999</v>
      </c>
      <c r="AT48" s="27">
        <f t="shared" si="1"/>
        <v>3.5298669547094441</v>
      </c>
      <c r="AU48" s="27">
        <f t="shared" si="1"/>
        <v>1.9324728556787938</v>
      </c>
      <c r="AV48" s="38"/>
      <c r="AW48" s="38"/>
    </row>
    <row r="49" spans="2:49" x14ac:dyDescent="0.35">
      <c r="B49" s="37">
        <v>9</v>
      </c>
      <c r="C49" s="27">
        <v>11.2424546832864</v>
      </c>
      <c r="D49" s="27">
        <v>3.9807450060468499</v>
      </c>
      <c r="E49" s="27">
        <v>2.1507489502166699</v>
      </c>
      <c r="F49" s="27">
        <v>5.1056768791412797</v>
      </c>
      <c r="G49" s="27">
        <v>1.8158905330806701</v>
      </c>
      <c r="J49" s="37">
        <v>9</v>
      </c>
      <c r="K49" s="27">
        <v>10.9092747567516</v>
      </c>
      <c r="L49" s="27">
        <v>4.0753628259546399</v>
      </c>
      <c r="M49" s="27">
        <v>2.14473990282838</v>
      </c>
      <c r="N49" s="27">
        <v>5.27178124457759</v>
      </c>
      <c r="O49" s="27">
        <v>1.83832524594991</v>
      </c>
      <c r="R49" s="37">
        <v>9</v>
      </c>
      <c r="S49" s="27">
        <v>11.3896949160104</v>
      </c>
      <c r="T49" s="27">
        <v>4.09324575836182</v>
      </c>
      <c r="U49" s="27">
        <v>2.1922012397174799</v>
      </c>
      <c r="V49" s="27">
        <v>5.2936875537736698</v>
      </c>
      <c r="W49" s="27">
        <v>1.8132249975821499</v>
      </c>
      <c r="Z49" s="37">
        <v>9</v>
      </c>
      <c r="AA49" s="27">
        <v>11.821492883331601</v>
      </c>
      <c r="AB49" s="27">
        <v>3.75710197838599</v>
      </c>
      <c r="AC49" s="27">
        <v>2.1942558794903402</v>
      </c>
      <c r="AD49" s="27">
        <v>5.6486181148664496</v>
      </c>
      <c r="AE49" s="27">
        <v>1.77641561750341</v>
      </c>
      <c r="AH49" s="37">
        <v>9</v>
      </c>
      <c r="AI49" s="27">
        <v>11.013309964282399</v>
      </c>
      <c r="AJ49" s="27">
        <v>3.8185573943511102</v>
      </c>
      <c r="AK49" s="27">
        <v>2.1297364915611801</v>
      </c>
      <c r="AL49" s="27">
        <v>5.3544788536858903</v>
      </c>
      <c r="AM49" s="27">
        <v>1.83676806732584</v>
      </c>
      <c r="AP49" s="37">
        <f t="shared" si="0"/>
        <v>9</v>
      </c>
      <c r="AQ49" s="27">
        <f t="shared" si="1"/>
        <v>11.27524544073248</v>
      </c>
      <c r="AR49" s="27">
        <f t="shared" si="1"/>
        <v>3.9450025926200825</v>
      </c>
      <c r="AS49" s="27">
        <f t="shared" si="1"/>
        <v>2.1623364927628104</v>
      </c>
      <c r="AT49" s="27">
        <f t="shared" si="1"/>
        <v>5.3348485292089762</v>
      </c>
      <c r="AU49" s="27">
        <f t="shared" si="1"/>
        <v>1.8161248922883959</v>
      </c>
      <c r="AV49" s="38"/>
      <c r="AW49" s="38"/>
    </row>
    <row r="50" spans="2:49" x14ac:dyDescent="0.35">
      <c r="B50" s="37">
        <v>10</v>
      </c>
      <c r="C50" s="27">
        <v>7.9187189832926101</v>
      </c>
      <c r="D50" s="27">
        <v>3.4055597590788902</v>
      </c>
      <c r="E50" s="27">
        <v>1.86426785876298</v>
      </c>
      <c r="F50" s="27">
        <v>4.8304916982373802</v>
      </c>
      <c r="G50" s="27">
        <v>1.8054758778598801</v>
      </c>
      <c r="J50" s="37">
        <v>10</v>
      </c>
      <c r="K50" s="27">
        <v>8.6070645160413495</v>
      </c>
      <c r="L50" s="27">
        <v>3.85061317772879</v>
      </c>
      <c r="M50" s="27">
        <v>2.0514126798295602</v>
      </c>
      <c r="N50" s="27">
        <v>5.6802983319477098</v>
      </c>
      <c r="O50" s="27">
        <v>1.89932719553657</v>
      </c>
      <c r="R50" s="37">
        <v>10</v>
      </c>
      <c r="S50" s="27">
        <v>7.6187250132159399</v>
      </c>
      <c r="T50" s="27">
        <v>3.4210876326996802</v>
      </c>
      <c r="U50" s="27">
        <v>1.8209952692726801</v>
      </c>
      <c r="V50" s="27">
        <v>4.6275175687440999</v>
      </c>
      <c r="W50" s="27">
        <v>1.77170565348855</v>
      </c>
      <c r="Z50" s="37">
        <v>10</v>
      </c>
      <c r="AA50" s="27">
        <v>6.4133120361851104</v>
      </c>
      <c r="AB50" s="27">
        <v>3.0583968816565501</v>
      </c>
      <c r="AC50" s="27">
        <v>1.6180518654801599</v>
      </c>
      <c r="AD50" s="27">
        <v>4.8839372572959503</v>
      </c>
      <c r="AE50" s="27">
        <v>1.76007320403692</v>
      </c>
      <c r="AH50" s="37">
        <v>10</v>
      </c>
      <c r="AI50" s="27">
        <v>7.9921089191753696</v>
      </c>
      <c r="AJ50" s="27">
        <v>3.2211167945170902</v>
      </c>
      <c r="AK50" s="27">
        <v>1.9001409391411901</v>
      </c>
      <c r="AL50" s="27">
        <v>4.9515554387591001</v>
      </c>
      <c r="AM50" s="27">
        <v>1.7679017267211099</v>
      </c>
      <c r="AP50" s="37">
        <f t="shared" si="0"/>
        <v>10</v>
      </c>
      <c r="AQ50" s="27">
        <f t="shared" si="1"/>
        <v>7.7099858935820764</v>
      </c>
      <c r="AR50" s="27">
        <f t="shared" si="1"/>
        <v>3.3913548491362002</v>
      </c>
      <c r="AS50" s="27">
        <f t="shared" si="1"/>
        <v>1.850973722497314</v>
      </c>
      <c r="AT50" s="27">
        <f t="shared" si="1"/>
        <v>4.9947600589968477</v>
      </c>
      <c r="AU50" s="27">
        <f t="shared" si="1"/>
        <v>1.800896731528606</v>
      </c>
      <c r="AV50" s="38"/>
      <c r="AW50" s="38"/>
    </row>
    <row r="51" spans="2:49" x14ac:dyDescent="0.35">
      <c r="B51" s="37">
        <v>11</v>
      </c>
      <c r="C51" s="27">
        <v>8.5104075456276398</v>
      </c>
      <c r="D51" s="27">
        <v>3.3417696379379702</v>
      </c>
      <c r="E51" s="27">
        <v>1.7320322532074299</v>
      </c>
      <c r="F51" s="27">
        <v>5.2000796814046701</v>
      </c>
      <c r="G51" s="27">
        <v>1.6657030964047901</v>
      </c>
      <c r="J51" s="37">
        <v>11</v>
      </c>
      <c r="K51" s="27">
        <v>8.5715415767745498</v>
      </c>
      <c r="L51" s="27">
        <v>3.5652367285726099</v>
      </c>
      <c r="M51" s="27">
        <v>1.81511494993042</v>
      </c>
      <c r="N51" s="27">
        <v>5.3537138221752398</v>
      </c>
      <c r="O51" s="27">
        <v>1.6758962792765599</v>
      </c>
      <c r="R51" s="37">
        <v>11</v>
      </c>
      <c r="S51" s="27">
        <v>8.7333985015879101</v>
      </c>
      <c r="T51" s="27">
        <v>3.4786181354474199</v>
      </c>
      <c r="U51" s="27">
        <v>1.7906412467545201</v>
      </c>
      <c r="V51" s="27">
        <v>5.4885969361564202</v>
      </c>
      <c r="W51" s="27">
        <v>1.6837858124243801</v>
      </c>
      <c r="Z51" s="37">
        <v>11</v>
      </c>
      <c r="AA51" s="27">
        <v>8.8188077008773398</v>
      </c>
      <c r="AB51" s="27">
        <v>3.2299639165627898</v>
      </c>
      <c r="AC51" s="27">
        <v>1.7322139666604399</v>
      </c>
      <c r="AD51" s="27">
        <v>5.8214179534758399</v>
      </c>
      <c r="AE51" s="27">
        <v>1.6543950841366999</v>
      </c>
      <c r="AH51" s="37">
        <v>11</v>
      </c>
      <c r="AI51" s="27">
        <v>8.3782164622188091</v>
      </c>
      <c r="AJ51" s="27">
        <v>3.16686792501284</v>
      </c>
      <c r="AK51" s="27">
        <v>1.73366585128926</v>
      </c>
      <c r="AL51" s="27">
        <v>5.2251310803117503</v>
      </c>
      <c r="AM51" s="27">
        <v>1.6563315123515101</v>
      </c>
      <c r="AP51" s="37">
        <f t="shared" ref="AP51:AP52" si="8">B51</f>
        <v>11</v>
      </c>
      <c r="AQ51" s="27">
        <f t="shared" ref="AQ51:AQ52" si="9">AVERAGE(C51,K51,S51,AA51,AI51)</f>
        <v>8.6024743574172486</v>
      </c>
      <c r="AR51" s="27">
        <f t="shared" ref="AR51:AR52" si="10">AVERAGE(D51,L51,T51,AB51,AJ51)</f>
        <v>3.3564912687067263</v>
      </c>
      <c r="AS51" s="27">
        <f t="shared" ref="AS51:AS52" si="11">AVERAGE(E51,M51,U51,AC51,AK51)</f>
        <v>1.7607336535684142</v>
      </c>
      <c r="AT51" s="27">
        <f t="shared" ref="AT51:AT52" si="12">AVERAGE(F51,N51,V51,AD51,AL51)</f>
        <v>5.4177878947047846</v>
      </c>
      <c r="AU51" s="27">
        <f t="shared" ref="AU51:AU52" si="13">AVERAGE(G51,O51,W51,AE51,AM51)</f>
        <v>1.6672223569187881</v>
      </c>
      <c r="AV51" s="38"/>
      <c r="AW51" s="38"/>
    </row>
    <row r="52" spans="2:49" x14ac:dyDescent="0.35">
      <c r="B52" s="37">
        <v>12</v>
      </c>
      <c r="C52" s="27">
        <v>5.5954845112685003</v>
      </c>
      <c r="D52" s="27">
        <v>2.15730711752733</v>
      </c>
      <c r="E52" s="27">
        <v>0.78514953941033006</v>
      </c>
      <c r="F52" s="27">
        <v>2.0473995983712698</v>
      </c>
      <c r="G52" s="27">
        <v>0.66418560238375601</v>
      </c>
      <c r="J52" s="37">
        <v>12</v>
      </c>
      <c r="K52" s="27">
        <v>5.53200184187485</v>
      </c>
      <c r="L52" s="27">
        <v>2.1085107163732602</v>
      </c>
      <c r="M52" s="27">
        <v>0.78398862530995606</v>
      </c>
      <c r="N52" s="27">
        <v>1.9948506529128001</v>
      </c>
      <c r="O52" s="27">
        <v>0.63960139351377399</v>
      </c>
      <c r="R52" s="37">
        <v>12</v>
      </c>
      <c r="S52" s="27">
        <v>5.2003200199219801</v>
      </c>
      <c r="T52" s="27">
        <v>1.96088386003753</v>
      </c>
      <c r="U52" s="27">
        <v>0.70686562075324</v>
      </c>
      <c r="V52" s="27">
        <v>1.8290235652449101</v>
      </c>
      <c r="W52" s="27">
        <v>0.64179866020386001</v>
      </c>
      <c r="Z52" s="37">
        <v>12</v>
      </c>
      <c r="AA52" s="27">
        <v>5.0147862908140901</v>
      </c>
      <c r="AB52" s="27">
        <v>2.09488652747552</v>
      </c>
      <c r="AC52" s="27">
        <v>0.80086796554951301</v>
      </c>
      <c r="AD52" s="27">
        <v>1.6591947370534601</v>
      </c>
      <c r="AE52" s="27">
        <v>0.53223163862850098</v>
      </c>
      <c r="AH52" s="37">
        <v>12</v>
      </c>
      <c r="AI52" s="27">
        <v>4.7224668362563502</v>
      </c>
      <c r="AJ52" s="27">
        <v>2.1475831742418698</v>
      </c>
      <c r="AK52" s="27">
        <v>0.70219488622940696</v>
      </c>
      <c r="AL52" s="27">
        <v>1.6313804365993001</v>
      </c>
      <c r="AM52" s="27">
        <v>0.74791654157574095</v>
      </c>
      <c r="AP52" s="37">
        <f t="shared" si="8"/>
        <v>12</v>
      </c>
      <c r="AQ52" s="27">
        <f t="shared" si="9"/>
        <v>5.2130119000271531</v>
      </c>
      <c r="AR52" s="27">
        <f t="shared" si="10"/>
        <v>2.093834279131102</v>
      </c>
      <c r="AS52" s="27">
        <f t="shared" si="11"/>
        <v>0.75581332745048913</v>
      </c>
      <c r="AT52" s="27">
        <f t="shared" si="12"/>
        <v>1.832369798036348</v>
      </c>
      <c r="AU52" s="27">
        <f t="shared" si="13"/>
        <v>0.64514676726112641</v>
      </c>
      <c r="AV52" s="38"/>
      <c r="AW52" s="38"/>
    </row>
    <row r="53" spans="2:49" x14ac:dyDescent="0.35">
      <c r="B53" s="37">
        <v>13</v>
      </c>
      <c r="C53" s="27">
        <v>7.6821402199184101</v>
      </c>
      <c r="D53" s="27">
        <v>2.9479060558892098</v>
      </c>
      <c r="E53" s="27">
        <v>1.4108071761583501</v>
      </c>
      <c r="F53" s="27">
        <v>2.9518138086938999</v>
      </c>
      <c r="G53" s="27">
        <v>1.5977077488517499</v>
      </c>
      <c r="J53" s="37">
        <v>13</v>
      </c>
      <c r="K53" s="27">
        <v>8.0433833173610196</v>
      </c>
      <c r="L53" s="27">
        <v>3.0738212680313999</v>
      </c>
      <c r="M53" s="27">
        <v>1.48474658655502</v>
      </c>
      <c r="N53" s="27">
        <v>3.0727568165445902</v>
      </c>
      <c r="O53" s="27">
        <v>1.60003174306434</v>
      </c>
      <c r="R53" s="37">
        <v>13</v>
      </c>
      <c r="S53" s="27">
        <v>7.5445208705381104</v>
      </c>
      <c r="T53" s="27">
        <v>2.9367894343593899</v>
      </c>
      <c r="U53" s="27">
        <v>1.4308565598959699</v>
      </c>
      <c r="V53" s="27">
        <v>2.8293779040879499</v>
      </c>
      <c r="W53" s="27">
        <v>1.60931279071311</v>
      </c>
      <c r="Z53" s="37">
        <v>13</v>
      </c>
      <c r="AA53" s="27">
        <v>7.5250906126144601</v>
      </c>
      <c r="AB53" s="27">
        <v>2.9838625178012301</v>
      </c>
      <c r="AC53" s="27">
        <v>1.4321145674518401</v>
      </c>
      <c r="AD53" s="27">
        <v>2.95225053421591</v>
      </c>
      <c r="AE53" s="27">
        <v>1.6330265912150701</v>
      </c>
      <c r="AH53" s="37">
        <v>13</v>
      </c>
      <c r="AI53" s="27">
        <v>7.82547775262179</v>
      </c>
      <c r="AJ53" s="27">
        <v>2.90363172868885</v>
      </c>
      <c r="AK53" s="27">
        <v>1.4328750914705799</v>
      </c>
      <c r="AL53" s="27">
        <v>3.09162392186238</v>
      </c>
      <c r="AM53" s="27">
        <v>1.5861370136978099</v>
      </c>
      <c r="AP53" s="37">
        <f t="shared" si="0"/>
        <v>13</v>
      </c>
      <c r="AQ53" s="27">
        <f t="shared" si="1"/>
        <v>7.7241225546107586</v>
      </c>
      <c r="AR53" s="27">
        <f t="shared" si="1"/>
        <v>2.9692022009540162</v>
      </c>
      <c r="AS53" s="27">
        <f t="shared" si="1"/>
        <v>1.4382799963063519</v>
      </c>
      <c r="AT53" s="27">
        <f t="shared" si="1"/>
        <v>2.9795645970809459</v>
      </c>
      <c r="AU53" s="27">
        <f t="shared" si="1"/>
        <v>1.6052431775084159</v>
      </c>
      <c r="AV53" s="38"/>
      <c r="AW53" s="38"/>
    </row>
    <row r="54" spans="2:49" ht="15" customHeight="1" x14ac:dyDescent="0.35"/>
    <row r="55" spans="2:49" ht="15" hidden="1" customHeight="1" x14ac:dyDescent="0.35">
      <c r="K55" s="38">
        <f t="shared" ref="K55:K66" si="14">K42+C$9</f>
        <v>9.8823764163560224</v>
      </c>
      <c r="L55" s="38">
        <f t="shared" ref="L55:L66" si="15">L42+D$9</f>
        <v>4.1402446916932796</v>
      </c>
      <c r="M55" s="38">
        <f t="shared" ref="M55:M66" si="16">M42+E$9</f>
        <v>1.9541433539684885</v>
      </c>
      <c r="N55" s="38">
        <f t="shared" ref="N55:N66" si="17">N42+F$9</f>
        <v>3.9328531817019963</v>
      </c>
      <c r="O55" s="38">
        <f t="shared" ref="O55:O66" si="18">O42+G$9</f>
        <v>1.9015060831391095</v>
      </c>
      <c r="S55" s="28">
        <f t="shared" ref="S55:S66" si="19">S42+C$10</f>
        <v>10.330140801947337</v>
      </c>
      <c r="T55" s="28">
        <f t="shared" ref="T55:T66" si="20">T42+D$10</f>
        <v>4.4229029068923271</v>
      </c>
      <c r="U55" s="28">
        <f t="shared" ref="U55:U66" si="21">U42+E$10</f>
        <v>2.0973419200148622</v>
      </c>
      <c r="V55" s="28">
        <f t="shared" ref="V55:V66" si="22">V42+F$10</f>
        <v>4.2342136991235204</v>
      </c>
      <c r="W55" s="28">
        <f t="shared" ref="W55:W66" si="23">W42+G$10</f>
        <v>1.9892907221266718</v>
      </c>
      <c r="AA55" s="38">
        <f t="shared" ref="AA55:AA66" si="24">AA42+C$11</f>
        <v>10.767821988359433</v>
      </c>
      <c r="AB55" s="38">
        <f t="shared" ref="AB55:AB66" si="25">AB42+D$11</f>
        <v>4.3066577708609817</v>
      </c>
      <c r="AC55" s="38">
        <f t="shared" ref="AC55:AC66" si="26">AC42+E$11</f>
        <v>2.1212221007536529</v>
      </c>
      <c r="AD55" s="38">
        <f t="shared" ref="AD55:AD66" si="27">AD42+F$11</f>
        <v>4.3154794620751886</v>
      </c>
      <c r="AE55" s="38">
        <f t="shared" ref="AE55:AE66" si="28">AE42+G$11</f>
        <v>1.9645672289688156</v>
      </c>
      <c r="AI55" s="39">
        <f t="shared" ref="AI55:AI66" si="29">AI42+C$12</f>
        <v>10.043816726646215</v>
      </c>
      <c r="AJ55" s="39">
        <f t="shared" ref="AJ55:AJ66" si="30">AJ42+D$12</f>
        <v>4.2259369652522292</v>
      </c>
      <c r="AK55" s="39">
        <f t="shared" ref="AK55:AK66" si="31">AK42+E$12</f>
        <v>2.00855267208863</v>
      </c>
      <c r="AL55" s="39">
        <f t="shared" ref="AL55:AL66" si="32">AL42+F$12</f>
        <v>4.2825075850683376</v>
      </c>
      <c r="AM55" s="39">
        <f t="shared" ref="AM55:AM66" si="33">AM42+G$12</f>
        <v>1.9532584796436756</v>
      </c>
    </row>
    <row r="56" spans="2:49" ht="15" hidden="1" customHeight="1" x14ac:dyDescent="0.35">
      <c r="K56" s="38">
        <f t="shared" si="14"/>
        <v>8.0276768850916138</v>
      </c>
      <c r="L56" s="38">
        <f t="shared" si="15"/>
        <v>2.83287590217095</v>
      </c>
      <c r="M56" s="38">
        <f t="shared" si="16"/>
        <v>1.2773553639824986</v>
      </c>
      <c r="N56" s="38">
        <f t="shared" si="17"/>
        <v>2.8739348441308263</v>
      </c>
      <c r="O56" s="38">
        <f t="shared" si="18"/>
        <v>1.2774518306169595</v>
      </c>
      <c r="S56" s="28">
        <f t="shared" si="19"/>
        <v>7.2289400988394075</v>
      </c>
      <c r="T56" s="28">
        <f t="shared" si="20"/>
        <v>2.8091198694790274</v>
      </c>
      <c r="U56" s="28">
        <f t="shared" si="21"/>
        <v>1.1620525945734423</v>
      </c>
      <c r="V56" s="28">
        <f t="shared" si="22"/>
        <v>2.7208150914615099</v>
      </c>
      <c r="W56" s="28">
        <f t="shared" si="23"/>
        <v>1.2888849710267618</v>
      </c>
      <c r="AA56" s="38">
        <f t="shared" si="24"/>
        <v>6.6094271633738639</v>
      </c>
      <c r="AB56" s="38">
        <f t="shared" si="25"/>
        <v>3.1857878292232922</v>
      </c>
      <c r="AC56" s="38">
        <f t="shared" si="26"/>
        <v>1.1693271811984929</v>
      </c>
      <c r="AD56" s="38">
        <f t="shared" si="27"/>
        <v>2.5606619227704392</v>
      </c>
      <c r="AE56" s="38">
        <f t="shared" si="28"/>
        <v>1.3622126882566357</v>
      </c>
      <c r="AI56" s="39">
        <f t="shared" si="29"/>
        <v>7.326216321654794</v>
      </c>
      <c r="AJ56" s="39">
        <f t="shared" si="30"/>
        <v>3.0965202268655792</v>
      </c>
      <c r="AK56" s="39">
        <f t="shared" si="31"/>
        <v>1.2451281306853197</v>
      </c>
      <c r="AL56" s="39">
        <f t="shared" si="32"/>
        <v>2.7586561796214468</v>
      </c>
      <c r="AM56" s="39">
        <f t="shared" si="33"/>
        <v>1.2433542944443756</v>
      </c>
    </row>
    <row r="57" spans="2:49" ht="15" hidden="1" customHeight="1" x14ac:dyDescent="0.35">
      <c r="K57" s="38">
        <f t="shared" si="14"/>
        <v>9.1022730547391131</v>
      </c>
      <c r="L57" s="38">
        <f t="shared" si="15"/>
        <v>3.1514628605319301</v>
      </c>
      <c r="M57" s="38">
        <f t="shared" si="16"/>
        <v>1.6092485808770784</v>
      </c>
      <c r="N57" s="38">
        <f t="shared" si="17"/>
        <v>3.3578304302604263</v>
      </c>
      <c r="O57" s="38">
        <f t="shared" si="18"/>
        <v>1.7115649418799495</v>
      </c>
      <c r="S57" s="28">
        <f t="shared" si="19"/>
        <v>8.4766281806613879</v>
      </c>
      <c r="T57" s="28">
        <f t="shared" si="20"/>
        <v>2.9276800535853775</v>
      </c>
      <c r="U57" s="28">
        <f t="shared" si="21"/>
        <v>1.4678941641123724</v>
      </c>
      <c r="V57" s="28">
        <f t="shared" si="22"/>
        <v>2.9374706062943399</v>
      </c>
      <c r="W57" s="28">
        <f t="shared" si="23"/>
        <v>1.6499801539349517</v>
      </c>
      <c r="AA57" s="38">
        <f t="shared" si="24"/>
        <v>8.0532064934396246</v>
      </c>
      <c r="AB57" s="38">
        <f t="shared" si="25"/>
        <v>2.9947816889460421</v>
      </c>
      <c r="AC57" s="38">
        <f t="shared" si="26"/>
        <v>1.3986026358648729</v>
      </c>
      <c r="AD57" s="38">
        <f t="shared" si="27"/>
        <v>2.6265865035491491</v>
      </c>
      <c r="AE57" s="38">
        <f t="shared" si="28"/>
        <v>1.6217525645937956</v>
      </c>
      <c r="AI57" s="39">
        <f t="shared" si="29"/>
        <v>8.8855035259075841</v>
      </c>
      <c r="AJ57" s="39">
        <f t="shared" si="30"/>
        <v>3.0537325778874793</v>
      </c>
      <c r="AK57" s="39">
        <f t="shared" si="31"/>
        <v>1.5458324481034698</v>
      </c>
      <c r="AL57" s="39">
        <f t="shared" si="32"/>
        <v>3.1727656850872368</v>
      </c>
      <c r="AM57" s="39">
        <f t="shared" si="33"/>
        <v>1.7233861780402955</v>
      </c>
    </row>
    <row r="58" spans="2:49" ht="15" hidden="1" customHeight="1" x14ac:dyDescent="0.35">
      <c r="K58" s="38">
        <f t="shared" si="14"/>
        <v>10.332669696800023</v>
      </c>
      <c r="L58" s="38">
        <f t="shared" si="15"/>
        <v>3.7926227560560299</v>
      </c>
      <c r="M58" s="38">
        <f t="shared" si="16"/>
        <v>1.7795043032941986</v>
      </c>
      <c r="N58" s="38">
        <f t="shared" si="17"/>
        <v>4.0567951916057456</v>
      </c>
      <c r="O58" s="38">
        <f t="shared" si="18"/>
        <v>1.5032700821265994</v>
      </c>
      <c r="S58" s="28">
        <f t="shared" si="19"/>
        <v>11.074781255988936</v>
      </c>
      <c r="T58" s="28">
        <f t="shared" si="20"/>
        <v>4.025779061803858</v>
      </c>
      <c r="U58" s="28">
        <f t="shared" si="21"/>
        <v>1.9095909792520123</v>
      </c>
      <c r="V58" s="28">
        <f t="shared" si="22"/>
        <v>4.3351595110400005</v>
      </c>
      <c r="W58" s="28">
        <f t="shared" si="23"/>
        <v>1.5578533845417717</v>
      </c>
      <c r="AA58" s="38">
        <f t="shared" si="24"/>
        <v>11.538675298450233</v>
      </c>
      <c r="AB58" s="38">
        <f t="shared" si="25"/>
        <v>3.9374147116543421</v>
      </c>
      <c r="AC58" s="38">
        <f t="shared" si="26"/>
        <v>1.9269679041060428</v>
      </c>
      <c r="AD58" s="38">
        <f t="shared" si="27"/>
        <v>4.6063620949668582</v>
      </c>
      <c r="AE58" s="38">
        <f t="shared" si="28"/>
        <v>1.5469566938826556</v>
      </c>
      <c r="AI58" s="39">
        <f t="shared" si="29"/>
        <v>10.807799842862114</v>
      </c>
      <c r="AJ58" s="39">
        <f t="shared" si="30"/>
        <v>4.0602656070059897</v>
      </c>
      <c r="AK58" s="39">
        <f t="shared" si="31"/>
        <v>1.8557039082969398</v>
      </c>
      <c r="AL58" s="39">
        <f t="shared" si="32"/>
        <v>4.5835473178948476</v>
      </c>
      <c r="AM58" s="39">
        <f t="shared" si="33"/>
        <v>1.5087769755215557</v>
      </c>
    </row>
    <row r="59" spans="2:49" ht="15" hidden="1" customHeight="1" x14ac:dyDescent="0.35">
      <c r="K59" s="38">
        <f t="shared" si="14"/>
        <v>11.421525084664223</v>
      </c>
      <c r="L59" s="38">
        <f t="shared" si="15"/>
        <v>3.9443061122725602</v>
      </c>
      <c r="M59" s="38">
        <f t="shared" si="16"/>
        <v>1.8566831414754585</v>
      </c>
      <c r="N59" s="38">
        <f t="shared" si="17"/>
        <v>4.2907270938774857</v>
      </c>
      <c r="O59" s="38">
        <f t="shared" si="18"/>
        <v>1.4566875990340096</v>
      </c>
      <c r="S59" s="28">
        <f t="shared" si="19"/>
        <v>12.114511401415538</v>
      </c>
      <c r="T59" s="28">
        <f t="shared" si="20"/>
        <v>4.2230732902781583</v>
      </c>
      <c r="U59" s="28">
        <f t="shared" si="21"/>
        <v>2.0173280481793023</v>
      </c>
      <c r="V59" s="28">
        <f t="shared" si="22"/>
        <v>4.81080688526235</v>
      </c>
      <c r="W59" s="28">
        <f t="shared" si="23"/>
        <v>1.5587029823726217</v>
      </c>
      <c r="AA59" s="38">
        <f t="shared" si="24"/>
        <v>12.256576287281934</v>
      </c>
      <c r="AB59" s="38">
        <f t="shared" si="25"/>
        <v>4.0110752434621721</v>
      </c>
      <c r="AC59" s="38">
        <f t="shared" si="26"/>
        <v>1.9935904683205328</v>
      </c>
      <c r="AD59" s="38">
        <f t="shared" si="27"/>
        <v>4.9463991930445683</v>
      </c>
      <c r="AE59" s="38">
        <f t="shared" si="28"/>
        <v>1.5529599179851556</v>
      </c>
      <c r="AI59" s="39">
        <f t="shared" si="29"/>
        <v>11.768343060256614</v>
      </c>
      <c r="AJ59" s="39">
        <f t="shared" si="30"/>
        <v>4.3120576137711684</v>
      </c>
      <c r="AK59" s="39">
        <f t="shared" si="31"/>
        <v>1.9664243557942798</v>
      </c>
      <c r="AL59" s="39">
        <f t="shared" si="32"/>
        <v>5.0485848881145863</v>
      </c>
      <c r="AM59" s="39">
        <f t="shared" si="33"/>
        <v>1.5137439930979957</v>
      </c>
    </row>
    <row r="60" spans="2:49" ht="15" hidden="1" customHeight="1" x14ac:dyDescent="0.35">
      <c r="K60" s="38">
        <f t="shared" si="14"/>
        <v>9.4212452953226631</v>
      </c>
      <c r="L60" s="38">
        <f t="shared" si="15"/>
        <v>3.2704304835428002</v>
      </c>
      <c r="M60" s="38">
        <f t="shared" si="16"/>
        <v>1.5172445959971685</v>
      </c>
      <c r="N60" s="38">
        <f t="shared" si="17"/>
        <v>1.7380661322253961</v>
      </c>
      <c r="O60" s="38">
        <f t="shared" si="18"/>
        <v>1.5531386600458794</v>
      </c>
      <c r="S60" s="28">
        <f t="shared" si="19"/>
        <v>9.0105898959592476</v>
      </c>
      <c r="T60" s="28">
        <f t="shared" si="20"/>
        <v>3.4378201921592075</v>
      </c>
      <c r="U60" s="28">
        <f t="shared" si="21"/>
        <v>1.4944759263020724</v>
      </c>
      <c r="V60" s="28">
        <f t="shared" si="22"/>
        <v>2.2271032071655901</v>
      </c>
      <c r="W60" s="28">
        <f t="shared" si="23"/>
        <v>1.5352201591869017</v>
      </c>
      <c r="AA60" s="38">
        <f t="shared" si="24"/>
        <v>9.4424347158320536</v>
      </c>
      <c r="AB60" s="38">
        <f t="shared" si="25"/>
        <v>3.5699986940174822</v>
      </c>
      <c r="AC60" s="38">
        <f t="shared" si="26"/>
        <v>1.5045806795369827</v>
      </c>
      <c r="AD60" s="38">
        <f t="shared" si="27"/>
        <v>2.3561508836621989</v>
      </c>
      <c r="AE60" s="38">
        <f t="shared" si="28"/>
        <v>1.5784472559810456</v>
      </c>
      <c r="AI60" s="39">
        <f t="shared" si="29"/>
        <v>9.7898163366941642</v>
      </c>
      <c r="AJ60" s="39">
        <f t="shared" si="30"/>
        <v>3.3184681218628191</v>
      </c>
      <c r="AK60" s="39">
        <f t="shared" si="31"/>
        <v>1.5443781669625298</v>
      </c>
      <c r="AL60" s="39">
        <f t="shared" si="32"/>
        <v>1.7553291537908668</v>
      </c>
      <c r="AM60" s="39">
        <f t="shared" si="33"/>
        <v>1.5429020912144356</v>
      </c>
    </row>
    <row r="61" spans="2:49" ht="15" hidden="1" customHeight="1" x14ac:dyDescent="0.35">
      <c r="K61" s="38">
        <f t="shared" si="14"/>
        <v>8.6411743828918031</v>
      </c>
      <c r="L61" s="38">
        <f t="shared" si="15"/>
        <v>3.9027439763729102</v>
      </c>
      <c r="M61" s="38">
        <f t="shared" si="16"/>
        <v>1.8784802094184785</v>
      </c>
      <c r="N61" s="38">
        <f t="shared" si="17"/>
        <v>3.5279233460590462</v>
      </c>
      <c r="O61" s="38">
        <f t="shared" si="18"/>
        <v>1.9393678542169495</v>
      </c>
      <c r="S61" s="28">
        <f t="shared" si="19"/>
        <v>8.4461707998920872</v>
      </c>
      <c r="T61" s="28">
        <f t="shared" si="20"/>
        <v>3.8446675011866276</v>
      </c>
      <c r="U61" s="28">
        <f t="shared" si="21"/>
        <v>1.8675572896805823</v>
      </c>
      <c r="V61" s="28">
        <f t="shared" si="22"/>
        <v>3.5600132751562699</v>
      </c>
      <c r="W61" s="28">
        <f t="shared" si="23"/>
        <v>1.9332865400298718</v>
      </c>
      <c r="AA61" s="38">
        <f t="shared" si="24"/>
        <v>8.7214658970670431</v>
      </c>
      <c r="AB61" s="38">
        <f t="shared" si="25"/>
        <v>3.821154222952162</v>
      </c>
      <c r="AC61" s="38">
        <f t="shared" si="26"/>
        <v>1.9160607331700128</v>
      </c>
      <c r="AD61" s="38">
        <f t="shared" si="27"/>
        <v>3.4823006134707293</v>
      </c>
      <c r="AE61" s="38">
        <f t="shared" si="28"/>
        <v>1.9729640957522756</v>
      </c>
      <c r="AI61" s="39">
        <f t="shared" si="29"/>
        <v>8.5989845051351939</v>
      </c>
      <c r="AJ61" s="39">
        <f t="shared" si="30"/>
        <v>3.698541073409749</v>
      </c>
      <c r="AK61" s="39">
        <f t="shared" si="31"/>
        <v>1.8494018913467598</v>
      </c>
      <c r="AL61" s="39">
        <f t="shared" si="32"/>
        <v>3.3035331449426066</v>
      </c>
      <c r="AM61" s="39">
        <f t="shared" si="33"/>
        <v>1.9012810524177355</v>
      </c>
    </row>
    <row r="62" spans="2:49" ht="15" hidden="1" customHeight="1" x14ac:dyDescent="0.35">
      <c r="K62" s="38">
        <f t="shared" si="14"/>
        <v>10.728500500382223</v>
      </c>
      <c r="L62" s="38">
        <f t="shared" si="15"/>
        <v>4.04309968453423</v>
      </c>
      <c r="M62" s="38">
        <f t="shared" si="16"/>
        <v>2.1064685854940985</v>
      </c>
      <c r="N62" s="38">
        <f t="shared" si="17"/>
        <v>5.2252461195172266</v>
      </c>
      <c r="O62" s="38">
        <f t="shared" si="18"/>
        <v>1.8407408517466795</v>
      </c>
      <c r="S62" s="28">
        <f t="shared" si="19"/>
        <v>11.473677673379138</v>
      </c>
      <c r="T62" s="28">
        <f t="shared" si="20"/>
        <v>4.0862953775435571</v>
      </c>
      <c r="U62" s="28">
        <f t="shared" si="21"/>
        <v>2.1929022093748323</v>
      </c>
      <c r="V62" s="28">
        <f t="shared" si="22"/>
        <v>5.2987014856149504</v>
      </c>
      <c r="W62" s="28">
        <f t="shared" si="23"/>
        <v>1.8082650195327217</v>
      </c>
      <c r="AA62" s="38">
        <f t="shared" si="24"/>
        <v>11.942540518370635</v>
      </c>
      <c r="AB62" s="38">
        <f t="shared" si="25"/>
        <v>3.8762687402261022</v>
      </c>
      <c r="AC62" s="38">
        <f t="shared" si="26"/>
        <v>2.224945831332823</v>
      </c>
      <c r="AD62" s="38">
        <f t="shared" si="27"/>
        <v>5.4605173533205082</v>
      </c>
      <c r="AE62" s="38">
        <f t="shared" si="28"/>
        <v>1.7868644887921057</v>
      </c>
      <c r="AI62" s="39">
        <f t="shared" si="29"/>
        <v>11.100565022104513</v>
      </c>
      <c r="AJ62" s="39">
        <f t="shared" si="30"/>
        <v>3.9232847122175794</v>
      </c>
      <c r="AK62" s="39">
        <f t="shared" si="31"/>
        <v>2.1391906663263298</v>
      </c>
      <c r="AL62" s="39">
        <f t="shared" si="32"/>
        <v>5.3064312090816266</v>
      </c>
      <c r="AM62" s="39">
        <f t="shared" si="33"/>
        <v>1.8420658695923156</v>
      </c>
    </row>
    <row r="63" spans="2:49" ht="15" hidden="1" customHeight="1" x14ac:dyDescent="0.35">
      <c r="K63" s="38">
        <f t="shared" si="14"/>
        <v>8.4262902596719726</v>
      </c>
      <c r="L63" s="38">
        <f t="shared" si="15"/>
        <v>3.81835003630838</v>
      </c>
      <c r="M63" s="38">
        <f t="shared" si="16"/>
        <v>2.0131413624952788</v>
      </c>
      <c r="N63" s="38">
        <f t="shared" si="17"/>
        <v>5.6337632068873464</v>
      </c>
      <c r="O63" s="38">
        <f t="shared" si="18"/>
        <v>1.9017428013333395</v>
      </c>
      <c r="S63" s="28">
        <f t="shared" si="19"/>
        <v>7.7027077705846771</v>
      </c>
      <c r="T63" s="28">
        <f t="shared" si="20"/>
        <v>3.4141372518814177</v>
      </c>
      <c r="U63" s="28">
        <f t="shared" si="21"/>
        <v>1.8216962389300324</v>
      </c>
      <c r="V63" s="28">
        <f t="shared" si="22"/>
        <v>4.6325315005853795</v>
      </c>
      <c r="W63" s="28">
        <f t="shared" si="23"/>
        <v>1.7667456754391218</v>
      </c>
      <c r="AA63" s="38">
        <f t="shared" si="24"/>
        <v>6.5343596712241441</v>
      </c>
      <c r="AB63" s="38">
        <f t="shared" si="25"/>
        <v>3.1775636434966623</v>
      </c>
      <c r="AC63" s="38">
        <f t="shared" si="26"/>
        <v>1.6487418173226427</v>
      </c>
      <c r="AD63" s="38">
        <f t="shared" si="27"/>
        <v>4.6958364957500098</v>
      </c>
      <c r="AE63" s="38">
        <f t="shared" si="28"/>
        <v>1.7705220753256157</v>
      </c>
      <c r="AI63" s="39">
        <f t="shared" si="29"/>
        <v>8.0793639769974845</v>
      </c>
      <c r="AJ63" s="39">
        <f t="shared" si="30"/>
        <v>3.3258441123835594</v>
      </c>
      <c r="AK63" s="39">
        <f t="shared" si="31"/>
        <v>1.9095951139063398</v>
      </c>
      <c r="AL63" s="39">
        <f t="shared" si="32"/>
        <v>4.9035077941548373</v>
      </c>
      <c r="AM63" s="39">
        <f t="shared" si="33"/>
        <v>1.7731995289875855</v>
      </c>
    </row>
    <row r="64" spans="2:49" ht="15" hidden="1" customHeight="1" x14ac:dyDescent="0.35">
      <c r="K64" s="38">
        <f t="shared" si="14"/>
        <v>8.3907673204051729</v>
      </c>
      <c r="L64" s="38">
        <f t="shared" si="15"/>
        <v>3.5329735871521999</v>
      </c>
      <c r="M64" s="38">
        <f t="shared" si="16"/>
        <v>1.7768436325961385</v>
      </c>
      <c r="N64" s="38">
        <f t="shared" si="17"/>
        <v>5.3071786971148764</v>
      </c>
      <c r="O64" s="38">
        <f t="shared" si="18"/>
        <v>1.6783118850733294</v>
      </c>
      <c r="S64" s="28">
        <f t="shared" si="19"/>
        <v>8.8173812589566474</v>
      </c>
      <c r="T64" s="28">
        <f t="shared" si="20"/>
        <v>3.4716677546291574</v>
      </c>
      <c r="U64" s="28">
        <f t="shared" si="21"/>
        <v>1.7913422164118724</v>
      </c>
      <c r="V64" s="28">
        <f t="shared" si="22"/>
        <v>5.4936108679977007</v>
      </c>
      <c r="W64" s="28">
        <f t="shared" si="23"/>
        <v>1.6788258343749518</v>
      </c>
      <c r="AA64" s="38">
        <f t="shared" si="24"/>
        <v>8.9398553359163735</v>
      </c>
      <c r="AB64" s="38">
        <f t="shared" si="25"/>
        <v>3.349130678402902</v>
      </c>
      <c r="AC64" s="38">
        <f t="shared" si="26"/>
        <v>1.7629039185029227</v>
      </c>
      <c r="AD64" s="38">
        <f t="shared" si="27"/>
        <v>5.6333171919298994</v>
      </c>
      <c r="AE64" s="38">
        <f t="shared" si="28"/>
        <v>1.6648439554253955</v>
      </c>
      <c r="AI64" s="39">
        <f t="shared" si="29"/>
        <v>8.4654715200409232</v>
      </c>
      <c r="AJ64" s="39">
        <f t="shared" si="30"/>
        <v>3.2715952428793091</v>
      </c>
      <c r="AK64" s="39">
        <f t="shared" si="31"/>
        <v>1.7431200260544097</v>
      </c>
      <c r="AL64" s="39">
        <f t="shared" si="32"/>
        <v>5.1770834357074875</v>
      </c>
      <c r="AM64" s="39">
        <f t="shared" si="33"/>
        <v>1.6616293146179857</v>
      </c>
    </row>
    <row r="65" spans="1:41" ht="15" hidden="1" customHeight="1" x14ac:dyDescent="0.35">
      <c r="K65" s="38">
        <f t="shared" si="14"/>
        <v>5.3512275855054732</v>
      </c>
      <c r="L65" s="38">
        <f t="shared" si="15"/>
        <v>2.0762475749528502</v>
      </c>
      <c r="M65" s="38">
        <f t="shared" si="16"/>
        <v>0.74571730797567459</v>
      </c>
      <c r="N65" s="38">
        <f t="shared" si="17"/>
        <v>1.9483155278524362</v>
      </c>
      <c r="O65" s="38">
        <f t="shared" si="18"/>
        <v>0.64201699931054346</v>
      </c>
      <c r="S65" s="28">
        <f t="shared" si="19"/>
        <v>5.2843027772907174</v>
      </c>
      <c r="T65" s="28">
        <f t="shared" si="20"/>
        <v>1.9539334792192675</v>
      </c>
      <c r="U65" s="28">
        <f t="shared" si="21"/>
        <v>0.70756659041059233</v>
      </c>
      <c r="V65" s="28">
        <f t="shared" si="22"/>
        <v>1.8340374970861901</v>
      </c>
      <c r="W65" s="28">
        <f t="shared" si="23"/>
        <v>0.63683868215443173</v>
      </c>
      <c r="AA65" s="38">
        <f t="shared" si="24"/>
        <v>5.1358339258531238</v>
      </c>
      <c r="AB65" s="38">
        <f t="shared" si="25"/>
        <v>2.2140532893156322</v>
      </c>
      <c r="AC65" s="38">
        <f t="shared" si="26"/>
        <v>0.8315579173919958</v>
      </c>
      <c r="AD65" s="38">
        <f t="shared" si="27"/>
        <v>1.4710939755075192</v>
      </c>
      <c r="AE65" s="38">
        <f t="shared" si="28"/>
        <v>0.54268050991719663</v>
      </c>
      <c r="AI65" s="39">
        <f t="shared" si="29"/>
        <v>4.8097218940784643</v>
      </c>
      <c r="AJ65" s="39">
        <f t="shared" si="30"/>
        <v>2.252310492108339</v>
      </c>
      <c r="AK65" s="39">
        <f t="shared" si="31"/>
        <v>0.71164906099455671</v>
      </c>
      <c r="AL65" s="39">
        <f t="shared" si="32"/>
        <v>1.5833327919950368</v>
      </c>
      <c r="AM65" s="39">
        <f t="shared" si="33"/>
        <v>0.75321434384221653</v>
      </c>
    </row>
    <row r="66" spans="1:41" ht="15" hidden="1" customHeight="1" x14ac:dyDescent="0.35">
      <c r="K66" s="38">
        <f t="shared" si="14"/>
        <v>7.8626090609916428</v>
      </c>
      <c r="L66" s="38">
        <f t="shared" si="15"/>
        <v>3.0415581266109899</v>
      </c>
      <c r="M66" s="38">
        <f t="shared" si="16"/>
        <v>1.4464752692207385</v>
      </c>
      <c r="N66" s="38">
        <f t="shared" si="17"/>
        <v>3.0262216914842264</v>
      </c>
      <c r="O66" s="38">
        <f t="shared" si="18"/>
        <v>1.6024473488611095</v>
      </c>
      <c r="S66" s="28">
        <f t="shared" si="19"/>
        <v>7.6285036279068477</v>
      </c>
      <c r="T66" s="28">
        <f t="shared" si="20"/>
        <v>2.9298390535411274</v>
      </c>
      <c r="U66" s="28">
        <f t="shared" si="21"/>
        <v>1.4315575295533223</v>
      </c>
      <c r="V66" s="28">
        <f t="shared" si="22"/>
        <v>2.8343918359292299</v>
      </c>
      <c r="W66" s="28">
        <f t="shared" si="23"/>
        <v>1.6043528126636817</v>
      </c>
      <c r="AA66" s="38">
        <f t="shared" si="24"/>
        <v>7.6461382476534938</v>
      </c>
      <c r="AB66" s="38">
        <f t="shared" si="25"/>
        <v>3.1030292796413423</v>
      </c>
      <c r="AC66" s="38">
        <f t="shared" si="26"/>
        <v>1.4628045192943229</v>
      </c>
      <c r="AD66" s="38">
        <f t="shared" si="27"/>
        <v>2.7641497726699691</v>
      </c>
      <c r="AE66" s="38">
        <f t="shared" si="28"/>
        <v>1.6434754625037657</v>
      </c>
      <c r="AI66" s="39">
        <f t="shared" si="29"/>
        <v>7.9127328104439041</v>
      </c>
      <c r="AJ66" s="39">
        <f t="shared" si="30"/>
        <v>3.0083590465553192</v>
      </c>
      <c r="AK66" s="39">
        <f t="shared" si="31"/>
        <v>1.4423292662357297</v>
      </c>
      <c r="AL66" s="39">
        <f t="shared" si="32"/>
        <v>3.0435762772581167</v>
      </c>
      <c r="AM66" s="39">
        <f t="shared" si="33"/>
        <v>1.5914348159642855</v>
      </c>
    </row>
    <row r="67" spans="1:41" ht="15" customHeight="1" x14ac:dyDescent="0.35"/>
    <row r="68" spans="1:41" ht="15" customHeight="1" x14ac:dyDescent="0.35"/>
    <row r="73" spans="1:41" x14ac:dyDescent="0.35">
      <c r="A73" s="41" t="s">
        <v>29</v>
      </c>
      <c r="J73" s="23"/>
      <c r="Q73" s="23"/>
      <c r="S73" s="23"/>
      <c r="T73" s="23"/>
      <c r="U73" s="23"/>
      <c r="V73" s="23"/>
      <c r="W73" s="23"/>
      <c r="Y73" s="23"/>
      <c r="AG73" s="23"/>
      <c r="AN73" s="23"/>
      <c r="AO73" s="23"/>
    </row>
    <row r="74" spans="1:41" x14ac:dyDescent="0.35">
      <c r="B74" s="26" t="s">
        <v>27</v>
      </c>
      <c r="C74" s="26" t="s">
        <v>1</v>
      </c>
      <c r="D74" s="26" t="s">
        <v>2</v>
      </c>
      <c r="E74" s="26" t="s">
        <v>3</v>
      </c>
      <c r="F74" s="26" t="s">
        <v>4</v>
      </c>
      <c r="G74" s="26" t="s">
        <v>5</v>
      </c>
      <c r="J74" s="23"/>
      <c r="Q74" s="23"/>
      <c r="S74" s="23"/>
      <c r="T74" s="23"/>
      <c r="U74" s="23"/>
      <c r="V74" s="23"/>
      <c r="W74" s="23"/>
      <c r="Y74" s="23"/>
      <c r="AG74" s="23"/>
      <c r="AN74" s="23"/>
      <c r="AO74" s="23"/>
    </row>
    <row r="75" spans="1:41" x14ac:dyDescent="0.35">
      <c r="B75" s="37">
        <f>B42</f>
        <v>1</v>
      </c>
      <c r="C75" s="27">
        <f t="shared" ref="C75:G86" si="34">STDEV(C42,K42,S42,AA42,AI42)</f>
        <v>0.26666521852935782</v>
      </c>
      <c r="D75" s="27">
        <f t="shared" si="34"/>
        <v>0.12912954579949809</v>
      </c>
      <c r="E75" s="27">
        <f t="shared" si="34"/>
        <v>4.918923181240565E-2</v>
      </c>
      <c r="F75" s="27">
        <f t="shared" si="34"/>
        <v>0.19233993484592846</v>
      </c>
      <c r="G75" s="27">
        <f t="shared" si="34"/>
        <v>3.4068491266392949E-2</v>
      </c>
      <c r="J75" s="23"/>
      <c r="Q75" s="23"/>
      <c r="S75" s="23"/>
      <c r="T75" s="23"/>
      <c r="U75" s="23"/>
      <c r="V75" s="23"/>
      <c r="W75" s="23"/>
      <c r="Y75" s="23"/>
      <c r="AG75" s="23"/>
      <c r="AN75" s="23"/>
      <c r="AO75" s="23"/>
    </row>
    <row r="76" spans="1:41" x14ac:dyDescent="0.35">
      <c r="B76" s="37">
        <f t="shared" ref="B76:B86" si="35">B43</f>
        <v>2</v>
      </c>
      <c r="C76" s="27">
        <f t="shared" si="34"/>
        <v>0.62091190402253371</v>
      </c>
      <c r="D76" s="27">
        <f t="shared" si="34"/>
        <v>9.9832376975321976E-2</v>
      </c>
      <c r="E76" s="27">
        <f t="shared" si="34"/>
        <v>7.0137350750662728E-2</v>
      </c>
      <c r="F76" s="27">
        <f t="shared" si="34"/>
        <v>8.1310717089900508E-2</v>
      </c>
      <c r="G76" s="27">
        <f t="shared" si="34"/>
        <v>4.6341976281905221E-2</v>
      </c>
      <c r="J76" s="23"/>
      <c r="Q76" s="23"/>
      <c r="S76" s="23"/>
      <c r="T76" s="23"/>
      <c r="U76" s="23"/>
      <c r="V76" s="23"/>
      <c r="W76" s="23"/>
      <c r="Y76" s="23"/>
      <c r="AG76" s="23"/>
      <c r="AN76" s="23"/>
      <c r="AO76" s="23"/>
    </row>
    <row r="77" spans="1:41" x14ac:dyDescent="0.35">
      <c r="B77" s="37">
        <f t="shared" si="35"/>
        <v>3</v>
      </c>
      <c r="C77" s="27">
        <f t="shared" si="34"/>
        <v>0.50830045451324068</v>
      </c>
      <c r="D77" s="27">
        <f t="shared" si="34"/>
        <v>0.12516051105372367</v>
      </c>
      <c r="E77" s="27">
        <f t="shared" si="34"/>
        <v>0.10448266507396017</v>
      </c>
      <c r="F77" s="27">
        <f t="shared" si="34"/>
        <v>0.24242207566996166</v>
      </c>
      <c r="G77" s="27">
        <f t="shared" si="34"/>
        <v>4.3260936555720511E-2</v>
      </c>
      <c r="J77" s="23"/>
      <c r="Q77" s="23"/>
      <c r="S77" s="23"/>
      <c r="T77" s="23"/>
      <c r="U77" s="23"/>
      <c r="V77" s="23"/>
      <c r="W77" s="23"/>
      <c r="Y77" s="23"/>
      <c r="AG77" s="23"/>
      <c r="AN77" s="23"/>
      <c r="AO77" s="23"/>
    </row>
    <row r="78" spans="1:41" x14ac:dyDescent="0.35">
      <c r="B78" s="37">
        <f t="shared" si="35"/>
        <v>4</v>
      </c>
      <c r="C78" s="27">
        <f t="shared" si="34"/>
        <v>0.33962429350418888</v>
      </c>
      <c r="D78" s="27">
        <f t="shared" si="34"/>
        <v>9.9651846977479738E-2</v>
      </c>
      <c r="E78" s="27">
        <f t="shared" si="34"/>
        <v>3.7489650103046938E-2</v>
      </c>
      <c r="F78" s="27">
        <f t="shared" si="34"/>
        <v>0.26980611323806181</v>
      </c>
      <c r="G78" s="27">
        <f t="shared" si="34"/>
        <v>2.619308104407831E-2</v>
      </c>
      <c r="J78" s="23"/>
      <c r="Q78" s="23"/>
      <c r="S78" s="23"/>
      <c r="T78" s="23"/>
      <c r="U78" s="23"/>
      <c r="V78" s="23"/>
      <c r="W78" s="23"/>
      <c r="Y78" s="23"/>
      <c r="AG78" s="23"/>
      <c r="AN78" s="23"/>
      <c r="AO78" s="23"/>
    </row>
    <row r="79" spans="1:41" x14ac:dyDescent="0.35">
      <c r="B79" s="37">
        <f t="shared" si="35"/>
        <v>5</v>
      </c>
      <c r="C79" s="27">
        <f t="shared" si="34"/>
        <v>0.22551873118481491</v>
      </c>
      <c r="D79" s="27">
        <f t="shared" si="34"/>
        <v>0.14865577184289389</v>
      </c>
      <c r="E79" s="27">
        <f t="shared" si="34"/>
        <v>4.3773003640661105E-2</v>
      </c>
      <c r="F79" s="27">
        <f t="shared" si="34"/>
        <v>0.32280718684097759</v>
      </c>
      <c r="G79" s="27">
        <f t="shared" si="34"/>
        <v>4.1355849705771885E-2</v>
      </c>
      <c r="J79" s="23"/>
      <c r="Q79" s="23"/>
      <c r="S79" s="23"/>
      <c r="T79" s="23"/>
      <c r="U79" s="23"/>
      <c r="V79" s="23"/>
      <c r="W79" s="23"/>
      <c r="Y79" s="23"/>
      <c r="AG79" s="23"/>
      <c r="AN79" s="23"/>
      <c r="AO79" s="23"/>
    </row>
    <row r="80" spans="1:41" x14ac:dyDescent="0.35">
      <c r="B80" s="37">
        <f t="shared" si="35"/>
        <v>7</v>
      </c>
      <c r="C80" s="27">
        <f t="shared" si="34"/>
        <v>0.3116483626776691</v>
      </c>
      <c r="D80" s="27">
        <f t="shared" si="34"/>
        <v>9.9899180460474038E-2</v>
      </c>
      <c r="E80" s="27">
        <f t="shared" si="34"/>
        <v>3.2761703973301193E-2</v>
      </c>
      <c r="F80" s="27">
        <f t="shared" si="34"/>
        <v>0.3186414899647364</v>
      </c>
      <c r="G80" s="27">
        <f t="shared" si="34"/>
        <v>1.2982957362892504E-2</v>
      </c>
      <c r="J80" s="23"/>
      <c r="Q80" s="23"/>
      <c r="S80" s="23"/>
      <c r="T80" s="23"/>
      <c r="U80" s="23"/>
      <c r="V80" s="23"/>
      <c r="W80" s="23"/>
      <c r="Y80" s="23"/>
      <c r="AG80" s="23"/>
      <c r="AN80" s="23"/>
      <c r="AO80" s="23"/>
    </row>
    <row r="81" spans="2:41" x14ac:dyDescent="0.35">
      <c r="B81" s="37">
        <f t="shared" si="35"/>
        <v>8</v>
      </c>
      <c r="C81" s="27">
        <f t="shared" si="34"/>
        <v>0.16655707286430083</v>
      </c>
      <c r="D81" s="27">
        <f t="shared" si="34"/>
        <v>0.13579158354546766</v>
      </c>
      <c r="E81" s="27">
        <f t="shared" si="34"/>
        <v>2.9015397347089231E-2</v>
      </c>
      <c r="F81" s="27">
        <f t="shared" si="34"/>
        <v>0.11745013760904281</v>
      </c>
      <c r="G81" s="27">
        <f t="shared" si="34"/>
        <v>2.3989162262832306E-2</v>
      </c>
      <c r="J81" s="23"/>
      <c r="Q81" s="23"/>
      <c r="S81" s="23"/>
      <c r="T81" s="23"/>
      <c r="U81" s="23"/>
      <c r="V81" s="23"/>
      <c r="W81" s="23"/>
      <c r="Y81" s="23"/>
      <c r="AG81" s="23"/>
      <c r="AN81" s="23"/>
      <c r="AO81" s="23"/>
    </row>
    <row r="82" spans="2:41" x14ac:dyDescent="0.35">
      <c r="B82" s="37">
        <f t="shared" si="35"/>
        <v>9</v>
      </c>
      <c r="C82" s="27">
        <f t="shared" si="34"/>
        <v>0.35885405113636476</v>
      </c>
      <c r="D82" s="27">
        <f t="shared" si="34"/>
        <v>0.15127985303450972</v>
      </c>
      <c r="E82" s="27">
        <f t="shared" si="34"/>
        <v>2.9229358347616273E-2</v>
      </c>
      <c r="F82" s="27">
        <f t="shared" si="34"/>
        <v>0.19813382851436831</v>
      </c>
      <c r="G82" s="27">
        <f t="shared" si="34"/>
        <v>2.5021426796937103E-2</v>
      </c>
      <c r="J82" s="23"/>
      <c r="Q82" s="23"/>
      <c r="S82" s="23"/>
      <c r="T82" s="23"/>
      <c r="U82" s="23"/>
      <c r="V82" s="23"/>
      <c r="W82" s="23"/>
      <c r="Y82" s="23"/>
      <c r="AG82" s="23"/>
      <c r="AN82" s="23"/>
      <c r="AO82" s="23"/>
    </row>
    <row r="83" spans="2:41" x14ac:dyDescent="0.35">
      <c r="B83" s="37">
        <f t="shared" si="35"/>
        <v>10</v>
      </c>
      <c r="C83" s="27">
        <f t="shared" si="34"/>
        <v>0.80895064743242784</v>
      </c>
      <c r="D83" s="27">
        <f t="shared" si="34"/>
        <v>0.29658305481570024</v>
      </c>
      <c r="E83" s="27">
        <f t="shared" si="34"/>
        <v>0.15646183560381036</v>
      </c>
      <c r="F83" s="27">
        <f t="shared" si="34"/>
        <v>0.40185886740895033</v>
      </c>
      <c r="G83" s="27">
        <f t="shared" si="34"/>
        <v>5.7699381717220534E-2</v>
      </c>
      <c r="J83" s="23"/>
      <c r="Q83" s="23"/>
      <c r="S83" s="23"/>
      <c r="T83" s="23"/>
      <c r="U83" s="23"/>
      <c r="V83" s="23"/>
      <c r="W83" s="23"/>
      <c r="Y83" s="23"/>
      <c r="AG83" s="23"/>
      <c r="AN83" s="23"/>
      <c r="AO83" s="23"/>
    </row>
    <row r="84" spans="2:41" x14ac:dyDescent="0.35">
      <c r="B84" s="37">
        <f t="shared" si="35"/>
        <v>11</v>
      </c>
      <c r="C84" s="27">
        <f t="shared" si="34"/>
        <v>0.17583087422980412</v>
      </c>
      <c r="D84" s="27">
        <f t="shared" si="34"/>
        <v>0.16633741936288371</v>
      </c>
      <c r="E84" s="27">
        <f t="shared" si="34"/>
        <v>3.9438554640198485E-2</v>
      </c>
      <c r="F84" s="27">
        <f t="shared" si="34"/>
        <v>0.25325389717423236</v>
      </c>
      <c r="G84" s="27">
        <f t="shared" si="34"/>
        <v>1.2600025419403749E-2</v>
      </c>
      <c r="J84" s="23"/>
      <c r="Q84" s="23"/>
      <c r="S84" s="23"/>
      <c r="T84" s="23"/>
      <c r="U84" s="23"/>
      <c r="V84" s="23"/>
      <c r="W84" s="23"/>
      <c r="Y84" s="23"/>
      <c r="AG84" s="23"/>
      <c r="AN84" s="23"/>
      <c r="AO84" s="23"/>
    </row>
    <row r="85" spans="2:41" ht="15" customHeight="1" x14ac:dyDescent="0.35">
      <c r="B85" s="37">
        <f t="shared" si="35"/>
        <v>12</v>
      </c>
      <c r="C85" s="27">
        <f>STDEV(C52,K52,S52,AA52,AI52)</f>
        <v>0.36336235939767031</v>
      </c>
      <c r="D85" s="27">
        <f>STDEV(D52,L52,T52,AB52,AJ52)</f>
        <v>7.8756053598373885E-2</v>
      </c>
      <c r="E85" s="27">
        <f>STDEV(E52,M52,U52,AC52,AK52)</f>
        <v>4.7315949704499698E-2</v>
      </c>
      <c r="F85" s="27">
        <f>STDEV(F52,N52,V52,AD52,AL52)</f>
        <v>0.18910008306757348</v>
      </c>
      <c r="G85" s="27">
        <f>STDEV(G52,O52,W52,AE52,AM52)</f>
        <v>7.6999823085008495E-2</v>
      </c>
      <c r="J85" s="23"/>
      <c r="Q85" s="23"/>
      <c r="S85" s="23"/>
      <c r="T85" s="23"/>
      <c r="U85" s="23"/>
      <c r="V85" s="23"/>
      <c r="W85" s="23"/>
      <c r="Y85" s="23"/>
      <c r="AG85" s="23"/>
      <c r="AN85" s="23"/>
      <c r="AO85" s="23"/>
    </row>
    <row r="86" spans="2:41" x14ac:dyDescent="0.35">
      <c r="B86" s="37">
        <f t="shared" si="35"/>
        <v>13</v>
      </c>
      <c r="C86" s="27">
        <f t="shared" si="34"/>
        <v>0.21554193680030315</v>
      </c>
      <c r="D86" s="27">
        <f t="shared" si="34"/>
        <v>6.5122335170467324E-2</v>
      </c>
      <c r="E86" s="27">
        <f t="shared" si="34"/>
        <v>2.7551010750990867E-2</v>
      </c>
      <c r="F86" s="27">
        <f t="shared" si="34"/>
        <v>0.10643576593126622</v>
      </c>
      <c r="G86" s="27">
        <f t="shared" si="34"/>
        <v>1.7588824991974547E-2</v>
      </c>
      <c r="J86" s="23"/>
      <c r="Q86" s="23"/>
      <c r="S86" s="23"/>
      <c r="T86" s="23"/>
      <c r="U86" s="23"/>
      <c r="V86" s="23"/>
      <c r="W86" s="23"/>
      <c r="Y86" s="23"/>
      <c r="AG86" s="23"/>
      <c r="AN86" s="23"/>
      <c r="AO86" s="23"/>
    </row>
    <row r="87" spans="2:41" x14ac:dyDescent="0.35">
      <c r="Q87" s="23"/>
      <c r="S87" s="23"/>
      <c r="T87" s="23"/>
      <c r="U87" s="23"/>
      <c r="V87" s="23"/>
      <c r="W87" s="23"/>
    </row>
    <row r="88" spans="2:41" x14ac:dyDescent="0.35">
      <c r="Q88" s="23"/>
      <c r="S88" s="23"/>
      <c r="T88" s="23"/>
      <c r="U88" s="23"/>
      <c r="V88" s="23"/>
      <c r="W88" s="23"/>
    </row>
  </sheetData>
  <mergeCells count="13">
    <mergeCell ref="B1:G2"/>
    <mergeCell ref="A4:A7"/>
    <mergeCell ref="A9:A12"/>
    <mergeCell ref="AP40:AU40"/>
    <mergeCell ref="A29:A33"/>
    <mergeCell ref="A14:A17"/>
    <mergeCell ref="A19:A22"/>
    <mergeCell ref="A24:A27"/>
    <mergeCell ref="B40:G40"/>
    <mergeCell ref="J40:O40"/>
    <mergeCell ref="R40:W40"/>
    <mergeCell ref="Z40:AE40"/>
    <mergeCell ref="AH40:AM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Statistiche Modello</vt:lpstr>
      <vt:lpstr>Results- Training</vt:lpstr>
      <vt:lpstr>Results - Validation</vt:lpstr>
      <vt:lpstr>Robustezza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2025-10-15T14:50:41Z</dcterms:modified>
</cp:coreProperties>
</file>